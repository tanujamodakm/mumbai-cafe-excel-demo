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tmdia\Downloads\"/>
    </mc:Choice>
  </mc:AlternateContent>
  <xr:revisionPtr revIDLastSave="0" documentId="8_{3AF9F899-227F-493B-B59B-AB268A56C065}" xr6:coauthVersionLast="47" xr6:coauthVersionMax="47" xr10:uidLastSave="{00000000-0000-0000-0000-000000000000}"/>
  <bookViews>
    <workbookView xWindow="-108" yWindow="-108" windowWidth="23256" windowHeight="12456" xr2:uid="{F5069E1C-6CBF-42E5-8455-9EC24DF5F48F}"/>
  </bookViews>
  <sheets>
    <sheet name="01_Raw_DataSet" sheetId="5" r:id="rId1"/>
    <sheet name="02_Working_Dataset" sheetId="1" r:id="rId2"/>
    <sheet name="03_Pivot_Tables" sheetId="3" r:id="rId3"/>
    <sheet name="04_Dashboard" sheetId="9" r:id="rId4"/>
  </sheets>
  <definedNames>
    <definedName name="Slicer_Area">#N/A</definedName>
    <definedName name="Slicer_Cafe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5" i="9" l="1"/>
  <c r="L5" i="9"/>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T5" i="9"/>
  <c r="P5" i="9"/>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I2" i="1"/>
  <c r="L2" i="1"/>
  <c r="I3" i="1"/>
  <c r="L3" i="1"/>
  <c r="I4" i="1"/>
  <c r="L4" i="1"/>
  <c r="I5" i="1"/>
  <c r="L5" i="1"/>
  <c r="I6" i="1"/>
  <c r="L6" i="1"/>
  <c r="I7" i="1"/>
  <c r="L7" i="1"/>
  <c r="I8" i="1"/>
  <c r="L8" i="1"/>
  <c r="I9" i="1"/>
  <c r="L9" i="1"/>
  <c r="I10" i="1"/>
  <c r="L10" i="1"/>
  <c r="I11" i="1"/>
  <c r="L11" i="1"/>
  <c r="I12" i="1"/>
  <c r="L12" i="1"/>
  <c r="I13" i="1"/>
  <c r="L13" i="1"/>
  <c r="I14" i="1"/>
  <c r="L14" i="1"/>
  <c r="I15" i="1"/>
  <c r="L15" i="1"/>
  <c r="I16" i="1"/>
  <c r="L16" i="1"/>
  <c r="I17" i="1"/>
  <c r="L17" i="1"/>
  <c r="I18" i="1"/>
  <c r="L18" i="1"/>
  <c r="I19" i="1"/>
  <c r="L19" i="1"/>
  <c r="I20" i="1"/>
  <c r="L20" i="1"/>
  <c r="I21" i="1"/>
  <c r="L21" i="1"/>
  <c r="I22" i="1"/>
  <c r="L22" i="1"/>
  <c r="I23" i="1"/>
  <c r="L23" i="1"/>
  <c r="I24" i="1"/>
  <c r="L24" i="1"/>
  <c r="I25" i="1"/>
  <c r="L25" i="1"/>
  <c r="I26" i="1"/>
  <c r="L26" i="1"/>
  <c r="I27" i="1"/>
  <c r="L27" i="1"/>
  <c r="I28" i="1"/>
  <c r="L28" i="1"/>
  <c r="I29" i="1"/>
  <c r="L29" i="1"/>
  <c r="I30" i="1"/>
  <c r="L30" i="1"/>
  <c r="I31" i="1"/>
  <c r="L31" i="1"/>
  <c r="I32" i="1"/>
  <c r="L32" i="1"/>
  <c r="I33" i="1"/>
  <c r="L33" i="1"/>
  <c r="I34" i="1"/>
  <c r="L34" i="1"/>
  <c r="I35" i="1"/>
  <c r="L35" i="1"/>
  <c r="I36" i="1"/>
  <c r="L36" i="1"/>
  <c r="I37" i="1"/>
  <c r="L37" i="1"/>
  <c r="I38" i="1"/>
  <c r="L38" i="1"/>
  <c r="I39" i="1"/>
  <c r="L39" i="1"/>
  <c r="I40" i="1"/>
  <c r="L40" i="1"/>
  <c r="I41" i="1"/>
  <c r="L41" i="1"/>
  <c r="I42" i="1"/>
  <c r="L42" i="1"/>
  <c r="I43" i="1"/>
  <c r="L43" i="1"/>
  <c r="I44" i="1"/>
  <c r="L44" i="1"/>
  <c r="I45" i="1"/>
  <c r="L45" i="1"/>
  <c r="I46" i="1"/>
  <c r="L46" i="1"/>
  <c r="I47" i="1"/>
  <c r="L47" i="1"/>
  <c r="I48" i="1"/>
  <c r="L48" i="1"/>
  <c r="I49" i="1"/>
  <c r="L49" i="1"/>
  <c r="I50" i="1"/>
  <c r="L50" i="1"/>
  <c r="I51" i="1"/>
  <c r="L51" i="1"/>
  <c r="I52" i="1"/>
  <c r="L52" i="1"/>
  <c r="I53" i="1"/>
  <c r="L53" i="1"/>
  <c r="I54" i="1"/>
  <c r="L54" i="1"/>
  <c r="I55" i="1"/>
  <c r="L55" i="1"/>
  <c r="I56" i="1"/>
  <c r="L56" i="1"/>
  <c r="I57" i="1"/>
  <c r="L57" i="1"/>
  <c r="I58" i="1"/>
  <c r="L58" i="1"/>
  <c r="I59" i="1"/>
  <c r="L59" i="1"/>
  <c r="I60" i="1"/>
  <c r="L60" i="1"/>
  <c r="I61" i="1"/>
  <c r="L61" i="1"/>
  <c r="I62" i="1"/>
  <c r="L62" i="1"/>
  <c r="I63" i="1"/>
  <c r="L63" i="1"/>
  <c r="I64" i="1"/>
  <c r="L64" i="1"/>
  <c r="I65" i="1"/>
  <c r="L65" i="1"/>
  <c r="I66" i="1"/>
  <c r="L66" i="1"/>
  <c r="I67" i="1"/>
  <c r="L67" i="1"/>
  <c r="I68" i="1"/>
  <c r="L68" i="1"/>
  <c r="I69" i="1"/>
  <c r="L69" i="1"/>
  <c r="I70" i="1"/>
  <c r="L70" i="1"/>
  <c r="I71" i="1"/>
  <c r="L71" i="1"/>
  <c r="I72" i="1"/>
  <c r="L72" i="1"/>
  <c r="I73" i="1"/>
  <c r="L73" i="1"/>
  <c r="I74" i="1"/>
  <c r="L74" i="1"/>
  <c r="I75" i="1"/>
  <c r="L75" i="1"/>
  <c r="I76" i="1"/>
  <c r="L76" i="1"/>
  <c r="I77" i="1"/>
  <c r="L77" i="1"/>
  <c r="I78" i="1"/>
  <c r="L78" i="1"/>
  <c r="I79" i="1"/>
  <c r="L79" i="1"/>
  <c r="I80" i="1"/>
  <c r="L80" i="1"/>
  <c r="I81" i="1"/>
  <c r="L81" i="1"/>
  <c r="I82" i="1"/>
  <c r="L82" i="1"/>
  <c r="I83" i="1"/>
  <c r="L83" i="1"/>
  <c r="I84" i="1"/>
  <c r="L84" i="1"/>
  <c r="I85" i="1"/>
  <c r="L85" i="1"/>
  <c r="I86" i="1"/>
  <c r="L86" i="1"/>
  <c r="I87" i="1"/>
  <c r="L87" i="1"/>
  <c r="I88" i="1"/>
  <c r="L88" i="1"/>
  <c r="I89" i="1"/>
  <c r="L89" i="1"/>
  <c r="I90" i="1"/>
  <c r="L90" i="1"/>
  <c r="I91" i="1"/>
  <c r="L91" i="1"/>
  <c r="I92" i="1"/>
  <c r="L92" i="1"/>
  <c r="I93" i="1"/>
  <c r="L93" i="1"/>
  <c r="I94" i="1"/>
  <c r="L94" i="1"/>
  <c r="I95" i="1"/>
  <c r="L95" i="1"/>
  <c r="I96" i="1"/>
  <c r="L96" i="1"/>
  <c r="I97" i="1"/>
  <c r="L97" i="1"/>
  <c r="I98" i="1"/>
  <c r="L98" i="1"/>
  <c r="I99" i="1"/>
  <c r="L99" i="1"/>
  <c r="I100" i="1"/>
  <c r="L100" i="1"/>
  <c r="I101" i="1"/>
  <c r="L101" i="1"/>
  <c r="I102" i="1"/>
  <c r="L102" i="1"/>
  <c r="I103" i="1"/>
  <c r="L103" i="1"/>
  <c r="I104" i="1"/>
  <c r="L104" i="1"/>
  <c r="I105" i="1"/>
  <c r="L105" i="1"/>
  <c r="I106" i="1"/>
  <c r="L106" i="1"/>
  <c r="I107" i="1"/>
  <c r="L107" i="1"/>
  <c r="I108" i="1"/>
  <c r="L108" i="1"/>
  <c r="I109" i="1"/>
  <c r="L109" i="1"/>
  <c r="I110" i="1"/>
  <c r="L110" i="1"/>
  <c r="I111" i="1"/>
  <c r="L111" i="1"/>
  <c r="I112" i="1"/>
  <c r="L112" i="1"/>
  <c r="I113" i="1"/>
  <c r="L113" i="1"/>
  <c r="I114" i="1"/>
  <c r="L114" i="1"/>
  <c r="I115" i="1"/>
  <c r="L115" i="1"/>
  <c r="I116" i="1"/>
  <c r="L116" i="1"/>
  <c r="I117" i="1"/>
  <c r="L117" i="1"/>
  <c r="I118" i="1"/>
  <c r="L118" i="1"/>
  <c r="I119" i="1"/>
  <c r="L119" i="1"/>
  <c r="I120" i="1"/>
  <c r="L120" i="1"/>
  <c r="I121" i="1"/>
  <c r="L121" i="1"/>
  <c r="I122" i="1"/>
  <c r="L122" i="1"/>
  <c r="I123" i="1"/>
  <c r="L123" i="1"/>
  <c r="I124" i="1"/>
  <c r="L124" i="1"/>
  <c r="I125" i="1"/>
  <c r="L125" i="1"/>
  <c r="I126" i="1"/>
  <c r="L126" i="1"/>
  <c r="I127" i="1"/>
  <c r="L127" i="1"/>
  <c r="I128" i="1"/>
  <c r="L128" i="1"/>
  <c r="I129" i="1"/>
  <c r="L129" i="1"/>
  <c r="I130" i="1"/>
  <c r="L130" i="1"/>
  <c r="I131" i="1"/>
  <c r="L131" i="1"/>
  <c r="I132" i="1"/>
  <c r="L132" i="1"/>
  <c r="I133" i="1"/>
  <c r="L133" i="1"/>
  <c r="I134" i="1"/>
  <c r="L134" i="1"/>
  <c r="I135" i="1"/>
  <c r="L135" i="1"/>
  <c r="I136" i="1"/>
  <c r="L136" i="1"/>
  <c r="I137" i="1"/>
  <c r="L137" i="1"/>
  <c r="I138" i="1"/>
  <c r="L138" i="1"/>
  <c r="I139" i="1"/>
  <c r="L139" i="1"/>
  <c r="I140" i="1"/>
  <c r="L140" i="1"/>
  <c r="I141" i="1"/>
  <c r="L141" i="1"/>
  <c r="I142" i="1"/>
  <c r="L142" i="1"/>
  <c r="I143" i="1"/>
  <c r="L143" i="1"/>
  <c r="I144" i="1"/>
  <c r="L144" i="1"/>
  <c r="I145" i="1"/>
  <c r="L145" i="1"/>
  <c r="I146" i="1"/>
  <c r="L146" i="1"/>
  <c r="I147" i="1"/>
  <c r="L147" i="1"/>
  <c r="I148" i="1"/>
  <c r="L148" i="1"/>
  <c r="I149" i="1"/>
  <c r="L149" i="1"/>
  <c r="I150" i="1"/>
  <c r="L150" i="1"/>
  <c r="I151" i="1"/>
  <c r="L151" i="1"/>
  <c r="I152" i="1"/>
  <c r="L152" i="1"/>
  <c r="I153" i="1"/>
  <c r="L153" i="1"/>
  <c r="I154" i="1"/>
  <c r="L154" i="1"/>
  <c r="I155" i="1"/>
  <c r="L155" i="1"/>
  <c r="I156" i="1"/>
  <c r="L156" i="1"/>
  <c r="I157" i="1"/>
  <c r="L157" i="1"/>
  <c r="I158" i="1"/>
  <c r="L158" i="1"/>
  <c r="I159" i="1"/>
  <c r="L159" i="1"/>
  <c r="I160" i="1"/>
  <c r="L160" i="1"/>
  <c r="I161" i="1"/>
  <c r="L161" i="1"/>
  <c r="I162" i="1"/>
  <c r="L162" i="1"/>
  <c r="I163" i="1"/>
  <c r="L163" i="1"/>
  <c r="I164" i="1"/>
  <c r="L164" i="1"/>
  <c r="I165" i="1"/>
  <c r="L165" i="1"/>
  <c r="I166" i="1"/>
  <c r="L166" i="1"/>
  <c r="I167" i="1"/>
  <c r="L167" i="1"/>
  <c r="I168" i="1"/>
  <c r="L168" i="1"/>
  <c r="I169" i="1"/>
  <c r="L169" i="1"/>
  <c r="I170" i="1"/>
  <c r="L170" i="1"/>
  <c r="I171" i="1"/>
  <c r="L171" i="1"/>
  <c r="I172" i="1"/>
  <c r="L172" i="1"/>
  <c r="I173" i="1"/>
  <c r="L173" i="1"/>
  <c r="I174" i="1"/>
  <c r="L174" i="1"/>
  <c r="I175" i="1"/>
  <c r="L175" i="1"/>
  <c r="I176" i="1"/>
  <c r="L176" i="1"/>
  <c r="I177" i="1"/>
  <c r="L177" i="1"/>
  <c r="I178" i="1"/>
  <c r="L178" i="1"/>
  <c r="I179" i="1"/>
  <c r="L179" i="1"/>
  <c r="I180" i="1"/>
  <c r="L180" i="1"/>
  <c r="I181" i="1"/>
  <c r="L181" i="1"/>
  <c r="I182" i="1"/>
  <c r="L182" i="1"/>
  <c r="I183" i="1"/>
  <c r="L183" i="1"/>
  <c r="I184" i="1"/>
  <c r="L184" i="1"/>
  <c r="I185" i="1"/>
  <c r="L185" i="1"/>
  <c r="I186" i="1"/>
  <c r="L186" i="1"/>
  <c r="I187" i="1"/>
  <c r="L187" i="1"/>
  <c r="I188" i="1"/>
  <c r="L188" i="1"/>
  <c r="I189" i="1"/>
  <c r="L189" i="1"/>
  <c r="I190" i="1"/>
  <c r="L190" i="1"/>
  <c r="I191" i="1"/>
  <c r="L191" i="1"/>
  <c r="I192" i="1"/>
  <c r="L192" i="1"/>
  <c r="I193" i="1"/>
  <c r="L193" i="1"/>
  <c r="I194" i="1"/>
  <c r="L194" i="1"/>
  <c r="I195" i="1"/>
  <c r="L195" i="1"/>
  <c r="I196" i="1"/>
  <c r="L196" i="1"/>
  <c r="I197" i="1"/>
  <c r="L197" i="1"/>
  <c r="I198" i="1"/>
  <c r="L198" i="1"/>
  <c r="I199" i="1"/>
  <c r="L199" i="1"/>
  <c r="I200" i="1"/>
  <c r="L200" i="1"/>
  <c r="I201" i="1"/>
  <c r="L201" i="1"/>
  <c r="I202" i="1"/>
  <c r="L202" i="1"/>
  <c r="I203" i="1"/>
  <c r="L203" i="1"/>
  <c r="I204" i="1"/>
  <c r="L204" i="1"/>
  <c r="I205" i="1"/>
  <c r="L205" i="1"/>
  <c r="I206" i="1"/>
  <c r="L206" i="1"/>
  <c r="I207" i="1"/>
  <c r="L207" i="1"/>
  <c r="I208" i="1"/>
  <c r="L208" i="1"/>
  <c r="I209" i="1"/>
  <c r="L209" i="1"/>
  <c r="I210" i="1"/>
  <c r="L210" i="1"/>
  <c r="I211" i="1"/>
  <c r="L211" i="1"/>
  <c r="I212" i="1"/>
  <c r="L212" i="1"/>
  <c r="I213" i="1"/>
  <c r="L213" i="1"/>
  <c r="I214" i="1"/>
  <c r="L214" i="1"/>
  <c r="I215" i="1"/>
  <c r="L215" i="1"/>
  <c r="I216" i="1"/>
  <c r="L216" i="1"/>
  <c r="I217" i="1"/>
  <c r="L217" i="1"/>
  <c r="I218" i="1"/>
  <c r="L218" i="1"/>
  <c r="I219" i="1"/>
  <c r="L219" i="1"/>
  <c r="I220" i="1"/>
  <c r="L220" i="1"/>
  <c r="I221" i="1"/>
  <c r="L221" i="1"/>
  <c r="I222" i="1"/>
  <c r="L222" i="1"/>
  <c r="I223" i="1"/>
  <c r="L223" i="1"/>
  <c r="I224" i="1"/>
  <c r="L224" i="1"/>
  <c r="I225" i="1"/>
  <c r="L225" i="1"/>
  <c r="I226" i="1"/>
  <c r="L226" i="1"/>
  <c r="I227" i="1"/>
  <c r="L227" i="1"/>
  <c r="I228" i="1"/>
  <c r="L228" i="1"/>
  <c r="I229" i="1"/>
  <c r="L229" i="1"/>
  <c r="I230" i="1"/>
  <c r="L230" i="1"/>
  <c r="I231" i="1"/>
  <c r="L231" i="1"/>
  <c r="I232" i="1"/>
  <c r="L232" i="1"/>
  <c r="I233" i="1"/>
  <c r="L233" i="1"/>
  <c r="I234" i="1"/>
  <c r="L234" i="1"/>
  <c r="I235" i="1"/>
  <c r="L235" i="1"/>
  <c r="I236" i="1"/>
  <c r="L236" i="1"/>
  <c r="I237" i="1"/>
  <c r="L237" i="1"/>
  <c r="I238" i="1"/>
  <c r="L238" i="1"/>
  <c r="I239" i="1"/>
  <c r="L239" i="1"/>
  <c r="I240" i="1"/>
  <c r="L240" i="1"/>
  <c r="I241" i="1"/>
  <c r="L241" i="1"/>
  <c r="I242" i="1"/>
  <c r="L242" i="1"/>
  <c r="I243" i="1"/>
  <c r="L243" i="1"/>
  <c r="I244" i="1"/>
  <c r="L244" i="1"/>
  <c r="I245" i="1"/>
  <c r="L245" i="1"/>
  <c r="I246" i="1"/>
  <c r="L246" i="1"/>
  <c r="I247" i="1"/>
  <c r="L247" i="1"/>
  <c r="I248" i="1"/>
  <c r="L248" i="1"/>
  <c r="I249" i="1"/>
  <c r="L249" i="1"/>
  <c r="I250" i="1"/>
  <c r="L250" i="1"/>
  <c r="I251" i="1"/>
  <c r="L251" i="1"/>
  <c r="I252" i="1"/>
  <c r="L252" i="1"/>
  <c r="I253" i="1"/>
  <c r="L253" i="1"/>
  <c r="I254" i="1"/>
  <c r="L254" i="1"/>
  <c r="I255" i="1"/>
  <c r="L255" i="1"/>
  <c r="I256" i="1"/>
  <c r="L256" i="1"/>
  <c r="I257" i="1"/>
  <c r="L257" i="1"/>
  <c r="I258" i="1"/>
  <c r="L258" i="1"/>
  <c r="I259" i="1"/>
  <c r="L259" i="1"/>
  <c r="I260" i="1"/>
  <c r="L260" i="1"/>
  <c r="I261" i="1"/>
  <c r="L261" i="1"/>
  <c r="I262" i="1"/>
  <c r="L262" i="1"/>
  <c r="I263" i="1"/>
  <c r="L263" i="1"/>
  <c r="I264" i="1"/>
  <c r="L264" i="1"/>
  <c r="I265" i="1"/>
  <c r="L265" i="1"/>
  <c r="I266" i="1"/>
  <c r="L266" i="1"/>
  <c r="I267" i="1"/>
  <c r="L267" i="1"/>
  <c r="I268" i="1"/>
  <c r="L268" i="1"/>
  <c r="I269" i="1"/>
  <c r="L269" i="1"/>
  <c r="I270" i="1"/>
  <c r="L270" i="1"/>
  <c r="I271" i="1"/>
  <c r="L271" i="1"/>
  <c r="I272" i="1"/>
  <c r="L272" i="1"/>
  <c r="I273" i="1"/>
  <c r="L273" i="1"/>
  <c r="I274" i="1"/>
  <c r="L274" i="1"/>
  <c r="I275" i="1"/>
  <c r="L275" i="1"/>
  <c r="I276" i="1"/>
  <c r="L276" i="1"/>
  <c r="I277" i="1"/>
  <c r="L277" i="1"/>
  <c r="I278" i="1"/>
  <c r="L278" i="1"/>
  <c r="I279" i="1"/>
  <c r="L279" i="1"/>
  <c r="I280" i="1"/>
  <c r="L280" i="1"/>
  <c r="I281" i="1"/>
  <c r="L281" i="1"/>
  <c r="I282" i="1"/>
  <c r="L282" i="1"/>
  <c r="I283" i="1"/>
  <c r="L283" i="1"/>
  <c r="I284" i="1"/>
  <c r="L284" i="1"/>
  <c r="I285" i="1"/>
  <c r="L285" i="1"/>
  <c r="I286" i="1"/>
  <c r="L286" i="1"/>
  <c r="I287" i="1"/>
  <c r="L287" i="1"/>
  <c r="I288" i="1"/>
  <c r="L288" i="1"/>
  <c r="I289" i="1"/>
  <c r="L289" i="1"/>
  <c r="I290" i="1"/>
  <c r="L290" i="1"/>
  <c r="I291" i="1"/>
  <c r="L291" i="1"/>
  <c r="I292" i="1"/>
  <c r="L292" i="1"/>
  <c r="I293" i="1"/>
  <c r="L293" i="1"/>
  <c r="I294" i="1"/>
  <c r="L294" i="1"/>
  <c r="I295" i="1"/>
  <c r="L295" i="1"/>
  <c r="I296" i="1"/>
  <c r="L296" i="1"/>
  <c r="I297" i="1"/>
  <c r="L297" i="1"/>
  <c r="I298" i="1"/>
  <c r="L298" i="1"/>
  <c r="I299" i="1"/>
  <c r="L299" i="1"/>
  <c r="I300" i="1"/>
  <c r="L300" i="1"/>
  <c r="I301" i="1"/>
  <c r="L301" i="1"/>
  <c r="I302" i="1"/>
  <c r="L302" i="1"/>
  <c r="I303" i="1"/>
  <c r="L303" i="1"/>
  <c r="I304" i="1"/>
  <c r="L304" i="1"/>
  <c r="I305" i="1"/>
  <c r="L305" i="1"/>
  <c r="I306" i="1"/>
  <c r="L306" i="1"/>
  <c r="I307" i="1"/>
  <c r="L307" i="1"/>
  <c r="I308" i="1"/>
  <c r="L308" i="1"/>
  <c r="I309" i="1"/>
  <c r="L309" i="1"/>
  <c r="I310" i="1"/>
  <c r="L310" i="1"/>
  <c r="I311" i="1"/>
  <c r="L311" i="1"/>
  <c r="I312" i="1"/>
  <c r="L312" i="1"/>
  <c r="I313" i="1"/>
  <c r="L313" i="1"/>
  <c r="I314" i="1"/>
  <c r="L314" i="1"/>
  <c r="I315" i="1"/>
  <c r="L315" i="1"/>
  <c r="I316" i="1"/>
  <c r="L316" i="1"/>
  <c r="I317" i="1"/>
  <c r="L317" i="1"/>
  <c r="I318" i="1"/>
  <c r="L318" i="1"/>
  <c r="I319" i="1"/>
  <c r="L319" i="1"/>
  <c r="I320" i="1"/>
  <c r="L320" i="1"/>
  <c r="I321" i="1"/>
  <c r="L321" i="1"/>
  <c r="I322" i="1"/>
  <c r="L322" i="1"/>
  <c r="I323" i="1"/>
  <c r="L323" i="1"/>
  <c r="I324" i="1"/>
  <c r="L324" i="1"/>
  <c r="I325" i="1"/>
  <c r="L325" i="1"/>
  <c r="I326" i="1"/>
  <c r="L326" i="1"/>
  <c r="I327" i="1"/>
  <c r="L327" i="1"/>
  <c r="I328" i="1"/>
  <c r="L328" i="1"/>
  <c r="I329" i="1"/>
  <c r="L329" i="1"/>
  <c r="I330" i="1"/>
  <c r="L330" i="1"/>
  <c r="I331" i="1"/>
  <c r="L331" i="1"/>
  <c r="I332" i="1"/>
  <c r="L332" i="1"/>
  <c r="I333" i="1"/>
  <c r="L333" i="1"/>
  <c r="I334" i="1"/>
  <c r="L334" i="1"/>
  <c r="I335" i="1"/>
  <c r="L335" i="1"/>
  <c r="I336" i="1"/>
  <c r="L336" i="1"/>
  <c r="I337" i="1"/>
  <c r="L337" i="1"/>
  <c r="I338" i="1"/>
  <c r="L338" i="1"/>
  <c r="I339" i="1"/>
  <c r="L339" i="1"/>
  <c r="I340" i="1"/>
  <c r="L340" i="1"/>
  <c r="I341" i="1"/>
  <c r="L341" i="1"/>
  <c r="I342" i="1"/>
  <c r="L342" i="1"/>
  <c r="I343" i="1"/>
  <c r="L343" i="1"/>
  <c r="I344" i="1"/>
  <c r="L344" i="1"/>
  <c r="I345" i="1"/>
  <c r="L345" i="1"/>
  <c r="I346" i="1"/>
  <c r="L346" i="1"/>
  <c r="I347" i="1"/>
  <c r="L347" i="1"/>
  <c r="I348" i="1"/>
  <c r="L348" i="1"/>
  <c r="I349" i="1"/>
  <c r="L349" i="1"/>
  <c r="I350" i="1"/>
  <c r="L350" i="1"/>
  <c r="I351" i="1"/>
  <c r="L351" i="1"/>
  <c r="I352" i="1"/>
  <c r="L352" i="1"/>
  <c r="I353" i="1"/>
  <c r="L353" i="1"/>
  <c r="I354" i="1"/>
  <c r="L354" i="1"/>
  <c r="I355" i="1"/>
  <c r="L355" i="1"/>
  <c r="I356" i="1"/>
  <c r="L356" i="1"/>
  <c r="I357" i="1"/>
  <c r="L357" i="1"/>
  <c r="I358" i="1"/>
  <c r="L358" i="1"/>
  <c r="I359" i="1"/>
  <c r="L359" i="1"/>
  <c r="I360" i="1"/>
  <c r="L360" i="1"/>
  <c r="I361" i="1"/>
  <c r="L361" i="1"/>
  <c r="I362" i="1"/>
  <c r="L362" i="1"/>
  <c r="I363" i="1"/>
  <c r="L363" i="1"/>
  <c r="I364" i="1"/>
  <c r="L364" i="1"/>
  <c r="I365" i="1"/>
  <c r="L365" i="1"/>
  <c r="I366" i="1"/>
  <c r="L366" i="1"/>
  <c r="I367" i="1"/>
  <c r="L367" i="1"/>
  <c r="I368" i="1"/>
  <c r="L368" i="1"/>
  <c r="I369" i="1"/>
  <c r="L369" i="1"/>
  <c r="I370" i="1"/>
  <c r="L370" i="1"/>
  <c r="I371" i="1"/>
  <c r="L371" i="1"/>
  <c r="I372" i="1"/>
  <c r="L372" i="1"/>
  <c r="I373" i="1"/>
  <c r="L373" i="1"/>
  <c r="I374" i="1"/>
  <c r="L374" i="1"/>
  <c r="I375" i="1"/>
  <c r="L375" i="1"/>
  <c r="I376" i="1"/>
  <c r="L376" i="1"/>
  <c r="I377" i="1"/>
  <c r="L377" i="1"/>
  <c r="I378" i="1"/>
  <c r="L378" i="1"/>
  <c r="I379" i="1"/>
  <c r="L379" i="1"/>
  <c r="I380" i="1"/>
  <c r="L380" i="1"/>
  <c r="I381" i="1"/>
  <c r="L381" i="1"/>
  <c r="I382" i="1"/>
  <c r="L382" i="1"/>
  <c r="I383" i="1"/>
  <c r="L383" i="1"/>
  <c r="I384" i="1"/>
  <c r="L384" i="1"/>
  <c r="I385" i="1"/>
  <c r="L385" i="1"/>
  <c r="I386" i="1"/>
  <c r="L386" i="1"/>
  <c r="I387" i="1"/>
  <c r="L387" i="1"/>
  <c r="I388" i="1"/>
  <c r="L388" i="1"/>
  <c r="I389" i="1"/>
  <c r="L389" i="1"/>
  <c r="I390" i="1"/>
  <c r="L390" i="1"/>
  <c r="I391" i="1"/>
  <c r="L391" i="1"/>
  <c r="I392" i="1"/>
  <c r="L392" i="1"/>
  <c r="I393" i="1"/>
  <c r="L393" i="1"/>
  <c r="I394" i="1"/>
  <c r="L394" i="1"/>
  <c r="I395" i="1"/>
  <c r="L395" i="1"/>
  <c r="I396" i="1"/>
  <c r="L396" i="1"/>
  <c r="I397" i="1"/>
  <c r="L397" i="1"/>
  <c r="I398" i="1"/>
  <c r="L398" i="1"/>
  <c r="I399" i="1"/>
  <c r="L399" i="1"/>
  <c r="I400" i="1"/>
  <c r="L400" i="1"/>
  <c r="I401" i="1"/>
  <c r="L401" i="1"/>
  <c r="I402" i="1"/>
  <c r="L402" i="1"/>
  <c r="I403" i="1"/>
  <c r="L403" i="1"/>
  <c r="I404" i="1"/>
  <c r="L404" i="1"/>
  <c r="I405" i="1"/>
  <c r="L405" i="1"/>
  <c r="I406" i="1"/>
  <c r="L406" i="1"/>
  <c r="I407" i="1"/>
  <c r="L407" i="1"/>
  <c r="I408" i="1"/>
  <c r="L408" i="1"/>
  <c r="I409" i="1"/>
  <c r="L409" i="1"/>
  <c r="I410" i="1"/>
  <c r="L410" i="1"/>
  <c r="I411" i="1"/>
  <c r="L411" i="1"/>
  <c r="I412" i="1"/>
  <c r="L412" i="1"/>
  <c r="I413" i="1"/>
  <c r="L413" i="1"/>
  <c r="I414" i="1"/>
  <c r="L414" i="1"/>
  <c r="I415" i="1"/>
  <c r="L415" i="1"/>
  <c r="I416" i="1"/>
  <c r="L416" i="1"/>
  <c r="I417" i="1"/>
  <c r="L417" i="1"/>
  <c r="I418" i="1"/>
  <c r="L418" i="1"/>
  <c r="I419" i="1"/>
  <c r="L419" i="1"/>
  <c r="I420" i="1"/>
  <c r="L420" i="1"/>
  <c r="I421" i="1"/>
  <c r="L421" i="1"/>
  <c r="I422" i="1"/>
  <c r="L422" i="1"/>
  <c r="I423" i="1"/>
  <c r="L423" i="1"/>
  <c r="I424" i="1"/>
  <c r="L424" i="1"/>
  <c r="I425" i="1"/>
  <c r="L425" i="1"/>
  <c r="I426" i="1"/>
  <c r="L426" i="1"/>
  <c r="I427" i="1"/>
  <c r="L427" i="1"/>
  <c r="I428" i="1"/>
  <c r="L428" i="1"/>
  <c r="I429" i="1"/>
  <c r="L429" i="1"/>
  <c r="I430" i="1"/>
  <c r="L430" i="1"/>
  <c r="I431" i="1"/>
  <c r="L431" i="1"/>
  <c r="I432" i="1"/>
  <c r="L432" i="1"/>
  <c r="I433" i="1"/>
  <c r="L433" i="1"/>
  <c r="I434" i="1"/>
  <c r="L434" i="1"/>
  <c r="I435" i="1"/>
  <c r="L435" i="1"/>
  <c r="I436" i="1"/>
  <c r="L436" i="1"/>
  <c r="I437" i="1"/>
  <c r="L437" i="1"/>
  <c r="I438" i="1"/>
  <c r="L438" i="1"/>
  <c r="I439" i="1"/>
  <c r="L439" i="1"/>
  <c r="I440" i="1"/>
  <c r="L440" i="1"/>
  <c r="I441" i="1"/>
  <c r="L441" i="1"/>
  <c r="I442" i="1"/>
  <c r="L442" i="1"/>
  <c r="I443" i="1"/>
  <c r="L443" i="1"/>
  <c r="I444" i="1"/>
  <c r="L444" i="1"/>
  <c r="I445" i="1"/>
  <c r="L445" i="1"/>
  <c r="I446" i="1"/>
  <c r="L446" i="1"/>
  <c r="I447" i="1"/>
  <c r="L447" i="1"/>
  <c r="I448" i="1"/>
  <c r="L448" i="1"/>
  <c r="I449" i="1"/>
  <c r="L449" i="1"/>
  <c r="I450" i="1"/>
  <c r="L450" i="1"/>
  <c r="I451" i="1"/>
  <c r="L451" i="1"/>
  <c r="I452" i="1"/>
  <c r="L452" i="1"/>
  <c r="I453" i="1"/>
  <c r="L453" i="1"/>
  <c r="I454" i="1"/>
  <c r="L454" i="1"/>
  <c r="I455" i="1"/>
  <c r="L455" i="1"/>
  <c r="I456" i="1"/>
  <c r="L456" i="1"/>
  <c r="I457" i="1"/>
  <c r="L457" i="1"/>
  <c r="I458" i="1"/>
  <c r="L458" i="1"/>
  <c r="I459" i="1"/>
  <c r="L459" i="1"/>
  <c r="I460" i="1"/>
  <c r="L460" i="1"/>
  <c r="I461" i="1"/>
  <c r="L461" i="1"/>
  <c r="I462" i="1"/>
  <c r="L462" i="1"/>
  <c r="I463" i="1"/>
  <c r="L463" i="1"/>
  <c r="I464" i="1"/>
  <c r="L464" i="1"/>
  <c r="I465" i="1"/>
  <c r="L465" i="1"/>
  <c r="I466" i="1"/>
  <c r="L466" i="1"/>
  <c r="I467" i="1"/>
  <c r="L467" i="1"/>
  <c r="I468" i="1"/>
  <c r="L468" i="1"/>
  <c r="I469" i="1"/>
  <c r="L469" i="1"/>
  <c r="I470" i="1"/>
  <c r="L470" i="1"/>
  <c r="I471" i="1"/>
  <c r="L471" i="1"/>
  <c r="I472" i="1"/>
  <c r="L472" i="1"/>
  <c r="I473" i="1"/>
  <c r="L473" i="1"/>
  <c r="I474" i="1"/>
  <c r="L474" i="1"/>
  <c r="I475" i="1"/>
  <c r="L475" i="1"/>
  <c r="I476" i="1"/>
  <c r="L476" i="1"/>
  <c r="I477" i="1"/>
  <c r="L477" i="1"/>
  <c r="I478" i="1"/>
  <c r="L478" i="1"/>
  <c r="I479" i="1"/>
  <c r="L479" i="1"/>
  <c r="I480" i="1"/>
  <c r="L480" i="1"/>
  <c r="I481" i="1"/>
  <c r="L481" i="1"/>
  <c r="I482" i="1"/>
  <c r="L482" i="1"/>
  <c r="I483" i="1"/>
  <c r="L483" i="1"/>
  <c r="I484" i="1"/>
  <c r="L484" i="1"/>
  <c r="I485" i="1"/>
  <c r="L485" i="1"/>
  <c r="I486" i="1"/>
  <c r="L486" i="1"/>
  <c r="I487" i="1"/>
  <c r="L487" i="1"/>
  <c r="I488" i="1"/>
  <c r="L488" i="1"/>
  <c r="I489" i="1"/>
  <c r="L489" i="1"/>
  <c r="I490" i="1"/>
  <c r="L490" i="1"/>
  <c r="I491" i="1"/>
  <c r="L491" i="1"/>
  <c r="I492" i="1"/>
  <c r="L492" i="1"/>
  <c r="I493" i="1"/>
  <c r="L493" i="1"/>
  <c r="I494" i="1"/>
  <c r="L494" i="1"/>
  <c r="I495" i="1"/>
  <c r="L495" i="1"/>
  <c r="I496" i="1"/>
  <c r="L496" i="1"/>
  <c r="I497" i="1"/>
  <c r="L497" i="1"/>
  <c r="I498" i="1"/>
  <c r="L498" i="1"/>
  <c r="I499" i="1"/>
  <c r="L499" i="1"/>
  <c r="I500" i="1"/>
  <c r="L500" i="1"/>
  <c r="I501" i="1"/>
  <c r="L501" i="1"/>
  <c r="I502" i="1"/>
  <c r="L502" i="1"/>
  <c r="I503" i="1"/>
  <c r="L503" i="1"/>
  <c r="I504" i="1"/>
  <c r="L504" i="1"/>
  <c r="I505" i="1"/>
  <c r="L505" i="1"/>
  <c r="I506" i="1"/>
  <c r="L506" i="1"/>
  <c r="I507" i="1"/>
  <c r="L507" i="1"/>
  <c r="I508" i="1"/>
  <c r="L508" i="1"/>
  <c r="I509" i="1"/>
  <c r="L509" i="1"/>
  <c r="I510" i="1"/>
  <c r="L510" i="1"/>
  <c r="I511" i="1"/>
  <c r="L511" i="1"/>
  <c r="I512" i="1"/>
  <c r="L512" i="1"/>
  <c r="I513" i="1"/>
  <c r="L513" i="1"/>
  <c r="I514" i="1"/>
  <c r="L514" i="1"/>
  <c r="I515" i="1"/>
  <c r="L515" i="1"/>
  <c r="I516" i="1"/>
  <c r="L516" i="1"/>
  <c r="I517" i="1"/>
  <c r="L517" i="1"/>
  <c r="I518" i="1"/>
  <c r="L518" i="1"/>
  <c r="I519" i="1"/>
  <c r="L519" i="1"/>
  <c r="I520" i="1"/>
  <c r="L520" i="1"/>
  <c r="I521" i="1"/>
  <c r="L521" i="1"/>
  <c r="I522" i="1"/>
  <c r="L522" i="1"/>
  <c r="I523" i="1"/>
  <c r="L523" i="1"/>
  <c r="I524" i="1"/>
  <c r="L524" i="1"/>
  <c r="I525" i="1"/>
  <c r="L525" i="1"/>
  <c r="I526" i="1"/>
  <c r="L526" i="1"/>
  <c r="I527" i="1"/>
  <c r="L527" i="1"/>
  <c r="I528" i="1"/>
  <c r="L528" i="1"/>
  <c r="I529" i="1"/>
  <c r="L529" i="1"/>
  <c r="I530" i="1"/>
  <c r="L530" i="1"/>
  <c r="I531" i="1"/>
  <c r="L531" i="1"/>
  <c r="I532" i="1"/>
  <c r="L532" i="1"/>
  <c r="I533" i="1"/>
  <c r="L533" i="1"/>
  <c r="I534" i="1"/>
  <c r="L534" i="1"/>
  <c r="I535" i="1"/>
  <c r="L535" i="1"/>
  <c r="I536" i="1"/>
  <c r="L536" i="1"/>
  <c r="I537" i="1"/>
  <c r="L537" i="1"/>
  <c r="I538" i="1"/>
  <c r="L538" i="1"/>
  <c r="I539" i="1"/>
  <c r="L539" i="1"/>
  <c r="I540" i="1"/>
  <c r="L540" i="1"/>
  <c r="I541" i="1"/>
  <c r="L541" i="1"/>
  <c r="I542" i="1"/>
  <c r="L542" i="1"/>
  <c r="I543" i="1"/>
  <c r="L543" i="1"/>
  <c r="I544" i="1"/>
  <c r="L544" i="1"/>
  <c r="I545" i="1"/>
  <c r="L545" i="1"/>
  <c r="I546" i="1"/>
  <c r="L546" i="1"/>
  <c r="I547" i="1"/>
  <c r="L547" i="1"/>
  <c r="I548" i="1"/>
  <c r="L548" i="1"/>
  <c r="I549" i="1"/>
  <c r="L549" i="1"/>
  <c r="I550" i="1"/>
  <c r="L550" i="1"/>
  <c r="I551" i="1"/>
  <c r="L551" i="1"/>
  <c r="I552" i="1"/>
  <c r="L552" i="1"/>
  <c r="I553" i="1"/>
  <c r="L553" i="1"/>
  <c r="I554" i="1"/>
  <c r="L554" i="1"/>
  <c r="I555" i="1"/>
  <c r="L555" i="1"/>
  <c r="I556" i="1"/>
  <c r="L556" i="1"/>
  <c r="I557" i="1"/>
  <c r="L557" i="1"/>
  <c r="I558" i="1"/>
  <c r="L558" i="1"/>
  <c r="I559" i="1"/>
  <c r="L559" i="1"/>
  <c r="I560" i="1"/>
  <c r="L560" i="1"/>
  <c r="I561" i="1"/>
  <c r="L561" i="1"/>
  <c r="I562" i="1"/>
  <c r="L562" i="1"/>
  <c r="I563" i="1"/>
  <c r="L563" i="1"/>
  <c r="I564" i="1"/>
  <c r="L564" i="1"/>
  <c r="I565" i="1"/>
  <c r="L565" i="1"/>
  <c r="I566" i="1"/>
  <c r="L566" i="1"/>
  <c r="I567" i="1"/>
  <c r="L567" i="1"/>
  <c r="I568" i="1"/>
  <c r="L568" i="1"/>
  <c r="I569" i="1"/>
  <c r="L569" i="1"/>
  <c r="I570" i="1"/>
  <c r="L570" i="1"/>
  <c r="I571" i="1"/>
  <c r="L571" i="1"/>
  <c r="I572" i="1"/>
  <c r="L572" i="1"/>
  <c r="I573" i="1"/>
  <c r="L573" i="1"/>
  <c r="I574" i="1"/>
  <c r="L574" i="1"/>
  <c r="I575" i="1"/>
  <c r="L575" i="1"/>
  <c r="I576" i="1"/>
  <c r="L576" i="1"/>
  <c r="I577" i="1"/>
  <c r="L577" i="1"/>
  <c r="I578" i="1"/>
  <c r="L578" i="1"/>
  <c r="I579" i="1"/>
  <c r="L579" i="1"/>
  <c r="I580" i="1"/>
  <c r="L580" i="1"/>
  <c r="I581" i="1"/>
  <c r="L581" i="1"/>
  <c r="I582" i="1"/>
  <c r="L582" i="1"/>
  <c r="I583" i="1"/>
  <c r="L583" i="1"/>
  <c r="I584" i="1"/>
  <c r="L584" i="1"/>
  <c r="I585" i="1"/>
  <c r="L585" i="1"/>
  <c r="I586" i="1"/>
  <c r="L586" i="1"/>
  <c r="I587" i="1"/>
  <c r="L587" i="1"/>
  <c r="I588" i="1"/>
  <c r="L588" i="1"/>
  <c r="I589" i="1"/>
  <c r="L589" i="1"/>
  <c r="I590" i="1"/>
  <c r="L590" i="1"/>
  <c r="I591" i="1"/>
  <c r="L591" i="1"/>
  <c r="I592" i="1"/>
  <c r="L592" i="1"/>
  <c r="I593" i="1"/>
  <c r="L593" i="1"/>
  <c r="I594" i="1"/>
  <c r="L594" i="1"/>
  <c r="I595" i="1"/>
  <c r="L595" i="1"/>
  <c r="I596" i="1"/>
  <c r="L596" i="1"/>
  <c r="I597" i="1"/>
  <c r="L597" i="1"/>
  <c r="I598" i="1"/>
  <c r="L598" i="1"/>
  <c r="I599" i="1"/>
  <c r="L599" i="1"/>
  <c r="I600" i="1"/>
  <c r="L600" i="1"/>
  <c r="I601" i="1"/>
  <c r="L601" i="1"/>
  <c r="I602" i="1"/>
  <c r="L602" i="1"/>
  <c r="I603" i="1"/>
  <c r="L603" i="1"/>
  <c r="I604" i="1"/>
  <c r="L604" i="1"/>
  <c r="I605" i="1"/>
  <c r="L605" i="1"/>
  <c r="I606" i="1"/>
  <c r="L606" i="1"/>
  <c r="I607" i="1"/>
  <c r="L607" i="1"/>
  <c r="I608" i="1"/>
  <c r="L608" i="1"/>
  <c r="I609" i="1"/>
  <c r="L609" i="1"/>
  <c r="I610" i="1"/>
  <c r="L610" i="1"/>
  <c r="I611" i="1"/>
  <c r="L611" i="1"/>
  <c r="I612" i="1"/>
  <c r="L612" i="1"/>
  <c r="I613" i="1"/>
  <c r="L613" i="1"/>
  <c r="I614" i="1"/>
  <c r="L614" i="1"/>
  <c r="I615" i="1"/>
  <c r="L615" i="1"/>
  <c r="I616" i="1"/>
  <c r="L616" i="1"/>
  <c r="I617" i="1"/>
  <c r="L617" i="1"/>
  <c r="I618" i="1"/>
  <c r="L618" i="1"/>
  <c r="I619" i="1"/>
  <c r="L619" i="1"/>
  <c r="I620" i="1"/>
  <c r="L620" i="1"/>
  <c r="I621" i="1"/>
  <c r="L621" i="1"/>
  <c r="I622" i="1"/>
  <c r="L622" i="1"/>
  <c r="I623" i="1"/>
  <c r="L623" i="1"/>
  <c r="I624" i="1"/>
  <c r="L624" i="1"/>
  <c r="I625" i="1"/>
  <c r="L625" i="1"/>
  <c r="I626" i="1"/>
  <c r="L626" i="1"/>
  <c r="I627" i="1"/>
  <c r="L627" i="1"/>
  <c r="I628" i="1"/>
  <c r="L628" i="1"/>
  <c r="I629" i="1"/>
  <c r="L629" i="1"/>
  <c r="I630" i="1"/>
  <c r="L630" i="1"/>
  <c r="I631" i="1"/>
  <c r="L631" i="1"/>
  <c r="I632" i="1"/>
  <c r="L632" i="1"/>
  <c r="I633" i="1"/>
  <c r="L633" i="1"/>
  <c r="I634" i="1"/>
  <c r="L634" i="1"/>
  <c r="I635" i="1"/>
  <c r="L635" i="1"/>
  <c r="I636" i="1"/>
  <c r="L636" i="1"/>
  <c r="I637" i="1"/>
  <c r="L637" i="1"/>
  <c r="I638" i="1"/>
  <c r="L638" i="1"/>
  <c r="I639" i="1"/>
  <c r="L639" i="1"/>
  <c r="I640" i="1"/>
  <c r="L640" i="1"/>
  <c r="I641" i="1"/>
  <c r="L641" i="1"/>
  <c r="I642" i="1"/>
  <c r="L642" i="1"/>
  <c r="I643" i="1"/>
  <c r="L643" i="1"/>
  <c r="I644" i="1"/>
  <c r="L644" i="1"/>
  <c r="I645" i="1"/>
  <c r="L645" i="1"/>
  <c r="I646" i="1"/>
  <c r="L646" i="1"/>
  <c r="I647" i="1"/>
  <c r="L647" i="1"/>
  <c r="I648" i="1"/>
  <c r="L648" i="1"/>
  <c r="I649" i="1"/>
  <c r="L649" i="1"/>
  <c r="I650" i="1"/>
  <c r="L650" i="1"/>
  <c r="I651" i="1"/>
  <c r="L651" i="1"/>
  <c r="I652" i="1"/>
  <c r="L652" i="1"/>
  <c r="I653" i="1"/>
  <c r="L653" i="1"/>
  <c r="I654" i="1"/>
  <c r="L654" i="1"/>
  <c r="I655" i="1"/>
  <c r="L655" i="1"/>
  <c r="I656" i="1"/>
  <c r="L656" i="1"/>
  <c r="I657" i="1"/>
  <c r="L657" i="1"/>
  <c r="I658" i="1"/>
  <c r="L658" i="1"/>
  <c r="I659" i="1"/>
  <c r="L659" i="1"/>
  <c r="I660" i="1"/>
  <c r="L660" i="1"/>
  <c r="I661" i="1"/>
  <c r="L661" i="1"/>
  <c r="I662" i="1"/>
  <c r="L662" i="1"/>
  <c r="I663" i="1"/>
  <c r="L663" i="1"/>
  <c r="I664" i="1"/>
  <c r="L664" i="1"/>
  <c r="I665" i="1"/>
  <c r="L665" i="1"/>
  <c r="I666" i="1"/>
  <c r="L666" i="1"/>
  <c r="I667" i="1"/>
  <c r="L667" i="1"/>
  <c r="I668" i="1"/>
  <c r="L668" i="1"/>
  <c r="I669" i="1"/>
  <c r="L669" i="1"/>
  <c r="I670" i="1"/>
  <c r="L670" i="1"/>
  <c r="I671" i="1"/>
  <c r="L671" i="1"/>
  <c r="I672" i="1"/>
  <c r="L672" i="1"/>
  <c r="I673" i="1"/>
  <c r="L673" i="1"/>
  <c r="I674" i="1"/>
  <c r="L674" i="1"/>
  <c r="I675" i="1"/>
  <c r="L675" i="1"/>
  <c r="I676" i="1"/>
  <c r="L676" i="1"/>
  <c r="I677" i="1"/>
  <c r="L677" i="1"/>
  <c r="I678" i="1"/>
  <c r="L678" i="1"/>
  <c r="I679" i="1"/>
  <c r="L679" i="1"/>
  <c r="I680" i="1"/>
  <c r="L680" i="1"/>
  <c r="I681" i="1"/>
  <c r="L681" i="1"/>
  <c r="I682" i="1"/>
  <c r="L682" i="1"/>
  <c r="I683" i="1"/>
  <c r="L683" i="1"/>
  <c r="I684" i="1"/>
  <c r="L684" i="1"/>
  <c r="I685" i="1"/>
  <c r="L685" i="1"/>
  <c r="I686" i="1"/>
  <c r="L686" i="1"/>
  <c r="I687" i="1"/>
  <c r="L687" i="1"/>
  <c r="I688" i="1"/>
  <c r="L688" i="1"/>
  <c r="I689" i="1"/>
  <c r="L689" i="1"/>
  <c r="I690" i="1"/>
  <c r="L690" i="1"/>
  <c r="I691" i="1"/>
  <c r="L691" i="1"/>
  <c r="I692" i="1"/>
  <c r="L692" i="1"/>
  <c r="I693" i="1"/>
  <c r="L693" i="1"/>
  <c r="I694" i="1"/>
  <c r="L694" i="1"/>
  <c r="I695" i="1"/>
  <c r="L695" i="1"/>
  <c r="I696" i="1"/>
  <c r="L696" i="1"/>
  <c r="I697" i="1"/>
  <c r="L697" i="1"/>
  <c r="I698" i="1"/>
  <c r="L698" i="1"/>
  <c r="I699" i="1"/>
  <c r="L699" i="1"/>
  <c r="I700" i="1"/>
  <c r="L700" i="1"/>
  <c r="I701" i="1"/>
  <c r="L701" i="1"/>
  <c r="I702" i="1"/>
  <c r="L702" i="1"/>
  <c r="I703" i="1"/>
  <c r="L703" i="1"/>
  <c r="I704" i="1"/>
  <c r="L704" i="1"/>
  <c r="I705" i="1"/>
  <c r="L705" i="1"/>
  <c r="I706" i="1"/>
  <c r="L706" i="1"/>
  <c r="I707" i="1"/>
  <c r="L707" i="1"/>
  <c r="I708" i="1"/>
  <c r="L708" i="1"/>
  <c r="I709" i="1"/>
  <c r="L709" i="1"/>
  <c r="I710" i="1"/>
  <c r="L710" i="1"/>
  <c r="I711" i="1"/>
  <c r="L711" i="1"/>
  <c r="I712" i="1"/>
  <c r="L712" i="1"/>
  <c r="I713" i="1"/>
  <c r="L713" i="1"/>
  <c r="I714" i="1"/>
  <c r="L714" i="1"/>
  <c r="I715" i="1"/>
  <c r="L715" i="1"/>
  <c r="I716" i="1"/>
  <c r="L716" i="1"/>
  <c r="I717" i="1"/>
  <c r="L717" i="1"/>
  <c r="I718" i="1"/>
  <c r="L718" i="1"/>
  <c r="I719" i="1"/>
  <c r="L719" i="1"/>
  <c r="I720" i="1"/>
  <c r="L720" i="1"/>
  <c r="I721" i="1"/>
  <c r="L721" i="1"/>
  <c r="I722" i="1"/>
  <c r="L722" i="1"/>
  <c r="I723" i="1"/>
  <c r="L723" i="1"/>
  <c r="I724" i="1"/>
  <c r="L724" i="1"/>
  <c r="I725" i="1"/>
  <c r="L725" i="1"/>
  <c r="I726" i="1"/>
  <c r="L726" i="1"/>
  <c r="I727" i="1"/>
  <c r="L727" i="1"/>
  <c r="I728" i="1"/>
  <c r="L728" i="1"/>
  <c r="I729" i="1"/>
  <c r="L729" i="1"/>
  <c r="I730" i="1"/>
  <c r="L730" i="1"/>
  <c r="I731" i="1"/>
  <c r="L731" i="1"/>
  <c r="I732" i="1"/>
  <c r="L732" i="1"/>
  <c r="I733" i="1"/>
  <c r="L733" i="1"/>
  <c r="I734" i="1"/>
  <c r="L734" i="1"/>
  <c r="I735" i="1"/>
  <c r="L735" i="1"/>
  <c r="I736" i="1"/>
  <c r="L736" i="1"/>
  <c r="I737" i="1"/>
  <c r="L737" i="1"/>
  <c r="I738" i="1"/>
  <c r="L738" i="1"/>
  <c r="I739" i="1"/>
  <c r="L739" i="1"/>
  <c r="I740" i="1"/>
  <c r="L740" i="1"/>
  <c r="I741" i="1"/>
  <c r="L741" i="1"/>
  <c r="I742" i="1"/>
  <c r="L742" i="1"/>
  <c r="I743" i="1"/>
  <c r="L743" i="1"/>
  <c r="I744" i="1"/>
  <c r="L744" i="1"/>
  <c r="I745" i="1"/>
  <c r="L745" i="1"/>
  <c r="I746" i="1"/>
  <c r="L746" i="1"/>
  <c r="I747" i="1"/>
  <c r="L747" i="1"/>
  <c r="I748" i="1"/>
  <c r="L748" i="1"/>
  <c r="I749" i="1"/>
  <c r="L749" i="1"/>
  <c r="I750" i="1"/>
  <c r="L750" i="1"/>
  <c r="I751" i="1"/>
  <c r="L751" i="1"/>
  <c r="I752" i="1"/>
  <c r="L752" i="1"/>
  <c r="I753" i="1"/>
  <c r="L753" i="1"/>
  <c r="I754" i="1"/>
  <c r="L754" i="1"/>
  <c r="I755" i="1"/>
  <c r="L755" i="1"/>
  <c r="I756" i="1"/>
  <c r="L756" i="1"/>
  <c r="I757" i="1"/>
  <c r="L757" i="1"/>
  <c r="I758" i="1"/>
  <c r="L758" i="1"/>
  <c r="I759" i="1"/>
  <c r="L759" i="1"/>
  <c r="I760" i="1"/>
  <c r="L760" i="1"/>
  <c r="I761" i="1"/>
  <c r="L761" i="1"/>
  <c r="I762" i="1"/>
  <c r="L762" i="1"/>
  <c r="I763" i="1"/>
  <c r="L763" i="1"/>
  <c r="I764" i="1"/>
  <c r="L764" i="1"/>
  <c r="I765" i="1"/>
  <c r="L765" i="1"/>
  <c r="I766" i="1"/>
  <c r="L766" i="1"/>
  <c r="I767" i="1"/>
  <c r="L767" i="1"/>
  <c r="I768" i="1"/>
  <c r="L768" i="1"/>
  <c r="I769" i="1"/>
  <c r="L769" i="1"/>
  <c r="I770" i="1"/>
  <c r="L770" i="1"/>
  <c r="I771" i="1"/>
  <c r="L771" i="1"/>
  <c r="I772" i="1"/>
  <c r="L772" i="1"/>
  <c r="I773" i="1"/>
  <c r="L773" i="1"/>
  <c r="I774" i="1"/>
  <c r="L774" i="1"/>
  <c r="I775" i="1"/>
  <c r="L775" i="1"/>
  <c r="I776" i="1"/>
  <c r="L776" i="1"/>
  <c r="I777" i="1"/>
  <c r="L777" i="1"/>
  <c r="I778" i="1"/>
  <c r="L778" i="1"/>
  <c r="I779" i="1"/>
  <c r="L779" i="1"/>
  <c r="I780" i="1"/>
  <c r="L780" i="1"/>
  <c r="I781" i="1"/>
  <c r="L781" i="1"/>
  <c r="I782" i="1"/>
  <c r="L782" i="1"/>
  <c r="I783" i="1"/>
  <c r="L783" i="1"/>
  <c r="I784" i="1"/>
  <c r="L784" i="1"/>
  <c r="I785" i="1"/>
  <c r="L785" i="1"/>
  <c r="I786" i="1"/>
  <c r="L786" i="1"/>
  <c r="I787" i="1"/>
  <c r="L787" i="1"/>
  <c r="I788" i="1"/>
  <c r="L788" i="1"/>
  <c r="I789" i="1"/>
  <c r="L789" i="1"/>
  <c r="I790" i="1"/>
  <c r="L790" i="1"/>
  <c r="I791" i="1"/>
  <c r="L791" i="1"/>
  <c r="I792" i="1"/>
  <c r="L792" i="1"/>
  <c r="I793" i="1"/>
  <c r="L793" i="1"/>
  <c r="I794" i="1"/>
  <c r="L794" i="1"/>
  <c r="I795" i="1"/>
  <c r="L795" i="1"/>
  <c r="I796" i="1"/>
  <c r="L796" i="1"/>
  <c r="I797" i="1"/>
  <c r="L797" i="1"/>
  <c r="I798" i="1"/>
  <c r="L798" i="1"/>
  <c r="I799" i="1"/>
  <c r="L799" i="1"/>
  <c r="I800" i="1"/>
  <c r="L800" i="1"/>
  <c r="I801" i="1"/>
  <c r="L801" i="1"/>
  <c r="I802" i="1"/>
  <c r="L802" i="1"/>
  <c r="I803" i="1"/>
  <c r="L803" i="1"/>
  <c r="I804" i="1"/>
  <c r="L804" i="1"/>
  <c r="I805" i="1"/>
  <c r="L805" i="1"/>
  <c r="I806" i="1"/>
  <c r="L806" i="1"/>
  <c r="I807" i="1"/>
  <c r="L807" i="1"/>
  <c r="I808" i="1"/>
  <c r="L808" i="1"/>
  <c r="I809" i="1"/>
  <c r="L809" i="1"/>
  <c r="I810" i="1"/>
  <c r="L810" i="1"/>
  <c r="I811" i="1"/>
  <c r="L811" i="1"/>
  <c r="I812" i="1"/>
  <c r="L812" i="1"/>
  <c r="I813" i="1"/>
  <c r="L813" i="1"/>
  <c r="I814" i="1"/>
  <c r="L814" i="1"/>
  <c r="I815" i="1"/>
  <c r="L815" i="1"/>
  <c r="I816" i="1"/>
  <c r="L816" i="1"/>
  <c r="I817" i="1"/>
  <c r="L817" i="1"/>
  <c r="I818" i="1"/>
  <c r="L818" i="1"/>
  <c r="I819" i="1"/>
  <c r="L819" i="1"/>
  <c r="I820" i="1"/>
  <c r="L820" i="1"/>
  <c r="I821" i="1"/>
  <c r="L821" i="1"/>
  <c r="I822" i="1"/>
  <c r="L822" i="1"/>
  <c r="I823" i="1"/>
  <c r="L823" i="1"/>
  <c r="I824" i="1"/>
  <c r="L824" i="1"/>
  <c r="I825" i="1"/>
  <c r="L825" i="1"/>
  <c r="I826" i="1"/>
  <c r="L826" i="1"/>
  <c r="I827" i="1"/>
  <c r="L827" i="1"/>
  <c r="I828" i="1"/>
  <c r="L828" i="1"/>
  <c r="I829" i="1"/>
  <c r="L829" i="1"/>
  <c r="I830" i="1"/>
  <c r="L830" i="1"/>
  <c r="I831" i="1"/>
  <c r="L831" i="1"/>
  <c r="I832" i="1"/>
  <c r="L832" i="1"/>
  <c r="I833" i="1"/>
  <c r="L833" i="1"/>
  <c r="I834" i="1"/>
  <c r="L834" i="1"/>
  <c r="I835" i="1"/>
  <c r="L835" i="1"/>
  <c r="I836" i="1"/>
  <c r="L836" i="1"/>
  <c r="I837" i="1"/>
  <c r="L837" i="1"/>
  <c r="I838" i="1"/>
  <c r="L838" i="1"/>
  <c r="I839" i="1"/>
  <c r="L839" i="1"/>
  <c r="I840" i="1"/>
  <c r="L840" i="1"/>
  <c r="I841" i="1"/>
  <c r="L841" i="1"/>
  <c r="I842" i="1"/>
  <c r="L842" i="1"/>
  <c r="I843" i="1"/>
  <c r="L843" i="1"/>
  <c r="I844" i="1"/>
  <c r="L844" i="1"/>
  <c r="I845" i="1"/>
  <c r="L845" i="1"/>
  <c r="I846" i="1"/>
  <c r="L846" i="1"/>
  <c r="I847" i="1"/>
  <c r="L847" i="1"/>
  <c r="I848" i="1"/>
  <c r="L848" i="1"/>
  <c r="I849" i="1"/>
  <c r="L849" i="1"/>
  <c r="I850" i="1"/>
  <c r="L850" i="1"/>
  <c r="I851" i="1"/>
  <c r="L851" i="1"/>
  <c r="I852" i="1"/>
  <c r="L852" i="1"/>
  <c r="I853" i="1"/>
  <c r="L853" i="1"/>
  <c r="I854" i="1"/>
  <c r="L854" i="1"/>
  <c r="I855" i="1"/>
  <c r="L855" i="1"/>
  <c r="I856" i="1"/>
  <c r="L856" i="1"/>
  <c r="I857" i="1"/>
  <c r="L857" i="1"/>
  <c r="I858" i="1"/>
  <c r="L858" i="1"/>
  <c r="I859" i="1"/>
  <c r="L859" i="1"/>
  <c r="I860" i="1"/>
  <c r="L860" i="1"/>
  <c r="I861" i="1"/>
  <c r="L861" i="1"/>
  <c r="I862" i="1"/>
  <c r="L862" i="1"/>
  <c r="I863" i="1"/>
  <c r="L863" i="1"/>
  <c r="I864" i="1"/>
  <c r="L864" i="1"/>
  <c r="I865" i="1"/>
  <c r="L865" i="1"/>
  <c r="I866" i="1"/>
  <c r="L866" i="1"/>
  <c r="I867" i="1"/>
  <c r="L867" i="1"/>
  <c r="I868" i="1"/>
  <c r="L868" i="1"/>
  <c r="I869" i="1"/>
  <c r="L869" i="1"/>
  <c r="I870" i="1"/>
  <c r="L870" i="1"/>
  <c r="I871" i="1"/>
  <c r="L871" i="1"/>
  <c r="I872" i="1"/>
  <c r="L872" i="1"/>
  <c r="I873" i="1"/>
  <c r="L873" i="1"/>
  <c r="I874" i="1"/>
  <c r="L874" i="1"/>
  <c r="I875" i="1"/>
  <c r="L875" i="1"/>
  <c r="I876" i="1"/>
  <c r="L876" i="1"/>
  <c r="I877" i="1"/>
  <c r="L877" i="1"/>
  <c r="I878" i="1"/>
  <c r="L878" i="1"/>
  <c r="I879" i="1"/>
  <c r="L879" i="1"/>
  <c r="I880" i="1"/>
  <c r="L880" i="1"/>
  <c r="I881" i="1"/>
  <c r="L881" i="1"/>
  <c r="I882" i="1"/>
  <c r="L882" i="1"/>
  <c r="I883" i="1"/>
  <c r="L883" i="1"/>
  <c r="I884" i="1"/>
  <c r="L884" i="1"/>
  <c r="I885" i="1"/>
  <c r="L885" i="1"/>
  <c r="I886" i="1"/>
  <c r="L886" i="1"/>
  <c r="I887" i="1"/>
  <c r="L887" i="1"/>
  <c r="I888" i="1"/>
  <c r="L888" i="1"/>
  <c r="I889" i="1"/>
  <c r="L889" i="1"/>
  <c r="I890" i="1"/>
  <c r="L890" i="1"/>
  <c r="I891" i="1"/>
  <c r="L891" i="1"/>
  <c r="I892" i="1"/>
  <c r="L892" i="1"/>
  <c r="I893" i="1"/>
  <c r="L893" i="1"/>
  <c r="I894" i="1"/>
  <c r="L894" i="1"/>
  <c r="I895" i="1"/>
  <c r="L895" i="1"/>
  <c r="I896" i="1"/>
  <c r="L896" i="1"/>
  <c r="I897" i="1"/>
  <c r="L897" i="1"/>
  <c r="I898" i="1"/>
  <c r="L898" i="1"/>
  <c r="I899" i="1"/>
  <c r="L899" i="1"/>
  <c r="I900" i="1"/>
  <c r="L900" i="1"/>
  <c r="I901" i="1"/>
  <c r="L901" i="1"/>
  <c r="I902" i="1"/>
  <c r="L902" i="1"/>
  <c r="I903" i="1"/>
  <c r="L903" i="1"/>
  <c r="I904" i="1"/>
  <c r="L904" i="1"/>
  <c r="I905" i="1"/>
  <c r="L905" i="1"/>
  <c r="I906" i="1"/>
  <c r="L906" i="1"/>
  <c r="I907" i="1"/>
  <c r="L907" i="1"/>
  <c r="I908" i="1"/>
  <c r="L908" i="1"/>
  <c r="I909" i="1"/>
  <c r="L909" i="1"/>
  <c r="I910" i="1"/>
  <c r="L910" i="1"/>
  <c r="I911" i="1"/>
  <c r="L911" i="1"/>
  <c r="I912" i="1"/>
  <c r="L912" i="1"/>
  <c r="I913" i="1"/>
  <c r="L913" i="1"/>
  <c r="I914" i="1"/>
  <c r="L914" i="1"/>
  <c r="I915" i="1"/>
  <c r="L915" i="1"/>
  <c r="I916" i="1"/>
  <c r="L916" i="1"/>
  <c r="I917" i="1"/>
  <c r="L917" i="1"/>
  <c r="I918" i="1"/>
  <c r="L918" i="1"/>
  <c r="I919" i="1"/>
  <c r="L919" i="1"/>
  <c r="I920" i="1"/>
  <c r="L920" i="1"/>
  <c r="I921" i="1"/>
  <c r="L921" i="1"/>
  <c r="I922" i="1"/>
  <c r="L922" i="1"/>
  <c r="I923" i="1"/>
  <c r="L923" i="1"/>
  <c r="I924" i="1"/>
  <c r="L924" i="1"/>
  <c r="I925" i="1"/>
  <c r="L925" i="1"/>
  <c r="I926" i="1"/>
  <c r="L926" i="1"/>
  <c r="I927" i="1"/>
  <c r="L927" i="1"/>
  <c r="I928" i="1"/>
  <c r="L928" i="1"/>
  <c r="I929" i="1"/>
  <c r="L929" i="1"/>
  <c r="I930" i="1"/>
  <c r="L930" i="1"/>
  <c r="I931" i="1"/>
  <c r="L931" i="1"/>
  <c r="I932" i="1"/>
  <c r="L932" i="1"/>
  <c r="I933" i="1"/>
  <c r="L933" i="1"/>
  <c r="I934" i="1"/>
  <c r="L934" i="1"/>
  <c r="I935" i="1"/>
  <c r="L935" i="1"/>
  <c r="I936" i="1"/>
  <c r="L936" i="1"/>
  <c r="I937" i="1"/>
  <c r="L937" i="1"/>
  <c r="I938" i="1"/>
  <c r="L938" i="1"/>
  <c r="I939" i="1"/>
  <c r="L939" i="1"/>
  <c r="I940" i="1"/>
  <c r="L940" i="1"/>
  <c r="I941" i="1"/>
  <c r="L941" i="1"/>
  <c r="I942" i="1"/>
  <c r="L942" i="1"/>
  <c r="I943" i="1"/>
  <c r="L943" i="1"/>
  <c r="I944" i="1"/>
  <c r="L944" i="1"/>
  <c r="I945" i="1"/>
  <c r="L945" i="1"/>
  <c r="I946" i="1"/>
  <c r="L946" i="1"/>
  <c r="I947" i="1"/>
  <c r="L947" i="1"/>
  <c r="I948" i="1"/>
  <c r="L948" i="1"/>
  <c r="I949" i="1"/>
  <c r="L949" i="1"/>
  <c r="I950" i="1"/>
  <c r="L950" i="1"/>
  <c r="I951" i="1"/>
  <c r="L951" i="1"/>
  <c r="I952" i="1"/>
  <c r="L952" i="1"/>
  <c r="I953" i="1"/>
  <c r="L953" i="1"/>
  <c r="I954" i="1"/>
  <c r="L954" i="1"/>
  <c r="I955" i="1"/>
  <c r="L955" i="1"/>
  <c r="I956" i="1"/>
  <c r="L956" i="1"/>
  <c r="I957" i="1"/>
  <c r="L957" i="1"/>
  <c r="I958" i="1"/>
  <c r="L958" i="1"/>
  <c r="I959" i="1"/>
  <c r="L959" i="1"/>
  <c r="I960" i="1"/>
  <c r="L960" i="1"/>
  <c r="I961" i="1"/>
  <c r="L961" i="1"/>
  <c r="I962" i="1"/>
  <c r="L962" i="1"/>
  <c r="I963" i="1"/>
  <c r="L963" i="1"/>
  <c r="I964" i="1"/>
  <c r="L964" i="1"/>
  <c r="I965" i="1"/>
  <c r="L965" i="1"/>
  <c r="I966" i="1"/>
  <c r="L966" i="1"/>
  <c r="I967" i="1"/>
  <c r="L967" i="1"/>
  <c r="I968" i="1"/>
  <c r="L968" i="1"/>
  <c r="I969" i="1"/>
  <c r="L969" i="1"/>
  <c r="I970" i="1"/>
  <c r="L970" i="1"/>
  <c r="I971" i="1"/>
  <c r="L971" i="1"/>
  <c r="I972" i="1"/>
  <c r="L972" i="1"/>
  <c r="I973" i="1"/>
  <c r="L973" i="1"/>
  <c r="I974" i="1"/>
  <c r="L974" i="1"/>
  <c r="I975" i="1"/>
  <c r="L975" i="1"/>
  <c r="I976" i="1"/>
  <c r="L976" i="1"/>
  <c r="I977" i="1"/>
  <c r="L977" i="1"/>
  <c r="I978" i="1"/>
  <c r="L978" i="1"/>
  <c r="I979" i="1"/>
  <c r="L979" i="1"/>
  <c r="I980" i="1"/>
  <c r="L980" i="1"/>
  <c r="I981" i="1"/>
  <c r="L981" i="1"/>
  <c r="I982" i="1"/>
  <c r="L982" i="1"/>
  <c r="I983" i="1"/>
  <c r="L983" i="1"/>
  <c r="I984" i="1"/>
  <c r="L984" i="1"/>
  <c r="I985" i="1"/>
  <c r="L985" i="1"/>
  <c r="I986" i="1"/>
  <c r="L986" i="1"/>
  <c r="I987" i="1"/>
  <c r="L987" i="1"/>
  <c r="I988" i="1"/>
  <c r="L988" i="1"/>
  <c r="I989" i="1"/>
  <c r="L989" i="1"/>
  <c r="I990" i="1"/>
  <c r="L990" i="1"/>
  <c r="I991" i="1"/>
  <c r="L991" i="1"/>
  <c r="I992" i="1"/>
  <c r="L992" i="1"/>
  <c r="I993" i="1"/>
  <c r="L993" i="1"/>
  <c r="I994" i="1"/>
  <c r="L994" i="1"/>
  <c r="I995" i="1"/>
  <c r="L995" i="1"/>
  <c r="I996" i="1"/>
  <c r="L996" i="1"/>
  <c r="I997" i="1"/>
  <c r="L997" i="1"/>
  <c r="I998" i="1"/>
  <c r="L998" i="1"/>
  <c r="I999" i="1"/>
  <c r="L999" i="1"/>
  <c r="I1000" i="1"/>
  <c r="L1000" i="1"/>
  <c r="I1001" i="1"/>
  <c r="L1001" i="1"/>
  <c r="I1002" i="1"/>
  <c r="L1002" i="1"/>
  <c r="I1003" i="1"/>
  <c r="L1003" i="1"/>
  <c r="I1004" i="1"/>
  <c r="L1004" i="1"/>
  <c r="I1005" i="1"/>
  <c r="L1005" i="1"/>
  <c r="I1006" i="1"/>
  <c r="L1006" i="1"/>
  <c r="I1007" i="1"/>
  <c r="L1007" i="1"/>
  <c r="I1008" i="1"/>
  <c r="L1008" i="1"/>
  <c r="I1009" i="1"/>
  <c r="L1009" i="1"/>
  <c r="I1010" i="1"/>
  <c r="L1010" i="1"/>
  <c r="I1011" i="1"/>
  <c r="L1011" i="1"/>
  <c r="I1012" i="1"/>
  <c r="L1012" i="1"/>
  <c r="I1013" i="1"/>
  <c r="L1013" i="1"/>
  <c r="I1014" i="1"/>
  <c r="L1014" i="1"/>
  <c r="I1015" i="1"/>
  <c r="L1015" i="1"/>
  <c r="I1016" i="1"/>
  <c r="L1016" i="1"/>
  <c r="I1017" i="1"/>
  <c r="L1017" i="1"/>
  <c r="I1018" i="1"/>
  <c r="L1018" i="1"/>
  <c r="I1019" i="1"/>
  <c r="L1019" i="1"/>
  <c r="I1020" i="1"/>
  <c r="L1020" i="1"/>
  <c r="I1021" i="1"/>
  <c r="L1021" i="1"/>
  <c r="I1022" i="1"/>
  <c r="L1022" i="1"/>
  <c r="I1023" i="1"/>
  <c r="L1023" i="1"/>
  <c r="I1024" i="1"/>
  <c r="L1024" i="1"/>
  <c r="I1025" i="1"/>
  <c r="L1025" i="1"/>
  <c r="I1026" i="1"/>
  <c r="L1026" i="1"/>
  <c r="I1027" i="1"/>
  <c r="L1027" i="1"/>
  <c r="I1028" i="1"/>
  <c r="L1028" i="1"/>
  <c r="I1029" i="1"/>
  <c r="L1029" i="1"/>
  <c r="I1030" i="1"/>
  <c r="L1030" i="1"/>
  <c r="I1031" i="1"/>
  <c r="L1031" i="1"/>
  <c r="I1032" i="1"/>
  <c r="L1032" i="1"/>
  <c r="I1033" i="1"/>
  <c r="L1033" i="1"/>
  <c r="I1034" i="1"/>
  <c r="L1034" i="1"/>
  <c r="I1035" i="1"/>
  <c r="L1035" i="1"/>
  <c r="I1036" i="1"/>
  <c r="L1036" i="1"/>
  <c r="I1037" i="1"/>
  <c r="L1037" i="1"/>
  <c r="I1038" i="1"/>
  <c r="L1038" i="1"/>
  <c r="I1039" i="1"/>
  <c r="L1039" i="1"/>
  <c r="I1040" i="1"/>
  <c r="L1040" i="1"/>
  <c r="I1041" i="1"/>
  <c r="L1041" i="1"/>
  <c r="I1042" i="1"/>
  <c r="L1042" i="1"/>
  <c r="I1043" i="1"/>
  <c r="L1043" i="1"/>
  <c r="I1044" i="1"/>
  <c r="L1044" i="1"/>
  <c r="I1045" i="1"/>
  <c r="L1045" i="1"/>
  <c r="I1046" i="1"/>
  <c r="L1046" i="1"/>
  <c r="I1047" i="1"/>
  <c r="L1047" i="1"/>
  <c r="I1048" i="1"/>
  <c r="L1048" i="1"/>
  <c r="I1049" i="1"/>
  <c r="L1049" i="1"/>
  <c r="I1050" i="1"/>
  <c r="L1050" i="1"/>
  <c r="I1051" i="1"/>
  <c r="L1051" i="1"/>
  <c r="I1052" i="1"/>
  <c r="L1052" i="1"/>
  <c r="I1053" i="1"/>
  <c r="L1053" i="1"/>
  <c r="I1054" i="1"/>
  <c r="L1054" i="1"/>
  <c r="I1055" i="1"/>
  <c r="L1055" i="1"/>
  <c r="I1056" i="1"/>
  <c r="L1056" i="1"/>
  <c r="I1057" i="1"/>
  <c r="L1057" i="1"/>
  <c r="I1058" i="1"/>
  <c r="L1058" i="1"/>
  <c r="I1059" i="1"/>
  <c r="L1059" i="1"/>
  <c r="I1060" i="1"/>
  <c r="L1060" i="1"/>
  <c r="I1061" i="1"/>
  <c r="L1061" i="1"/>
  <c r="I1062" i="1"/>
  <c r="L1062" i="1"/>
  <c r="I1063" i="1"/>
  <c r="L1063" i="1"/>
  <c r="I1064" i="1"/>
  <c r="L1064" i="1"/>
  <c r="I1065" i="1"/>
  <c r="L1065" i="1"/>
  <c r="I1066" i="1"/>
  <c r="L1066" i="1"/>
  <c r="I1067" i="1"/>
  <c r="L1067" i="1"/>
  <c r="I1068" i="1"/>
  <c r="L1068" i="1"/>
  <c r="I1069" i="1"/>
  <c r="L1069" i="1"/>
  <c r="I1070" i="1"/>
  <c r="L1070" i="1"/>
  <c r="I1071" i="1"/>
  <c r="L1071" i="1"/>
  <c r="I1072" i="1"/>
  <c r="L1072" i="1"/>
  <c r="I1073" i="1"/>
  <c r="L1073" i="1"/>
  <c r="I1074" i="1"/>
  <c r="L1074" i="1"/>
  <c r="I1075" i="1"/>
  <c r="L1075" i="1"/>
  <c r="I1076" i="1"/>
  <c r="L1076" i="1"/>
  <c r="I1077" i="1"/>
  <c r="L1077" i="1"/>
  <c r="I1078" i="1"/>
  <c r="L1078" i="1"/>
  <c r="I1079" i="1"/>
  <c r="L1079" i="1"/>
  <c r="I1080" i="1"/>
  <c r="L1080" i="1"/>
  <c r="I1081" i="1"/>
  <c r="L1081" i="1"/>
  <c r="I1082" i="1"/>
  <c r="L1082" i="1"/>
  <c r="I1083" i="1"/>
  <c r="L1083" i="1"/>
  <c r="I1084" i="1"/>
  <c r="L1084" i="1"/>
  <c r="I1085" i="1"/>
  <c r="L1085" i="1"/>
  <c r="I1086" i="1"/>
  <c r="L1086" i="1"/>
  <c r="I1087" i="1"/>
  <c r="L1087" i="1"/>
  <c r="I1088" i="1"/>
  <c r="L1088" i="1"/>
  <c r="I1089" i="1"/>
  <c r="L1089" i="1"/>
  <c r="I1090" i="1"/>
  <c r="L1090" i="1"/>
  <c r="I1091" i="1"/>
  <c r="L1091" i="1"/>
  <c r="I1092" i="1"/>
  <c r="L1092" i="1"/>
  <c r="I1093" i="1"/>
  <c r="L1093" i="1"/>
  <c r="I1094" i="1"/>
  <c r="L1094" i="1"/>
  <c r="I1095" i="1"/>
  <c r="L1095" i="1"/>
  <c r="I1096" i="1"/>
  <c r="L1096" i="1"/>
  <c r="I1097" i="1"/>
  <c r="L1097" i="1"/>
  <c r="I1098" i="1"/>
  <c r="L1098" i="1"/>
  <c r="I1099" i="1"/>
  <c r="L1099" i="1"/>
  <c r="I1100" i="1"/>
  <c r="L1100" i="1"/>
  <c r="I1101" i="1"/>
  <c r="L1101" i="1"/>
  <c r="I1102" i="1"/>
  <c r="L1102" i="1"/>
  <c r="I1103" i="1"/>
  <c r="L1103" i="1"/>
  <c r="I1104" i="1"/>
  <c r="L1104" i="1"/>
  <c r="I1105" i="1"/>
  <c r="L1105" i="1"/>
  <c r="I1106" i="1"/>
  <c r="L1106" i="1"/>
  <c r="I1107" i="1"/>
  <c r="L1107" i="1"/>
  <c r="I1108" i="1"/>
  <c r="L1108" i="1"/>
  <c r="I1109" i="1"/>
  <c r="L1109" i="1"/>
  <c r="I1110" i="1"/>
  <c r="L1110" i="1"/>
  <c r="I1111" i="1"/>
  <c r="L1111" i="1"/>
  <c r="I1112" i="1"/>
  <c r="L1112" i="1"/>
  <c r="I1113" i="1"/>
  <c r="L1113" i="1"/>
  <c r="I1114" i="1"/>
  <c r="L1114" i="1"/>
  <c r="I1115" i="1"/>
  <c r="L1115" i="1"/>
  <c r="I1116" i="1"/>
  <c r="L1116" i="1"/>
  <c r="I1117" i="1"/>
  <c r="L1117" i="1"/>
  <c r="I1118" i="1"/>
  <c r="L1118" i="1"/>
  <c r="I1119" i="1"/>
  <c r="L1119" i="1"/>
  <c r="I1120" i="1"/>
  <c r="L1120" i="1"/>
  <c r="I1121" i="1"/>
  <c r="L1121" i="1"/>
  <c r="I1122" i="1"/>
  <c r="L1122" i="1"/>
  <c r="I1123" i="1"/>
  <c r="L1123" i="1"/>
  <c r="I1124" i="1"/>
  <c r="L1124" i="1"/>
  <c r="I1125" i="1"/>
  <c r="L1125" i="1"/>
  <c r="I1126" i="1"/>
  <c r="L1126" i="1"/>
  <c r="I1127" i="1"/>
  <c r="L1127" i="1"/>
  <c r="I1128" i="1"/>
  <c r="L1128" i="1"/>
  <c r="I1129" i="1"/>
  <c r="L1129" i="1"/>
  <c r="I1130" i="1"/>
  <c r="L1130" i="1"/>
  <c r="I1131" i="1"/>
  <c r="L1131" i="1"/>
  <c r="I1132" i="1"/>
  <c r="L1132" i="1"/>
  <c r="I1133" i="1"/>
  <c r="L1133" i="1"/>
  <c r="I1134" i="1"/>
  <c r="L1134" i="1"/>
  <c r="I1135" i="1"/>
  <c r="L1135" i="1"/>
  <c r="I1136" i="1"/>
  <c r="L1136" i="1"/>
  <c r="I1137" i="1"/>
  <c r="L1137" i="1"/>
  <c r="I1138" i="1"/>
  <c r="L1138" i="1"/>
  <c r="I1139" i="1"/>
  <c r="L1139" i="1"/>
  <c r="I1140" i="1"/>
  <c r="L1140" i="1"/>
  <c r="I1141" i="1"/>
  <c r="L1141" i="1"/>
  <c r="I1142" i="1"/>
  <c r="L1142" i="1"/>
  <c r="I1143" i="1"/>
  <c r="L1143" i="1"/>
  <c r="I1144" i="1"/>
  <c r="L1144" i="1"/>
  <c r="I1145" i="1"/>
  <c r="L1145" i="1"/>
  <c r="I1146" i="1"/>
  <c r="L1146" i="1"/>
  <c r="I1147" i="1"/>
  <c r="L1147" i="1"/>
  <c r="I1148" i="1"/>
  <c r="L1148" i="1"/>
  <c r="I1149" i="1"/>
  <c r="L1149" i="1"/>
  <c r="I1150" i="1"/>
  <c r="L1150" i="1"/>
  <c r="I1151" i="1"/>
  <c r="L1151" i="1"/>
  <c r="I1152" i="1"/>
  <c r="L1152" i="1"/>
  <c r="I1153" i="1"/>
  <c r="L1153" i="1"/>
  <c r="I1154" i="1"/>
  <c r="L1154" i="1"/>
  <c r="I1155" i="1"/>
  <c r="L1155" i="1"/>
  <c r="I1156" i="1"/>
  <c r="L1156" i="1"/>
  <c r="I1157" i="1"/>
  <c r="L1157" i="1"/>
  <c r="I1158" i="1"/>
  <c r="L1158" i="1"/>
  <c r="I1159" i="1"/>
  <c r="L1159" i="1"/>
  <c r="I1160" i="1"/>
  <c r="L1160" i="1"/>
  <c r="I1161" i="1"/>
  <c r="L1161" i="1"/>
  <c r="I1162" i="1"/>
  <c r="L1162" i="1"/>
  <c r="I1163" i="1"/>
  <c r="L1163" i="1"/>
  <c r="I1164" i="1"/>
  <c r="L1164" i="1"/>
  <c r="I1165" i="1"/>
  <c r="L1165" i="1"/>
  <c r="I1166" i="1"/>
  <c r="L1166" i="1"/>
  <c r="I1167" i="1"/>
  <c r="L1167" i="1"/>
  <c r="I1168" i="1"/>
  <c r="L1168" i="1"/>
  <c r="I1169" i="1"/>
  <c r="L1169" i="1"/>
  <c r="I1170" i="1"/>
  <c r="L1170" i="1"/>
  <c r="I1171" i="1"/>
  <c r="L1171" i="1"/>
  <c r="I1172" i="1"/>
  <c r="L1172" i="1"/>
  <c r="I1173" i="1"/>
  <c r="L1173" i="1"/>
  <c r="I1174" i="1"/>
  <c r="L1174" i="1"/>
  <c r="I1175" i="1"/>
  <c r="L1175" i="1"/>
  <c r="I1176" i="1"/>
  <c r="L1176" i="1"/>
  <c r="I1177" i="1"/>
  <c r="L1177" i="1"/>
  <c r="I1178" i="1"/>
  <c r="L1178" i="1"/>
  <c r="I1179" i="1"/>
  <c r="L1179" i="1"/>
  <c r="I1180" i="1"/>
  <c r="L1180" i="1"/>
  <c r="I1181" i="1"/>
  <c r="L1181" i="1"/>
  <c r="I1182" i="1"/>
  <c r="L1182" i="1"/>
  <c r="I1183" i="1"/>
  <c r="L1183" i="1"/>
  <c r="I1184" i="1"/>
  <c r="L1184" i="1"/>
  <c r="I1185" i="1"/>
  <c r="L1185" i="1"/>
  <c r="I1186" i="1"/>
  <c r="L1186" i="1"/>
  <c r="I1187" i="1"/>
  <c r="L1187" i="1"/>
  <c r="I1188" i="1"/>
  <c r="L1188" i="1"/>
  <c r="I1189" i="1"/>
  <c r="L1189" i="1"/>
  <c r="I1190" i="1"/>
  <c r="L1190" i="1"/>
  <c r="I1191" i="1"/>
  <c r="L1191" i="1"/>
  <c r="I1192" i="1"/>
  <c r="L1192" i="1"/>
  <c r="I1193" i="1"/>
  <c r="L1193" i="1"/>
  <c r="I1194" i="1"/>
  <c r="L1194" i="1"/>
  <c r="I1195" i="1"/>
  <c r="L1195" i="1"/>
  <c r="I1196" i="1"/>
  <c r="L1196" i="1"/>
  <c r="I1197" i="1"/>
  <c r="L1197" i="1"/>
  <c r="I1198" i="1"/>
  <c r="L1198" i="1"/>
  <c r="I1199" i="1"/>
  <c r="L1199" i="1"/>
  <c r="I1200" i="1"/>
  <c r="L1200" i="1"/>
  <c r="I1201" i="1"/>
  <c r="L1201" i="1"/>
  <c r="K2" i="1" l="1"/>
  <c r="K10" i="1"/>
  <c r="K13" i="1"/>
  <c r="K15" i="1"/>
  <c r="K17" i="1"/>
  <c r="K20" i="1"/>
  <c r="K22" i="1"/>
  <c r="K24" i="1"/>
  <c r="K26" i="1"/>
  <c r="K28" i="1"/>
  <c r="K30" i="1"/>
  <c r="K32" i="1"/>
  <c r="K34" i="1"/>
  <c r="K36" i="1"/>
  <c r="K38" i="1"/>
  <c r="K39" i="1"/>
  <c r="K42" i="1"/>
  <c r="K48" i="1"/>
  <c r="K52" i="1"/>
  <c r="K56" i="1"/>
  <c r="K131" i="1"/>
  <c r="K135" i="1"/>
  <c r="K138" i="1"/>
  <c r="K141" i="1"/>
  <c r="K144" i="1"/>
  <c r="K147" i="1"/>
  <c r="K150" i="1"/>
  <c r="K153" i="1"/>
  <c r="K156" i="1"/>
  <c r="K160" i="1"/>
  <c r="K163" i="1"/>
  <c r="K166" i="1"/>
  <c r="K177" i="1"/>
  <c r="K182" i="1"/>
  <c r="K185" i="1"/>
  <c r="K188" i="1"/>
  <c r="K192" i="1"/>
  <c r="K195" i="1"/>
  <c r="K198" i="1"/>
  <c r="K201" i="1"/>
  <c r="K204" i="1"/>
  <c r="K207" i="1"/>
  <c r="K210" i="1"/>
  <c r="K214" i="1"/>
  <c r="K217" i="1"/>
  <c r="K220" i="1"/>
  <c r="K223" i="1"/>
  <c r="K226" i="1"/>
  <c r="K232" i="1"/>
  <c r="K248" i="1"/>
  <c r="K255" i="1"/>
  <c r="K347" i="1"/>
  <c r="K351" i="1"/>
  <c r="K353" i="1"/>
  <c r="K356" i="1"/>
  <c r="K359" i="1"/>
  <c r="K364" i="1"/>
  <c r="K367" i="1"/>
  <c r="K369" i="1"/>
  <c r="K375" i="1"/>
  <c r="K378" i="1"/>
  <c r="K381" i="1"/>
  <c r="K410" i="1"/>
  <c r="K487" i="1"/>
  <c r="K517" i="1"/>
  <c r="K527" i="1"/>
  <c r="K537" i="1"/>
  <c r="K568" i="1"/>
  <c r="K601" i="1"/>
  <c r="K611" i="1"/>
  <c r="K618" i="1"/>
  <c r="K621" i="1"/>
  <c r="K649" i="1"/>
  <c r="K652" i="1"/>
  <c r="K658" i="1"/>
  <c r="K660" i="1"/>
  <c r="K661" i="1"/>
  <c r="K666" i="1"/>
  <c r="K667" i="1"/>
  <c r="K668" i="1"/>
  <c r="K669" i="1"/>
  <c r="K670" i="1"/>
  <c r="K671" i="1"/>
  <c r="K672" i="1"/>
  <c r="K673" i="1"/>
  <c r="K674" i="1"/>
  <c r="K3" i="1"/>
  <c r="K4" i="1"/>
  <c r="K5" i="1"/>
  <c r="K6" i="1"/>
  <c r="K7" i="1"/>
  <c r="K8" i="1"/>
  <c r="K9" i="1"/>
  <c r="K11" i="1"/>
  <c r="K12" i="1"/>
  <c r="K14" i="1"/>
  <c r="K16" i="1"/>
  <c r="K18" i="1"/>
  <c r="K19" i="1"/>
  <c r="K21" i="1"/>
  <c r="K23" i="1"/>
  <c r="K25" i="1"/>
  <c r="K27" i="1"/>
  <c r="K29" i="1"/>
  <c r="K31" i="1"/>
  <c r="K33" i="1"/>
  <c r="K35" i="1"/>
  <c r="K37" i="1"/>
  <c r="K40" i="1"/>
  <c r="K45" i="1"/>
  <c r="K49" i="1"/>
  <c r="K60" i="1"/>
  <c r="K132" i="1"/>
  <c r="K133" i="1"/>
  <c r="K136" i="1"/>
  <c r="K139" i="1"/>
  <c r="K142" i="1"/>
  <c r="K145" i="1"/>
  <c r="K148" i="1"/>
  <c r="K152" i="1"/>
  <c r="K155" i="1"/>
  <c r="K158" i="1"/>
  <c r="K161" i="1"/>
  <c r="K164" i="1"/>
  <c r="K167" i="1"/>
  <c r="K169" i="1"/>
  <c r="K171" i="1"/>
  <c r="K173" i="1"/>
  <c r="K176" i="1"/>
  <c r="K179" i="1"/>
  <c r="K181" i="1"/>
  <c r="K184" i="1"/>
  <c r="K186" i="1"/>
  <c r="K190" i="1"/>
  <c r="K193" i="1"/>
  <c r="K197" i="1"/>
  <c r="K200" i="1"/>
  <c r="K202" i="1"/>
  <c r="K205" i="1"/>
  <c r="K208" i="1"/>
  <c r="K211" i="1"/>
  <c r="K213" i="1"/>
  <c r="K215" i="1"/>
  <c r="K218" i="1"/>
  <c r="K221" i="1"/>
  <c r="K224" i="1"/>
  <c r="K227" i="1"/>
  <c r="K229" i="1"/>
  <c r="K243" i="1"/>
  <c r="K254" i="1"/>
  <c r="K343" i="1"/>
  <c r="K344" i="1"/>
  <c r="K346" i="1"/>
  <c r="K350" i="1"/>
  <c r="K355" i="1"/>
  <c r="K358" i="1"/>
  <c r="K361" i="1"/>
  <c r="K363" i="1"/>
  <c r="K366" i="1"/>
  <c r="K370" i="1"/>
  <c r="K372" i="1"/>
  <c r="K374" i="1"/>
  <c r="K377" i="1"/>
  <c r="K379" i="1"/>
  <c r="K382" i="1"/>
  <c r="K384" i="1"/>
  <c r="K420" i="1"/>
  <c r="K492" i="1"/>
  <c r="K518" i="1"/>
  <c r="K520" i="1"/>
  <c r="K535" i="1"/>
  <c r="K561" i="1"/>
  <c r="K68" i="1"/>
  <c r="K91" i="1"/>
  <c r="K93" i="1"/>
  <c r="K94" i="1"/>
  <c r="K95" i="1"/>
  <c r="K96" i="1"/>
  <c r="K99" i="1"/>
  <c r="K101" i="1"/>
  <c r="K104" i="1"/>
  <c r="K105" i="1"/>
  <c r="K106" i="1"/>
  <c r="K108" i="1"/>
  <c r="K112" i="1"/>
  <c r="K113" i="1"/>
  <c r="K115" i="1"/>
  <c r="K116" i="1"/>
  <c r="K117" i="1"/>
  <c r="K118" i="1"/>
  <c r="K119" i="1"/>
  <c r="K120" i="1"/>
  <c r="K121" i="1"/>
  <c r="K122" i="1"/>
  <c r="K123" i="1"/>
  <c r="K124" i="1"/>
  <c r="K125" i="1"/>
  <c r="K126" i="1"/>
  <c r="K127" i="1"/>
  <c r="K128" i="1"/>
  <c r="K129" i="1"/>
  <c r="K130" i="1"/>
  <c r="K134" i="1"/>
  <c r="K137" i="1"/>
  <c r="K140" i="1"/>
  <c r="K143" i="1"/>
  <c r="K146" i="1"/>
  <c r="K149" i="1"/>
  <c r="K151" i="1"/>
  <c r="K154" i="1"/>
  <c r="K157" i="1"/>
  <c r="K159" i="1"/>
  <c r="K162" i="1"/>
  <c r="K165" i="1"/>
  <c r="K168" i="1"/>
  <c r="K170" i="1"/>
  <c r="K172" i="1"/>
  <c r="K174" i="1"/>
  <c r="K175" i="1"/>
  <c r="K178" i="1"/>
  <c r="K180" i="1"/>
  <c r="K183" i="1"/>
  <c r="K187" i="1"/>
  <c r="K189" i="1"/>
  <c r="K191" i="1"/>
  <c r="K194" i="1"/>
  <c r="K196" i="1"/>
  <c r="K199" i="1"/>
  <c r="K203" i="1"/>
  <c r="K206" i="1"/>
  <c r="K209" i="1"/>
  <c r="K212" i="1"/>
  <c r="K216" i="1"/>
  <c r="K219" i="1"/>
  <c r="K222" i="1"/>
  <c r="K225" i="1"/>
  <c r="K228" i="1"/>
  <c r="K241" i="1"/>
  <c r="K253" i="1"/>
  <c r="K342" i="1"/>
  <c r="K345" i="1"/>
  <c r="K348" i="1"/>
  <c r="K349" i="1"/>
  <c r="K352" i="1"/>
  <c r="K354" i="1"/>
  <c r="K357" i="1"/>
  <c r="K360" i="1"/>
  <c r="K362" i="1"/>
  <c r="K365" i="1"/>
  <c r="K368" i="1"/>
  <c r="K371" i="1"/>
  <c r="K373" i="1"/>
  <c r="K376" i="1"/>
  <c r="K380" i="1"/>
  <c r="K383" i="1"/>
  <c r="K403" i="1"/>
  <c r="K427" i="1"/>
  <c r="K50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483" i="1"/>
  <c r="K675" i="1"/>
  <c r="K676" i="1"/>
  <c r="K677" i="1"/>
  <c r="K678" i="1"/>
  <c r="K679" i="1"/>
  <c r="K680" i="1"/>
  <c r="K681" i="1"/>
  <c r="K682" i="1"/>
  <c r="K683" i="1"/>
  <c r="K684" i="1"/>
  <c r="K860" i="1"/>
  <c r="K861" i="1"/>
  <c r="K862" i="1"/>
  <c r="K863" i="1"/>
  <c r="K864" i="1"/>
  <c r="K865" i="1"/>
  <c r="K866" i="1"/>
  <c r="K867" i="1"/>
  <c r="K869" i="1"/>
  <c r="K871" i="1"/>
  <c r="K883" i="1"/>
  <c r="K900" i="1"/>
  <c r="K901" i="1"/>
  <c r="K903" i="1"/>
  <c r="K930" i="1"/>
  <c r="K950" i="1"/>
  <c r="K966" i="1"/>
  <c r="K1020" i="1"/>
  <c r="K1033" i="1"/>
  <c r="K1034" i="1"/>
  <c r="K1047" i="1"/>
  <c r="K1054" i="1"/>
  <c r="K1095" i="1"/>
  <c r="K1108" i="1"/>
  <c r="K1128" i="1"/>
  <c r="K1164" i="1"/>
  <c r="K1172" i="1"/>
  <c r="K1176" i="1"/>
  <c r="K1178" i="1"/>
  <c r="K1193" i="1"/>
  <c r="K1197" i="1"/>
  <c r="K1201" i="1"/>
  <c r="K685" i="1"/>
  <c r="K686" i="1"/>
  <c r="K687" i="1"/>
  <c r="K688" i="1"/>
  <c r="K689" i="1"/>
  <c r="K690" i="1"/>
  <c r="K691" i="1"/>
  <c r="K692" i="1"/>
  <c r="K693" i="1"/>
  <c r="K694" i="1"/>
  <c r="K695" i="1"/>
  <c r="K696" i="1"/>
  <c r="K697" i="1"/>
  <c r="K698" i="1"/>
  <c r="K699" i="1"/>
  <c r="K700" i="1"/>
  <c r="K701" i="1"/>
  <c r="K702" i="1"/>
  <c r="K703" i="1"/>
  <c r="K704" i="1"/>
  <c r="K706" i="1"/>
  <c r="K717" i="1"/>
  <c r="K719" i="1"/>
  <c r="K728" i="1"/>
  <c r="K733" i="1"/>
  <c r="K738" i="1"/>
  <c r="K741" i="1"/>
  <c r="K744" i="1"/>
  <c r="K778" i="1"/>
  <c r="K792"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50" i="1"/>
  <c r="K57" i="1"/>
  <c r="K59" i="1"/>
  <c r="K64" i="1"/>
  <c r="K413" i="1"/>
  <c r="K418" i="1"/>
  <c r="K421" i="1"/>
  <c r="K422" i="1"/>
  <c r="K441" i="1"/>
  <c r="K465" i="1"/>
  <c r="K469" i="1"/>
  <c r="K490" i="1"/>
  <c r="K498" i="1"/>
  <c r="K536" i="1"/>
  <c r="K541" i="1"/>
  <c r="K558" i="1"/>
  <c r="K559" i="1"/>
  <c r="K562" i="1"/>
  <c r="K565" i="1"/>
  <c r="K567" i="1"/>
  <c r="K569" i="1"/>
  <c r="K572" i="1"/>
  <c r="K575" i="1"/>
  <c r="K576" i="1"/>
  <c r="K579" i="1"/>
  <c r="K581" i="1"/>
  <c r="K582" i="1"/>
  <c r="K583" i="1"/>
  <c r="K589" i="1"/>
  <c r="K591" i="1"/>
  <c r="K592" i="1"/>
  <c r="K599" i="1"/>
  <c r="K600" i="1"/>
  <c r="K607" i="1"/>
  <c r="K651" i="1"/>
  <c r="K655" i="1"/>
  <c r="K656" i="1"/>
  <c r="K718" i="1"/>
  <c r="K723" i="1"/>
  <c r="K725" i="1"/>
  <c r="K729" i="1"/>
  <c r="K734" i="1"/>
  <c r="K736" i="1"/>
  <c r="K743" i="1"/>
  <c r="K746" i="1"/>
  <c r="K754" i="1"/>
  <c r="K755" i="1"/>
  <c r="K756" i="1"/>
  <c r="K758" i="1"/>
  <c r="K763" i="1"/>
  <c r="K771" i="1"/>
  <c r="K775" i="1"/>
  <c r="K779" i="1"/>
  <c r="K783" i="1"/>
  <c r="K784" i="1"/>
  <c r="K794" i="1"/>
  <c r="K800" i="1"/>
  <c r="K53" i="1"/>
  <c r="K61" i="1"/>
  <c r="K78" i="1"/>
  <c r="K82" i="1"/>
  <c r="K251" i="1"/>
  <c r="K385" i="1"/>
  <c r="K393" i="1"/>
  <c r="K394" i="1"/>
  <c r="K395" i="1"/>
  <c r="K398" i="1"/>
  <c r="K448" i="1"/>
  <c r="K449" i="1"/>
  <c r="K452" i="1"/>
  <c r="K453" i="1"/>
  <c r="K454" i="1"/>
  <c r="K455" i="1"/>
  <c r="K456" i="1"/>
  <c r="K481" i="1"/>
  <c r="K496" i="1"/>
  <c r="K497" i="1"/>
  <c r="K506" i="1"/>
  <c r="K528" i="1"/>
  <c r="K529" i="1"/>
  <c r="K540" i="1"/>
  <c r="K622" i="1"/>
  <c r="K641" i="1"/>
  <c r="K642" i="1"/>
  <c r="K645" i="1"/>
  <c r="K647" i="1"/>
  <c r="K648" i="1"/>
  <c r="K650" i="1"/>
  <c r="K662" i="1"/>
  <c r="K732" i="1"/>
  <c r="K735" i="1"/>
  <c r="K740" i="1"/>
  <c r="K762" i="1"/>
  <c r="K776" i="1"/>
  <c r="K777" i="1"/>
  <c r="K46" i="1"/>
  <c r="K47" i="1"/>
  <c r="K58" i="1"/>
  <c r="K65" i="1"/>
  <c r="K66" i="1"/>
  <c r="K70" i="1"/>
  <c r="K71" i="1"/>
  <c r="K73" i="1"/>
  <c r="K74" i="1"/>
  <c r="K76" i="1"/>
  <c r="K80" i="1"/>
  <c r="K84" i="1"/>
  <c r="K85" i="1"/>
  <c r="K86" i="1"/>
  <c r="K88" i="1"/>
  <c r="K90" i="1"/>
  <c r="K98" i="1"/>
  <c r="K103" i="1"/>
  <c r="K107" i="1"/>
  <c r="K111" i="1"/>
  <c r="K233" i="1"/>
  <c r="K234" i="1"/>
  <c r="K235" i="1"/>
  <c r="K238" i="1"/>
  <c r="K244" i="1"/>
  <c r="K247" i="1"/>
  <c r="K250" i="1"/>
  <c r="K386" i="1"/>
  <c r="K387" i="1"/>
  <c r="K389" i="1"/>
  <c r="K411" i="1"/>
  <c r="K414" i="1"/>
  <c r="K415" i="1"/>
  <c r="K419" i="1"/>
  <c r="K423" i="1"/>
  <c r="K424" i="1"/>
  <c r="K429" i="1"/>
  <c r="K430" i="1"/>
  <c r="K459" i="1"/>
  <c r="K460" i="1"/>
  <c r="K461" i="1"/>
  <c r="K468" i="1"/>
  <c r="K470" i="1"/>
  <c r="K471" i="1"/>
  <c r="K486" i="1"/>
  <c r="K495" i="1"/>
  <c r="K499" i="1"/>
  <c r="K500" i="1"/>
  <c r="K501" i="1"/>
  <c r="K504" i="1"/>
  <c r="K507" i="1"/>
  <c r="K515" i="1"/>
  <c r="K516" i="1"/>
  <c r="K542" i="1"/>
  <c r="K548" i="1"/>
  <c r="K557" i="1"/>
  <c r="K563" i="1"/>
  <c r="K564" i="1"/>
  <c r="K574" i="1"/>
  <c r="K580" i="1"/>
  <c r="K585" i="1"/>
  <c r="K587" i="1"/>
  <c r="K594" i="1"/>
  <c r="K595" i="1"/>
  <c r="K608" i="1"/>
  <c r="K612" i="1"/>
  <c r="K613" i="1"/>
  <c r="K627" i="1"/>
  <c r="K640" i="1"/>
  <c r="K654" i="1"/>
  <c r="K664" i="1"/>
  <c r="K707" i="1"/>
  <c r="K715" i="1"/>
  <c r="K114" i="1"/>
  <c r="K230" i="1"/>
  <c r="K231" i="1"/>
  <c r="K240" i="1"/>
  <c r="K246" i="1"/>
  <c r="K249" i="1"/>
  <c r="K388" i="1"/>
  <c r="K391" i="1"/>
  <c r="K397" i="1"/>
  <c r="K399" i="1"/>
  <c r="K405" i="1"/>
  <c r="K416" i="1"/>
  <c r="K417" i="1"/>
  <c r="K426" i="1"/>
  <c r="K438" i="1"/>
  <c r="K446" i="1"/>
  <c r="K457" i="1"/>
  <c r="K467" i="1"/>
  <c r="K476" i="1"/>
  <c r="K480" i="1"/>
  <c r="K482" i="1"/>
  <c r="K488" i="1"/>
  <c r="K489" i="1"/>
  <c r="K510" i="1"/>
  <c r="K533" i="1"/>
  <c r="K543" i="1"/>
  <c r="K544" i="1"/>
  <c r="K552" i="1"/>
  <c r="K554" i="1"/>
  <c r="K555" i="1"/>
  <c r="K577" i="1"/>
  <c r="K578" i="1"/>
  <c r="K588" i="1"/>
  <c r="K596" i="1"/>
  <c r="K598" i="1"/>
  <c r="K602" i="1"/>
  <c r="K623" i="1"/>
  <c r="K632" i="1"/>
  <c r="K636" i="1"/>
  <c r="K643" i="1"/>
  <c r="K252" i="1"/>
  <c r="K390" i="1"/>
  <c r="K392" i="1"/>
  <c r="K400" i="1"/>
  <c r="K402" i="1"/>
  <c r="K409" i="1"/>
  <c r="K412" i="1"/>
  <c r="K431" i="1"/>
  <c r="K432" i="1"/>
  <c r="K433" i="1"/>
  <c r="K434" i="1"/>
  <c r="K435" i="1"/>
  <c r="K436" i="1"/>
  <c r="K439" i="1"/>
  <c r="K442" i="1"/>
  <c r="K443" i="1"/>
  <c r="K444" i="1"/>
  <c r="K450" i="1"/>
  <c r="K463" i="1"/>
  <c r="K466" i="1"/>
  <c r="K475" i="1"/>
  <c r="K477" i="1"/>
  <c r="K484" i="1"/>
  <c r="K491" i="1"/>
  <c r="K493" i="1"/>
  <c r="K494" i="1"/>
  <c r="K509" i="1"/>
  <c r="K511" i="1"/>
  <c r="K512" i="1"/>
  <c r="K513" i="1"/>
  <c r="K514" i="1"/>
  <c r="K519" i="1"/>
  <c r="K521" i="1"/>
  <c r="K526" i="1"/>
  <c r="K534" i="1"/>
  <c r="K545" i="1"/>
  <c r="K546" i="1"/>
  <c r="K547" i="1"/>
  <c r="K549" i="1"/>
  <c r="K550" i="1"/>
  <c r="K560" i="1"/>
  <c r="K566" i="1"/>
  <c r="K584" i="1"/>
  <c r="K604" i="1"/>
  <c r="K606" i="1"/>
  <c r="K610" i="1"/>
  <c r="K614" i="1"/>
  <c r="K615" i="1"/>
  <c r="K625" i="1"/>
  <c r="K626" i="1"/>
  <c r="K628" i="1"/>
  <c r="K630" i="1"/>
  <c r="K634" i="1"/>
  <c r="K635" i="1"/>
  <c r="K637" i="1"/>
  <c r="K644" i="1"/>
  <c r="K646" i="1"/>
  <c r="K653" i="1"/>
  <c r="K663" i="1"/>
  <c r="K709" i="1"/>
  <c r="K739" i="1"/>
  <c r="K748" i="1"/>
  <c r="K750" i="1"/>
  <c r="K753" i="1"/>
  <c r="K759" i="1"/>
  <c r="K765" i="1"/>
  <c r="K768" i="1"/>
  <c r="K769" i="1"/>
  <c r="K772" i="1"/>
  <c r="K773" i="1"/>
  <c r="K782" i="1"/>
  <c r="K789" i="1"/>
  <c r="K793" i="1"/>
  <c r="K797" i="1"/>
  <c r="K802" i="1"/>
  <c r="K665" i="1"/>
  <c r="K708" i="1"/>
  <c r="K711" i="1"/>
  <c r="K716" i="1"/>
  <c r="K731" i="1"/>
  <c r="K737" i="1"/>
  <c r="K747" i="1"/>
  <c r="K757" i="1"/>
  <c r="K767" i="1"/>
  <c r="K785" i="1"/>
  <c r="K786" i="1"/>
  <c r="K803" i="1"/>
  <c r="K41" i="1"/>
  <c r="K43" i="1"/>
  <c r="K44" i="1"/>
  <c r="K51" i="1"/>
  <c r="K54" i="1"/>
  <c r="K55" i="1"/>
  <c r="K62" i="1"/>
  <c r="K63" i="1"/>
  <c r="K67" i="1"/>
  <c r="K69" i="1"/>
  <c r="K72" i="1"/>
  <c r="K75" i="1"/>
  <c r="K77" i="1"/>
  <c r="K79" i="1"/>
  <c r="K81" i="1"/>
  <c r="K83" i="1"/>
  <c r="K87" i="1"/>
  <c r="K89" i="1"/>
  <c r="K92" i="1"/>
  <c r="K97" i="1"/>
  <c r="K100" i="1"/>
  <c r="K102" i="1"/>
  <c r="K109" i="1"/>
  <c r="K110" i="1"/>
  <c r="K236" i="1"/>
  <c r="K237" i="1"/>
  <c r="K239" i="1"/>
  <c r="K242" i="1"/>
  <c r="K245" i="1"/>
  <c r="K396" i="1"/>
  <c r="K401" i="1"/>
  <c r="K404" i="1"/>
  <c r="K406" i="1"/>
  <c r="K407" i="1"/>
  <c r="K408" i="1"/>
  <c r="K425" i="1"/>
  <c r="K428" i="1"/>
  <c r="K437" i="1"/>
  <c r="K445" i="1"/>
  <c r="K447" i="1"/>
  <c r="K451" i="1"/>
  <c r="K458" i="1"/>
  <c r="K462" i="1"/>
  <c r="K464" i="1"/>
  <c r="K472" i="1"/>
  <c r="K473" i="1"/>
  <c r="K474" i="1"/>
  <c r="K478" i="1"/>
  <c r="K479" i="1"/>
  <c r="K485" i="1"/>
  <c r="K502" i="1"/>
  <c r="K503" i="1"/>
  <c r="K508" i="1"/>
  <c r="K522" i="1"/>
  <c r="K523" i="1"/>
  <c r="K524" i="1"/>
  <c r="K525" i="1"/>
  <c r="K530" i="1"/>
  <c r="K531" i="1"/>
  <c r="K532" i="1"/>
  <c r="K538" i="1"/>
  <c r="K539" i="1"/>
  <c r="K551" i="1"/>
  <c r="K553" i="1"/>
  <c r="K556" i="1"/>
  <c r="K570" i="1"/>
  <c r="K571" i="1"/>
  <c r="K573" i="1"/>
  <c r="K586" i="1"/>
  <c r="K590" i="1"/>
  <c r="K593" i="1"/>
  <c r="K597" i="1"/>
  <c r="K603" i="1"/>
  <c r="K605" i="1"/>
  <c r="K609" i="1"/>
  <c r="K616" i="1"/>
  <c r="K617" i="1"/>
  <c r="K619" i="1"/>
  <c r="K620" i="1"/>
  <c r="K624" i="1"/>
  <c r="K629" i="1"/>
  <c r="K631" i="1"/>
  <c r="K633" i="1"/>
  <c r="K638" i="1"/>
  <c r="K639" i="1"/>
  <c r="K705" i="1"/>
  <c r="K710" i="1"/>
  <c r="K712" i="1"/>
  <c r="K713" i="1"/>
  <c r="K714" i="1"/>
  <c r="K720" i="1"/>
  <c r="K721" i="1"/>
  <c r="K722" i="1"/>
  <c r="K724" i="1"/>
  <c r="K726" i="1"/>
  <c r="K727" i="1"/>
  <c r="K730" i="1"/>
  <c r="K742" i="1"/>
  <c r="K745" i="1"/>
  <c r="K749" i="1"/>
  <c r="K751" i="1"/>
  <c r="K752" i="1"/>
  <c r="K760" i="1"/>
  <c r="K761" i="1"/>
  <c r="K764" i="1"/>
  <c r="K766" i="1"/>
  <c r="K770" i="1"/>
  <c r="K774" i="1"/>
  <c r="K780" i="1"/>
  <c r="K781" i="1"/>
  <c r="K787" i="1"/>
  <c r="K788" i="1"/>
  <c r="K790" i="1"/>
  <c r="K791" i="1"/>
  <c r="K795" i="1"/>
  <c r="K796" i="1"/>
  <c r="K798" i="1"/>
  <c r="K799" i="1"/>
  <c r="K801" i="1"/>
  <c r="K902" i="1"/>
  <c r="K910" i="1"/>
  <c r="K915" i="1"/>
  <c r="K917" i="1"/>
  <c r="K920" i="1"/>
  <c r="K928" i="1"/>
  <c r="K938" i="1"/>
  <c r="K939" i="1"/>
  <c r="K945" i="1"/>
  <c r="K955" i="1"/>
  <c r="K956" i="1"/>
  <c r="K957" i="1"/>
  <c r="K962" i="1"/>
  <c r="K965" i="1"/>
  <c r="K976" i="1"/>
  <c r="K983" i="1"/>
  <c r="K991" i="1"/>
  <c r="K992" i="1"/>
  <c r="K996" i="1"/>
  <c r="K997" i="1"/>
  <c r="K998" i="1"/>
  <c r="K1000" i="1"/>
  <c r="K1001" i="1"/>
  <c r="K1005" i="1"/>
  <c r="K1009" i="1"/>
  <c r="K1011" i="1"/>
  <c r="K1014" i="1"/>
  <c r="K1015" i="1"/>
  <c r="K1017" i="1"/>
  <c r="K1025" i="1"/>
  <c r="K1027" i="1"/>
  <c r="K1028" i="1"/>
  <c r="K1038" i="1"/>
  <c r="K1041" i="1"/>
  <c r="K1042" i="1"/>
  <c r="K1052" i="1"/>
  <c r="K1066" i="1"/>
  <c r="K1070" i="1"/>
  <c r="K1075" i="1"/>
  <c r="K1078" i="1"/>
  <c r="K1079" i="1"/>
  <c r="K1080" i="1"/>
  <c r="K1083" i="1"/>
  <c r="K1084" i="1"/>
  <c r="K1089" i="1"/>
  <c r="K1094" i="1"/>
  <c r="K1098" i="1"/>
  <c r="K1102" i="1"/>
  <c r="K1106" i="1"/>
  <c r="K1107" i="1"/>
  <c r="K1115" i="1"/>
  <c r="K1117" i="1"/>
  <c r="K1118" i="1"/>
  <c r="K1121" i="1"/>
  <c r="K1137" i="1"/>
  <c r="K1139" i="1"/>
  <c r="K1140" i="1"/>
  <c r="K1144" i="1"/>
  <c r="K1148" i="1"/>
  <c r="K1160" i="1"/>
  <c r="K1161" i="1"/>
  <c r="K1162" i="1"/>
  <c r="K1163" i="1"/>
  <c r="K1168" i="1"/>
  <c r="K1171" i="1"/>
  <c r="K1174" i="1"/>
  <c r="K1179" i="1"/>
  <c r="K1180" i="1"/>
  <c r="K1181" i="1"/>
  <c r="K1183" i="1"/>
  <c r="K1185" i="1"/>
  <c r="K1189" i="1"/>
  <c r="K1191" i="1"/>
  <c r="K1196" i="1"/>
  <c r="K657" i="1"/>
  <c r="K868" i="1"/>
  <c r="K870" i="1"/>
  <c r="K872" i="1"/>
  <c r="K874" i="1"/>
  <c r="K876" i="1"/>
  <c r="K881" i="1"/>
  <c r="K885" i="1"/>
  <c r="K887" i="1"/>
  <c r="K890" i="1"/>
  <c r="K893" i="1"/>
  <c r="K897" i="1"/>
  <c r="K904" i="1"/>
  <c r="K905" i="1"/>
  <c r="K914" i="1"/>
  <c r="K919" i="1"/>
  <c r="K921" i="1"/>
  <c r="K926" i="1"/>
  <c r="K932" i="1"/>
  <c r="K933" i="1"/>
  <c r="K934" i="1"/>
  <c r="K936" i="1"/>
  <c r="K944" i="1"/>
  <c r="K951" i="1"/>
  <c r="K952" i="1"/>
  <c r="K954" i="1"/>
  <c r="K958" i="1"/>
  <c r="K959" i="1"/>
  <c r="K960" i="1"/>
  <c r="K961" i="1"/>
  <c r="K972" i="1"/>
  <c r="K973" i="1"/>
  <c r="K975" i="1"/>
  <c r="K979" i="1"/>
  <c r="K980" i="1"/>
  <c r="K982" i="1"/>
  <c r="K988" i="1"/>
  <c r="K990" i="1"/>
  <c r="K994" i="1"/>
  <c r="K1002" i="1"/>
  <c r="K1003" i="1"/>
  <c r="K1006" i="1"/>
  <c r="K1010" i="1"/>
  <c r="K1012" i="1"/>
  <c r="K1013" i="1"/>
  <c r="K1016" i="1"/>
  <c r="K1018" i="1"/>
  <c r="K1026" i="1"/>
  <c r="K1030" i="1"/>
  <c r="K1031" i="1"/>
  <c r="K1032" i="1"/>
  <c r="K1035" i="1"/>
  <c r="K1037" i="1"/>
  <c r="K1039" i="1"/>
  <c r="K1040" i="1"/>
  <c r="K1043" i="1"/>
  <c r="K1048" i="1"/>
  <c r="K1049" i="1"/>
  <c r="K1050" i="1"/>
  <c r="K1051" i="1"/>
  <c r="K1064" i="1"/>
  <c r="K1076" i="1"/>
  <c r="K1077" i="1"/>
  <c r="K1096" i="1"/>
  <c r="K1103" i="1"/>
  <c r="K1112" i="1"/>
  <c r="K1114" i="1"/>
  <c r="K1124" i="1"/>
  <c r="K1126" i="1"/>
  <c r="K1134" i="1"/>
  <c r="K1141" i="1"/>
  <c r="K1142" i="1"/>
  <c r="K1143" i="1"/>
  <c r="K1145" i="1"/>
  <c r="K1151" i="1"/>
  <c r="K1159" i="1"/>
  <c r="K1170" i="1"/>
  <c r="K1175" i="1"/>
  <c r="K1184" i="1"/>
  <c r="K440" i="1"/>
  <c r="K873" i="1"/>
  <c r="K878" i="1"/>
  <c r="K884" i="1"/>
  <c r="K886" i="1"/>
  <c r="K888" i="1"/>
  <c r="K891" i="1"/>
  <c r="K892" i="1"/>
  <c r="K894" i="1"/>
  <c r="K896" i="1"/>
  <c r="K899" i="1"/>
  <c r="K906" i="1"/>
  <c r="K908" i="1"/>
  <c r="K909" i="1"/>
  <c r="K911" i="1"/>
  <c r="K912" i="1"/>
  <c r="K913" i="1"/>
  <c r="K916" i="1"/>
  <c r="K918" i="1"/>
  <c r="K922" i="1"/>
  <c r="K923" i="1"/>
  <c r="K925" i="1"/>
  <c r="K927" i="1"/>
  <c r="K935" i="1"/>
  <c r="K937" i="1"/>
  <c r="K940" i="1"/>
  <c r="K941" i="1"/>
  <c r="K942" i="1"/>
  <c r="K943" i="1"/>
  <c r="K946" i="1"/>
  <c r="K947" i="1"/>
  <c r="K948" i="1"/>
  <c r="K953" i="1"/>
  <c r="K969" i="1"/>
  <c r="K974" i="1"/>
  <c r="K978" i="1"/>
  <c r="K981" i="1"/>
  <c r="K986" i="1"/>
  <c r="K993" i="1"/>
  <c r="K999" i="1"/>
  <c r="K1004" i="1"/>
  <c r="K1007" i="1"/>
  <c r="K1022" i="1"/>
  <c r="K1023" i="1"/>
  <c r="K1024" i="1"/>
  <c r="K1053" i="1"/>
  <c r="K1055" i="1"/>
  <c r="K1056" i="1"/>
  <c r="K1057" i="1"/>
  <c r="K1059" i="1"/>
  <c r="K1060" i="1"/>
  <c r="K1061" i="1"/>
  <c r="K1063" i="1"/>
  <c r="K1065" i="1"/>
  <c r="K1073" i="1"/>
  <c r="K1074" i="1"/>
  <c r="K1081" i="1"/>
  <c r="K1090" i="1"/>
  <c r="K1104" i="1"/>
  <c r="K1110" i="1"/>
  <c r="K1116" i="1"/>
  <c r="K1127" i="1"/>
  <c r="K1129" i="1"/>
  <c r="K1130" i="1"/>
  <c r="K1131" i="1"/>
  <c r="K1132" i="1"/>
  <c r="K1153" i="1"/>
  <c r="K1154" i="1"/>
  <c r="K1155" i="1"/>
  <c r="K1156" i="1"/>
  <c r="K1157" i="1"/>
  <c r="K1158" i="1"/>
  <c r="K1177" i="1"/>
  <c r="K1186" i="1"/>
  <c r="K1187" i="1"/>
  <c r="K1192" i="1"/>
  <c r="K1195" i="1"/>
  <c r="K1198" i="1"/>
  <c r="K1199" i="1"/>
  <c r="K659" i="1"/>
  <c r="K875" i="1"/>
  <c r="K877" i="1"/>
  <c r="K879" i="1"/>
  <c r="K880" i="1"/>
  <c r="K882" i="1"/>
  <c r="K889" i="1"/>
  <c r="K895" i="1"/>
  <c r="K898" i="1"/>
  <c r="K907" i="1"/>
  <c r="K924" i="1"/>
  <c r="K929" i="1"/>
  <c r="K931" i="1"/>
  <c r="K949" i="1"/>
  <c r="K963" i="1"/>
  <c r="K964" i="1"/>
  <c r="K967" i="1"/>
  <c r="K968" i="1"/>
  <c r="K970" i="1"/>
  <c r="K971" i="1"/>
  <c r="K977" i="1"/>
  <c r="K984" i="1"/>
  <c r="K985" i="1"/>
  <c r="K987" i="1"/>
  <c r="K989" i="1"/>
  <c r="K995" i="1"/>
  <c r="K1008" i="1"/>
  <c r="K1019" i="1"/>
  <c r="K1021" i="1"/>
  <c r="K1029" i="1"/>
  <c r="K1036" i="1"/>
  <c r="K1044" i="1"/>
  <c r="K1045" i="1"/>
  <c r="K1046" i="1"/>
  <c r="K1058" i="1"/>
  <c r="K1062" i="1"/>
  <c r="K1067" i="1"/>
  <c r="K1068" i="1"/>
  <c r="K1069" i="1"/>
  <c r="K1071" i="1"/>
  <c r="K1072" i="1"/>
  <c r="K1082" i="1"/>
  <c r="K1085" i="1"/>
  <c r="K1086" i="1"/>
  <c r="K1087" i="1"/>
  <c r="K1088" i="1"/>
  <c r="K1091" i="1"/>
  <c r="K1092" i="1"/>
  <c r="K1093" i="1"/>
  <c r="K1097" i="1"/>
  <c r="K1099" i="1"/>
  <c r="K1100" i="1"/>
  <c r="K1101" i="1"/>
  <c r="K1105" i="1"/>
  <c r="K1109" i="1"/>
  <c r="K1111" i="1"/>
  <c r="K1113" i="1"/>
  <c r="K1119" i="1"/>
  <c r="K1120" i="1"/>
  <c r="K1122" i="1"/>
  <c r="K1123" i="1"/>
  <c r="K1125" i="1"/>
  <c r="K1133" i="1"/>
  <c r="K1135" i="1"/>
  <c r="K1136" i="1"/>
  <c r="K1138" i="1"/>
  <c r="K1146" i="1"/>
  <c r="K1147" i="1"/>
  <c r="K1149" i="1"/>
  <c r="K1150" i="1"/>
  <c r="K1152" i="1"/>
  <c r="K1165" i="1"/>
  <c r="K1166" i="1"/>
  <c r="K1167" i="1"/>
  <c r="K1169" i="1"/>
  <c r="K1173" i="1"/>
  <c r="K1182" i="1"/>
  <c r="K1188" i="1"/>
  <c r="K1190" i="1"/>
  <c r="K1194" i="1"/>
  <c r="K1200" i="1"/>
</calcChain>
</file>

<file path=xl/sharedStrings.xml><?xml version="1.0" encoding="utf-8"?>
<sst xmlns="http://schemas.openxmlformats.org/spreadsheetml/2006/main" count="7342" uniqueCount="2108">
  <si>
    <t>Area</t>
  </si>
  <si>
    <t>Name</t>
  </si>
  <si>
    <t>Rating</t>
  </si>
  <si>
    <t>Total Ratings</t>
  </si>
  <si>
    <t>Address</t>
  </si>
  <si>
    <t>Latitude</t>
  </si>
  <si>
    <t>Longitude</t>
  </si>
  <si>
    <t>Colaba</t>
  </si>
  <si>
    <t>Cafe Basilico - Colaba</t>
  </si>
  <si>
    <t>Sentinel House, Ground Floor, Arthur Bunder Rd, Azmi Street, Colaba, Mumbai, Maharashtra 400005, India</t>
  </si>
  <si>
    <t>Leopold Cafe</t>
  </si>
  <si>
    <t>Police Station, Shahid Bhagat Singh Road, Colaba Causeway, near Colaba, Mumbai, Maharashtra 400001, India</t>
  </si>
  <si>
    <t>Bay view Cafe</t>
  </si>
  <si>
    <t>25, PJ Ramchandani Marg, Apollo Bandar, Colaba, Mumbai, Maharashtra 400001, India</t>
  </si>
  <si>
    <t>Cafe Churchill</t>
  </si>
  <si>
    <t>East West Court Building, Colaba Causeway, Apollo Bandar, Colaba, Mumbai, Maharashtra 400001, India</t>
  </si>
  <si>
    <t>Mag St.</t>
  </si>
  <si>
    <t>Mag St., 4, Mandlik Rd, Apollo Bandar, Colaba, Mumbai, Maharashtra 400001, India</t>
  </si>
  <si>
    <t>Cafe Mondegar</t>
  </si>
  <si>
    <t>Metro House, Colaba Causeway, near Regal Cinema, Apollo Bandar, Colaba, Mumbai, Maharashtra 400001, India</t>
  </si>
  <si>
    <t>Olympia Coffee House</t>
  </si>
  <si>
    <t>Rahim Mansion, 1, Shahid Bhagat Singh Rd, Scindia Society, Police Colony, Apollo Bandar, Colaba, Mumbai, Maharashtra 400039, India</t>
  </si>
  <si>
    <t>Colaba SOCIAL</t>
  </si>
  <si>
    <t>B K Boman Behram Marg Shop 24, Ground Floor, Apollo Bandar, Colaba, Mumbai, Maharashtra 400001, India</t>
  </si>
  <si>
    <t>Bake House Cafe</t>
  </si>
  <si>
    <t>WRHJ+6XF, Chamber of Commerce Ln, Kala Ghoda, Fort, Mumbai, Maharashtra 400001, India</t>
  </si>
  <si>
    <t>Kala Ghoda Cafe</t>
  </si>
  <si>
    <t>10, Rope Walk Ln, Kala Ghoda, Fort, Mumbai, Maharashtra 400001, India</t>
  </si>
  <si>
    <t>Zen Cafe</t>
  </si>
  <si>
    <t>Fort Foundation Building, Bake House Ln, Kala Ghoda, Fort, Mumbai, Maharashtra 400001, India</t>
  </si>
  <si>
    <t>Kuckeliku Breakfast House</t>
  </si>
  <si>
    <t>First Floor, Kamal Mansion, 4/25, Arthur Bunder Rd, near Radio Club, Apollo Bandar, Colaba, Mumbai, Maharashtra 400005, India</t>
  </si>
  <si>
    <t>Banyan Tree Cafe</t>
  </si>
  <si>
    <t>7, 9, Calicut Rd, Ballard Estate, Fort, Mumbai, Maharashtra 400001, India</t>
  </si>
  <si>
    <t>Theobroma</t>
  </si>
  <si>
    <t>Shop No 24, Cusrow Baug, Shahid Bhagat Singh Road, Colaba Causeway, Colaba, Mumbai, Maharashtra 400005, India</t>
  </si>
  <si>
    <t>ARAKU Coffee</t>
  </si>
  <si>
    <t>No. 1, Sunny House, Mandlik Rd, behind The Taj Mahal Palace, Apollo Bandar, Colaba, Mumbai, Maharashtra 400001, India</t>
  </si>
  <si>
    <t>Cafe Marina</t>
  </si>
  <si>
    <t>Sea Palace Hotel Mumbai, 26, PJ Ramchandani Marg, Apollo Bandar, Colaba, Mumbai, Maharashtra 400001, India</t>
  </si>
  <si>
    <t>The Cacao Mill by Subko</t>
  </si>
  <si>
    <t>2nd Pasta Lane, Market, Badhwar Park, Apollo Bandar, Colaba, Mumbai, Maharashtra 400005, India</t>
  </si>
  <si>
    <t>US Club Fine Dine Cafe Lounge</t>
  </si>
  <si>
    <t>WR24+52C, Mosque Ln, Navy Nagar, Colaba, Mumbai, Maharashtra 400005, India</t>
  </si>
  <si>
    <t>Kitchen Garden</t>
  </si>
  <si>
    <t>Nowroji Mansion, Roosevelt House, Furdonji Road, behind Taj Hotel, Apollo Bandar, Colaba, Mumbai, Maharashtra 400001, India</t>
  </si>
  <si>
    <t>Smoke House Deli Colaba</t>
  </si>
  <si>
    <t>B K Boman Behram Marg Ground Floor, Building 24, Apollo Bandar, Colaba, Mumbai, Maharashtra 400001, India</t>
  </si>
  <si>
    <t>Third Wave Coffee</t>
  </si>
  <si>
    <t>Ground Floor, Star Mansion, Plot No 66, Wodehouse Rd, Cuffe Parade, Mumbai, Maharashtra 400005, India</t>
  </si>
  <si>
    <t>Mockingbird Cafe Bar</t>
  </si>
  <si>
    <t>80, Veer Nariman Rd, Churchgate, Mumbai, Maharashtra 400020, India</t>
  </si>
  <si>
    <t>Shamiana</t>
  </si>
  <si>
    <t>The Taj Mahal Palace Hotel, B K Boman Behram Marg, Apollo Bandar, Colaba, Mumbai, Maharashtra 400001, India</t>
  </si>
  <si>
    <t>Cafe Universal RESTAURANT &amp;BAR</t>
  </si>
  <si>
    <t>299, Shahid Bhagat Singh Rd, opp. Geo Chem Laboratories, Ballard Estate, Fort, Mumbai, Maharashtra 400001, India</t>
  </si>
  <si>
    <t>Mews Cafe</t>
  </si>
  <si>
    <t>Taj Wellington Mews, 33, Nathalal Parikh Marg, Cusrow Baug Colony, Apollo, Bandar, Maharashtra 400001, India</t>
  </si>
  <si>
    <t>Madras Cafe</t>
  </si>
  <si>
    <t>Aziz Mansion, Shahid Bhagat Singh Rd, Railway Colony, Apollo Bandar, Colaba, Mumbai, Maharashtra 400005, India</t>
  </si>
  <si>
    <t>The Table</t>
  </si>
  <si>
    <t>Ground Floor, Kalapesi Trust Building, opposite Dhanraj Mahal, Apollo Bandar, Colaba, Mumbai, Maharashtra 400039, India</t>
  </si>
  <si>
    <t>Cafe Paris</t>
  </si>
  <si>
    <t>56 A, Makani Mansion, Shahid Bhagat Singh Rd, Marg, Colaba, Mumbai, Maharashtra 400005, India</t>
  </si>
  <si>
    <t>Sea Lounge</t>
  </si>
  <si>
    <t>The Taj Mahal Palace Hotel, Apollo Bandar, Colaba, Mumbai, Maharashtra 400001, India</t>
  </si>
  <si>
    <t>Souk</t>
  </si>
  <si>
    <t>The Taj Mahal Palace Hotel, Apollo Bunder, Colaba, Colaba, Mumbai, Maharashtra 400001, India</t>
  </si>
  <si>
    <t>Starbucks - Taj Palace (S003)</t>
  </si>
  <si>
    <t>opp. Gateway Of India, Apollo Bandar, Colaba, Mumbai, Maharashtra 400005, India</t>
  </si>
  <si>
    <t>Neuma</t>
  </si>
  <si>
    <t>Garden Chalet, 4/6, Mandlik Rd, near Regal Cinema, Apollo Bandar, Colaba, Mumbai, Maharashtra 400001, India</t>
  </si>
  <si>
    <t>145 Kala Ghoda</t>
  </si>
  <si>
    <t>Temple Bar Building, 145, Mahatma Gandhi Road, Kala Ghoda, Fort, Mumbai, Maharashtra 400001, India</t>
  </si>
  <si>
    <t>Woodside Inn</t>
  </si>
  <si>
    <t>Indian Mercantile Mansion, Wodehouse Road, Opposite Regal Cinema, Colaba Causeway, Colaba, Mumbai, Maharashtra 400039, India</t>
  </si>
  <si>
    <t>Bombay Coffee House Fort</t>
  </si>
  <si>
    <t>3, SS Ram Gulam Marg, Ballard Estate, Fort, Mumbai, Maharashtra 400001, India</t>
  </si>
  <si>
    <t>Koyla - Ethnic Cuisine</t>
  </si>
  <si>
    <t>Kamal Mansion, 3/23, N.A. Azmi Road, next to Radio Club, Apollo Bandar, Colaba, Mumbai, Maharashtra 400005, India</t>
  </si>
  <si>
    <t>Cafe Excelsior</t>
  </si>
  <si>
    <t>Kitab Mahal, 23, AK Nayak Marg, opp. Excelsior Cinema, Azad Maidan, Fort, Mumbai, Maharashtra 400001, India</t>
  </si>
  <si>
    <t>Mini Room Cafe</t>
  </si>
  <si>
    <t>East West Court, Colaba Causeway, Apollo Bandar, Colaba, east, Mumbai, Maharashtra 400039, India</t>
  </si>
  <si>
    <t>Bake Live Studio - Colaba</t>
  </si>
  <si>
    <t>Shop no- 3 &amp; 4, Sukh Nivas, SBS Road, 3rd Pasta Ln, Mumbai, Maharashtra 400005, India</t>
  </si>
  <si>
    <t>Cloud 9 Cafe</t>
  </si>
  <si>
    <t>Hotel Godwin, 41, Garden Rd, Apollo Bandar, Colaba, Mumbai, Maharashtra 400001, India</t>
  </si>
  <si>
    <t>Chikita Cafe</t>
  </si>
  <si>
    <t>Oriental Mansion Building, Nathalal Parikh Marg, opposite Regal Cinema, Dr Ambedkar Statue Chowk Area, Colaba, Mumbai, Maharashtra 400001, India</t>
  </si>
  <si>
    <t>Bademiya</t>
  </si>
  <si>
    <t>Bademiya, Tulloch Rd, Apollo Bandar, Colaba, Mumbai, Maharashtra 400039, India</t>
  </si>
  <si>
    <t>Bagdadi Restaurant</t>
  </si>
  <si>
    <t>Inter Continental Hotel, Tulloch Rd, behind The Taj Mahal Palace Hotel, Apollo Bandar, Colaba, Mumbai, Maharashtra 400039, India</t>
  </si>
  <si>
    <t>The Nutcracker</t>
  </si>
  <si>
    <t>Dr, Forbes St, Kala Ghoda, Fort, Mumbai, Maharashtra 400023, India</t>
  </si>
  <si>
    <t>Effingut - Colaba</t>
  </si>
  <si>
    <t>Dhanraj Mahal, next to The Bentley Showroom, Colaba, Mumbai, Maharashtra 400005, India</t>
  </si>
  <si>
    <t>Colaba's Paradise (Authentic Parsi Cuisine)</t>
  </si>
  <si>
    <t>Shop No.5, Ground Floor, 71 - Seaview Terrace, opp. Charagh DIn, Colaba, Mumbai, Maharashtra 400005, India</t>
  </si>
  <si>
    <t>Bayroute</t>
  </si>
  <si>
    <t>Minoo Manor Building, 7, Captain Prakash Pethe Marg, Badhwar Park, Apollo Bandar, Cuffe Parade, Mumbai, Maharashtra 400005, India</t>
  </si>
  <si>
    <t>Subko Mini at Abode Bombay</t>
  </si>
  <si>
    <t>First Floor, Lansdowne House, MB Marg, near Regal Cinema, Apollo Bandar, Colaba, Mumbai, Maharashtra 400001, India</t>
  </si>
  <si>
    <t>Ling's Pavilion</t>
  </si>
  <si>
    <t>building number 19, 21, MB Marg, regal cinema Apollo Bandar, Apollo Bandar, Colaba, Mumbai, Maharashtra 400001, India</t>
  </si>
  <si>
    <t>Nandini Cafe Moo- Mumbai Flagship Store</t>
  </si>
  <si>
    <t>3, Pheroze Building, Chhatrapati Shivaji Maharaj Marg, opp. Dhanraj Mahal, Apollo Bandar, Colaba, Mumbai, Maharashtra 400001, India</t>
  </si>
  <si>
    <t>Rustico</t>
  </si>
  <si>
    <t>Ground Floor 1, 48 Bank, Khattau Building, opposite Shahid Bhagat Singh Road, Kala Ghoda, Colaba, Mumbai, Maharashtra 400001, India</t>
  </si>
  <si>
    <t>Bombay Brasserie Colaba</t>
  </si>
  <si>
    <t>Dhanraj Mahal, Chhatrapati Shivaji Maharaj Marg, Apollo Bandar, Colaba, Mumbai, Maharashtra 400001, India</t>
  </si>
  <si>
    <t>Verandah, Mumbai</t>
  </si>
  <si>
    <t>Verandah lounge ,Lobby Level, Trident Nariman Point, Near Air India, Building,, Mumbai, Maharashtra 400005, India</t>
  </si>
  <si>
    <t>Chotu Chai Wala</t>
  </si>
  <si>
    <t>WRGH+7VC, Dr Ambedkar Statue Chowk Area, Colaba, Mumbai, Maharashtra 400001, India</t>
  </si>
  <si>
    <t>All Stir Fry</t>
  </si>
  <si>
    <t>Ground Floor, 5, Battery St, Apollo Bandar, Colaba, Mumbai, Maharashtra 400005, India</t>
  </si>
  <si>
    <t>Olive Greens JIMMY BOY</t>
  </si>
  <si>
    <t>AOMI, Pilot Bandar Rd, opposite Afghan Church, Navy Nagar, Colaba, Mumbai, Maharashtra 400005, India</t>
  </si>
  <si>
    <t>La Patisserie</t>
  </si>
  <si>
    <t>Suzette</t>
  </si>
  <si>
    <t>A1, Atlanta Building, Ground Floor, Nariman Point, Mumbai, Maharashtra 400021, India</t>
  </si>
  <si>
    <t>Starbucks</t>
  </si>
  <si>
    <t>Block No 1, Ram Mahal, Building No 8, Ground Floor, Dinshaw Vacha Rd, near KC College, Churchgate, Mumbai, Maharashtra 400020, India</t>
  </si>
  <si>
    <t>The Courtyard</t>
  </si>
  <si>
    <t>400005, Nofra, Navy Nagar, Colaba, Mumbai, Maharashtra 400005, India</t>
  </si>
  <si>
    <t>Churchgate</t>
  </si>
  <si>
    <t>Chaayos Cafe at Churchgate</t>
  </si>
  <si>
    <t>Express Building, Shop No. 1, Ground Floor, Part B, 14, IMC Marg, opposite Govt. Law College, Mumbai, Maharashtra 400020, India</t>
  </si>
  <si>
    <t>Cafe Oval</t>
  </si>
  <si>
    <t>Kambatta Building, Maharshi Karve Rd, Churchgate, Mumbai, Maharashtra 400020, India</t>
  </si>
  <si>
    <t>Coffee By Di Bella Churchgate</t>
  </si>
  <si>
    <t>Jamshedji Tata Road, near Eros cenima, Churchgate, Mumbai, Maharashtra 400020, India</t>
  </si>
  <si>
    <t>Cafe Bharat</t>
  </si>
  <si>
    <t>Cafe Bharat, Railway Station, IMC Marg, opp. Churchgate, Churchgate, Mumbai, Maharashtra 400020, India</t>
  </si>
  <si>
    <t>Cafe Markiv's</t>
  </si>
  <si>
    <t>Ground Floor, Industrial Assurance Building, Jamshedji Tata Road, opposite Eros Cinema, Churchgate, Mumbai, Maharashtra 400020, India</t>
  </si>
  <si>
    <t>Cococart &amp; CocoCafe - Jiji House</t>
  </si>
  <si>
    <t>Jiji House, Raveline Street Damodar Sukhadwala Marg, 17, D Sukhadwala Rd, Azad Maidan, Fort, Mumbai, Maharashtra 400001, India</t>
  </si>
  <si>
    <t>CafÃ© Coffee Day</t>
  </si>
  <si>
    <t>Ground Floor, Sea Green, Marine Drive, Churchgate, Mumbai, Maharashtra 400020, India</t>
  </si>
  <si>
    <t>The J</t>
  </si>
  <si>
    <t>Shop 3, Ground Floor, Vaswani Mansion, Dinshaw Vacha Rd, opp. HR College, Churchgate, Mumbai, Maharashtra 400020, India</t>
  </si>
  <si>
    <t>The Beer CafÃ©</t>
  </si>
  <si>
    <t>Shop No 6,7, Ground Floor, Cambata Building, Churchgate, Mumbai, Maharashtra 400020, India</t>
  </si>
  <si>
    <t>Unit No 240/242, Gr Flr, Nirmal Building Barrister Rajni Patel Marg, Road, near Backbay Reclamation, Nariman Point, Mumbai, Maharashtra 400021, India</t>
  </si>
  <si>
    <t>Ground Floor, Elphistone Building, 10-Veer Nariman Road, Horniman Circle, Fort, Mumbai, Maharashtra 400023, India</t>
  </si>
  <si>
    <t>Earth Cafe @ Churchgate</t>
  </si>
  <si>
    <t>Ground Floor, Ram Mahal, Dinshaw Vacha Rd, near KC College, Churchgate, Mumbai, Maharashtra 400020, India</t>
  </si>
  <si>
    <t>Sassanian</t>
  </si>
  <si>
    <t>Metro, 98, Marine View, 1st Marine St, Cross Road, Dhobi Talao, Mumbai, Maharashtra 400002, India</t>
  </si>
  <si>
    <t>Cafe Military</t>
  </si>
  <si>
    <t>Alli Chambers, Nagindas Master Rd, Fort, Mumbai, Maharashtra 400001, India</t>
  </si>
  <si>
    <t>210 Degree Churchgate</t>
  </si>
  <si>
    <t>Prem Court, Bldg, Jamshedji Tata Road, Churchgate, Mumbai, Maharashtra 400020, India</t>
  </si>
  <si>
    <t>Gaylord Restaurant</t>
  </si>
  <si>
    <t>Mayfair Building, V N Rd, Churchgate, Mumbai, Maharashtra 400020, India</t>
  </si>
  <si>
    <t>Flavors Cafe at The Ambassador</t>
  </si>
  <si>
    <t>Located in- The Ambassador Hotel, Veer Nariman Rd, Churchgate, Mumbai, Maharashtra 400020, India</t>
  </si>
  <si>
    <t>Geoffrey's</t>
  </si>
  <si>
    <t>No. 29, Hotel Marine Plaza, Opposite C. C. I Club, Marine Drive, Marine Lines, Mumbai, Maharashtra 400020, India</t>
  </si>
  <si>
    <t>Beat House Cafe</t>
  </si>
  <si>
    <t>CAFE, SAPNA, BEAT HOUSE, MARINEMarine Ln, next to HOTEL, opp. GOL MASJID, Pathak Wadi, Sonapur, Marine Lines, Mumbai, Maharashtra 400002, India</t>
  </si>
  <si>
    <t>L&amp;S Bistro &amp; Pizzeria</t>
  </si>
  <si>
    <t>Intercontinental 135 Marine Drive, Netaji Subhash Chandra Bose Rd, Churchgate, Mumbai, Maharashtra 400020, India</t>
  </si>
  <si>
    <t>CafÃ© New York</t>
  </si>
  <si>
    <t>44, Dabholkar Building, N S Patkar Marg, Mumbai, Maharashtra 400007, India</t>
  </si>
  <si>
    <t>Quattro Bistro Churchgate</t>
  </si>
  <si>
    <t>3, Jamshedji Tata Road, behind Eros cinema, opposite Satyam Collection, Churchgate, Mumbai, Maharashtra 400020, India</t>
  </si>
  <si>
    <t>Mish Cafe</t>
  </si>
  <si>
    <t>shop no 9, Hinduja College, Mehta bhavan, lane, Raja Ram Mohan Roy Rd, Mumbai, Maharashtra 400004, India</t>
  </si>
  <si>
    <t>K. Rustoms &amp; co. Ice Cream Parlour</t>
  </si>
  <si>
    <t>Brabourne Stadium, 86, Veer Nariman Rd, Churchgate, Mumbai, Maharashtra 400020, India</t>
  </si>
  <si>
    <t>Mani's Cafe</t>
  </si>
  <si>
    <t>Stall, Vidhan Bhavan Marg, opposite Air India Building, Nariman Point, Mumbai, Maharashtra 400021, India</t>
  </si>
  <si>
    <t>Cafe Free India</t>
  </si>
  <si>
    <t>24 A, Ramdev Hotel, Bansi Lal Building, Cafe free india, C/O, Mumbai Samachar Marg, Fort, Mumbai, Maharashtra 400023, India</t>
  </si>
  <si>
    <t>SBI Cafestoria</t>
  </si>
  <si>
    <t>State Bank Bhavan, Madame Cama Rd, Nariman Point, Mumbai, Maharashtra 400021, India</t>
  </si>
  <si>
    <t>Cafe Unwind</t>
  </si>
  <si>
    <t>WRVH+5H9, New Marine Lines, Marine Lines, Mumbai, Maharashtra 400020, India</t>
  </si>
  <si>
    <t>The Cravin' Pantry</t>
  </si>
  <si>
    <t>Ground floor, Bansi Lal Building, 15-A, Homi Modi St, opposite Bombay House, Kala Ghoda, Fort, Mumbai, Maharashtra 400001, India</t>
  </si>
  <si>
    <t>Relish International Veg Cuisine</t>
  </si>
  <si>
    <t>1, Dinshaw Vacha Rd, Churchgate, Mumbai, Maharashtra 400020, India</t>
  </si>
  <si>
    <t>Malido Cafe</t>
  </si>
  <si>
    <t>15-17-19, Burjorji, Bharucha Marg, Kala Ghoda, Fort, Mumbai, Maharashtra 400001, India</t>
  </si>
  <si>
    <t>Blue Tokai Coffee Roasters | Nariman Point</t>
  </si>
  <si>
    <t>Unit No 25 &amp; 26, Ground Floor, Commercial Center, CR2, Nariman Point, Mumbai, Maharashtra 400020, India</t>
  </si>
  <si>
    <t>Poetry by Love and Cheesecake</t>
  </si>
  <si>
    <t>Ground Floor, Machinery House, 3, Bharucha Marg, beside Gazal Gupta, Kala Ghoda, Fort, Mumbai, Maharashtra 400001, India</t>
  </si>
  <si>
    <t>Flavourzy by Harsh Taylor</t>
  </si>
  <si>
    <t>Shop no-4, Ishwar Bhawan, 89, Khadilkar Rd, next to rimzim soda, Charni Road, Urankawadi, Kandewadi, Girgaon, Mumbai, Maharashtra 400004, India</t>
  </si>
  <si>
    <t>Plot No 29, Dr N A Purandare Marg Chowpatty Marine Lines, Girgaon, Mumbai, Maharashtra 400007, India</t>
  </si>
  <si>
    <t>Cafe metro Family Restaurant</t>
  </si>
  <si>
    <t>Jehangir Mansion, 5/A, Anandilal Podar Marg, beside Metro Cinema, New Marine Lines, Marine Lines, Mumbai, Maharashtra 400020, India</t>
  </si>
  <si>
    <t>Rajasthan Tam Tam Tea Point</t>
  </si>
  <si>
    <t>Ground Floor, Baba Stall, opp. Hotel Balwas, New Marine Lines, Churchgate, Mumbai, Maharashtra 400020, India</t>
  </si>
  <si>
    <t>Tea Post</t>
  </si>
  <si>
    <t>34, Kakad House, opp. Bombay Hospital, New Marine Lines, Marine Lines, Mumbai, Maharashtra 400020, India</t>
  </si>
  <si>
    <t>Pizza By The Bay</t>
  </si>
  <si>
    <t>Soona Mahal, 143, Marine Dr, Churchgate, Mumbai, Maharashtra 400020, India</t>
  </si>
  <si>
    <t>Subko Mini At Kitab Khana</t>
  </si>
  <si>
    <t>45, Ground Floor, Flora Fountain Somaiya Bhavan, 47, Mahatma Gandhi Road, Fort, Mumbai, Maharashtra 400001, India</t>
  </si>
  <si>
    <t>Cafe Ideal</t>
  </si>
  <si>
    <t>Fulchand Niwas, Dr. Purandare Marg, Chowpatty Seaface, Girgaon, Mumbai, Maharashtra 400007, India</t>
  </si>
  <si>
    <t>Dadar</t>
  </si>
  <si>
    <t>Grandmama's Cafe, Dadar East</t>
  </si>
  <si>
    <t>Dharamputra Pritam Estate, 20 &amp; 21, Dr Babasaheb Ambedkar Marg, Dadar East, Dadar, Mumbai, Maharashtra 400014, India</t>
  </si>
  <si>
    <t>Mumbai Bistro - The Cafe</t>
  </si>
  <si>
    <t>Building by, SUGEE SADAN by SUGEE GROUP, Shop No.3, Sugi Sadan, Gokhale Rd, Dadar West, Dadar, Mumbai, Maharashtra 400028, India</t>
  </si>
  <si>
    <t>Cafe Trofima</t>
  </si>
  <si>
    <t>Raja Badhe Chowk Opp. Raja Rani Travels Shivaji Park Road Number 2, Lady Jamshedji Rd, Mumbai, Maharashtra 400016, India</t>
  </si>
  <si>
    <t>Brew Haus Cafe</t>
  </si>
  <si>
    <t>Bhavani Shankar Cross Road, opposite JaiGopal Industries, Near Kabutar khana, Dadar West, Dadar, Mumbai, Maharashtra 400028, India</t>
  </si>
  <si>
    <t>CafÃ© 792</t>
  </si>
  <si>
    <t>792, Outhouse, Dina Manzil, Jame Jamshed Rd, Central Railway Colony, Mahavir Nagar, Parsee Colony, Dadar, Mumbai, Maharashtra 400014, India</t>
  </si>
  <si>
    <t>Fully Loaded</t>
  </si>
  <si>
    <t>Shop No.5, Lumiere Apartment, Purandhare Wadi, Gokhale Rd N, Dadar West, Mumbai, Maharashtra 400028, India</t>
  </si>
  <si>
    <t>Rahulâ€™s Cafe</t>
  </si>
  <si>
    <t>26, SS Wagh Marg, Radhika Saikripa Co-op Society, Naigaon, Dadar, Mumbai, Maharashtra 400014, India</t>
  </si>
  <si>
    <t>Chaos Control Cafe</t>
  </si>
  <si>
    <t>Gr. Floor, Crystal Towers St. Xavier's Street, Parel, Mumbai, Maharashtra 400012, India</t>
  </si>
  <si>
    <t>Cafe Colony Stores &amp; Restaurant</t>
  </si>
  <si>
    <t>Shrikant Lodge, Tilak Rd, near Tilak Bridge, Dadar TT, Dadar East, Dadar, Mumbai, Maharashtra 400014, India</t>
  </si>
  <si>
    <t>Reap-Eat Cafe</t>
  </si>
  <si>
    <t>Tilak Bhavan, Parel Railway Station, Shop no. 2, Bhori Chawl, Senapati Bapat Marg, West, opposite One International Center, Parel, Mumbai, Maharashtra 400028, India</t>
  </si>
  <si>
    <t>Mutuswami Cafe</t>
  </si>
  <si>
    <t>Ground Floor, Ramee Guestline Hotel, opp. Swaminarayan Temple, Dadar East, Dadar, Mumbai, Maharashtra 400014, India</t>
  </si>
  <si>
    <t>Nude Food Cafe</t>
  </si>
  <si>
    <t>364, Dhuru Apartment, Swatantryaveer Savarkar Rd, Dadar West, Prabhadevi, Mumbai, Maharashtra 400028, India</t>
  </si>
  <si>
    <t>Cheezy Freezy</t>
  </si>
  <si>
    <t>Chaityabhoomi Shop no 05, Park Apartment, Dadar West, Shivaji Park, Mumbai, Maharashtra 400028, India</t>
  </si>
  <si>
    <t>Cafe Delicia Legacy</t>
  </si>
  <si>
    <t>Shop B-9, Shivaji Park House, Lady Jamshedji Rd, Dadar West, Dadar, Mumbai, Maharashtra 400016, India</t>
  </si>
  <si>
    <t>The Urban Platter Cafe in Dadar West Mumbai</t>
  </si>
  <si>
    <t>Shop no 2, 1st Floor, CHS, SUGEE SADAN, Baburao Parulekar Marg, off Gokhale Road South, Dadar West, Dadar, Mumbai, Maharashtra 400028, India</t>
  </si>
  <si>
    <t>Cafe MadrasÂ®ï¸</t>
  </si>
  <si>
    <t>GROUND FLOOR, KAMAKSHI BUILDING, 391/B, Bhaudaji Rd, Matunga East, Mumbai, Maharashtra 400019, India</t>
  </si>
  <si>
    <t>Prajakta Cafe</t>
  </si>
  <si>
    <t>Shop No 2, Om Nanda Deep CHS, Prajakta Cafe, Mahim West, Shivaji Park, Mumbai, Maharashtra 400016, India</t>
  </si>
  <si>
    <t>Ground Floor, Dwarka Sadan, Keluskar Rd, Dadar West, Shivaji Park, Mumbai, Maharashtra 400028, India</t>
  </si>
  <si>
    <t>Unit no.58, Ground, Ram Mahal, Tip Road, Senapati Bapat Marg, Station, Mahim, Mumbai, Maharashtra 400016, India</t>
  </si>
  <si>
    <t>Cafe Anna</t>
  </si>
  <si>
    <t>Shop no.7, Makwana Building, 4, Kakasaheb Gadgil Marg, opp. Essgee Options, Elphistone, Dadar, Mumbai, Maharashtra 400028, India</t>
  </si>
  <si>
    <t>Cafe Irani Chaii</t>
  </si>
  <si>
    <t>Rosary Building, Mia Mohd Chhotani Rd, Geeta Nagar, Mahim West, Mahim, Mumbai, Maharashtra 400016, India</t>
  </si>
  <si>
    <t>Milkbar</t>
  </si>
  <si>
    <t>10/744 Kohinoor Mill Compound, S S Wagh Marg Road, Naigaon Rd, near Sharda Cinema, Dadar East, Mumbai, Maharashtra 400014, India</t>
  </si>
  <si>
    <t>Coffee By Di Bella Mahim</t>
  </si>
  <si>
    <t>West Wind Apartment, West Wind Building, Cadell Road, Mahim West, Kataria Colony, Shivaji Park, Swatantryaveer Savarkar Rd, above Cafe Di Bella, near Hinduja Hospitals, Dadar, Mumbai, Maharashtra 400016, India</t>
  </si>
  <si>
    <t>Cafe Marine</t>
  </si>
  <si>
    <t>2RGM+HWF, Dadar West, Shivaji Park, Mumbai, Maharashtra 400028, India</t>
  </si>
  <si>
    <t>Barista</t>
  </si>
  <si>
    <t>Jilkar House, 15 A, Keluskar Rd N, next to Bank Of Baroda, Dadar West, Shivaji Park, Mumbai, Maharashtra 400028, India</t>
  </si>
  <si>
    <t>Hungry Owl</t>
  </si>
  <si>
    <t>Raghukul, 1st Floor, Bhavani Shankar Rd, opp. Kingâ€™s Crest, Dadar West, Mumbai, Maharashtra 400028, India</t>
  </si>
  <si>
    <t>Pranav's corner</t>
  </si>
  <si>
    <t>2R9P+MRW, SK Bole Rd, opp. Nabar Guruji School, Omkar Society, Dadar West, Dadar, Mumbai, Maharashtra 400028, India</t>
  </si>
  <si>
    <t>Cafe Panama</t>
  </si>
  <si>
    <t>Lower Parel Compound, SJ Marg, Lower Parel, Mumbai, Maharashtra 400013, India</t>
  </si>
  <si>
    <t>My Regular Place, Dadar</t>
  </si>
  <si>
    <t>Dharamputra Pritam Estate, Dr Babasaheb Ambedkar Marg, Lokmanya Tilak Colony, Dadar, Mumbai, Maharashtra 400014, India</t>
  </si>
  <si>
    <t>Dadar Social</t>
  </si>
  <si>
    <t>Shop 2, Kohinoor Square, East Tower, N C. Kelkar Rd, Ram Ganesh Gadkari Chowk, Dadar West, Mumbai, Maharashtra 400028, India</t>
  </si>
  <si>
    <t>Blue Tokai Coffee Roasters | Kohinoor Square Dadar</t>
  </si>
  <si>
    <t>Kohinoor Square, 4602, N C. Kelkar Marg, Dadar West, Dadar, Mumbai, Maharashtra 400028, India</t>
  </si>
  <si>
    <t>Ground Floor, 39/41, NM Joshi Marg, opposite Deepak Cinema, Lower Parel West, Parel, Mumbai, Maharashtra 400013, India</t>
  </si>
  <si>
    <t>Light of Bharat Restaurant</t>
  </si>
  <si>
    <t>Meher Building, Ranade Rd, opp. Senapati Bapat Statue, Dadar West, Shivaji Park, Mumbai, Maharashtra 400028, India</t>
  </si>
  <si>
    <t>Desire Instant Chai Maza Aajaye!</t>
  </si>
  <si>
    <t>2R9P+QF5, Gokhale Rd N, Near Kabutar khana, Dadar West, Dadar, Mumbai, Maharashtra 400028, India</t>
  </si>
  <si>
    <t>Cafe 19</t>
  </si>
  <si>
    <t>2VG4+XRG, Nathalal Parekh Marg, Matunga East, Mumbai, Maharashtra 400019, India</t>
  </si>
  <si>
    <t>Zane's Cafe</t>
  </si>
  <si>
    <t>RR House, Todi Mill Compound, Senapati Bapat Marg, opposite Ideal Industrial Estate, Railway Colony, Lower Parel, Mumbai, Maharashtra 400013, India</t>
  </si>
  <si>
    <t>Shirke'S</t>
  </si>
  <si>
    <t>Dadar, Mumbai, Maharashtra 400019, India</t>
  </si>
  <si>
    <t>SAZ CafÃ©</t>
  </si>
  <si>
    <t>NRK House, 1, Senapati Bapat Marg, next to Kamala Mills gate, Lower Parel, Mumbai, Maharashtra 400013, India</t>
  </si>
  <si>
    <t>HOME CHEF</t>
  </si>
  <si>
    <t>Meher Premises, Shivaji Park, Dadar West, Dadar, Mumbai, Maharashtra 400028, India</t>
  </si>
  <si>
    <t>Terttulia</t>
  </si>
  <si>
    <t>Ground Floor, The Kin Hotel, Shivaji Park, Sea Face, off Old Cadel Road, Dadar West, Mumbai, Maharashtra 400028, India</t>
  </si>
  <si>
    <t>UGF, Century Bhavan, Sadanand Hasu Tandel Marg, Century Bazaar, Worli, Mumbai, Maharashtra 400030, India</t>
  </si>
  <si>
    <t>Cafe Reed Mumbai</t>
  </si>
  <si>
    <t>8th Floor, Tower 2A, One World Center, Lower Parel, Mumbai, Maharashtra 400013, India</t>
  </si>
  <si>
    <t>Mani's cafe</t>
  </si>
  <si>
    <t>Shop 7, Plot 120, Ground Floor, Shaakuntala, Dadar West, Shivaji Park, Mumbai, Maharashtra 400028, India</t>
  </si>
  <si>
    <t>Shop No 2, Ground Floor, Mon Desir, Old Cadel Rd, Dadar West, Shivaji Park, Mumbai, Maharashtra 400028, India</t>
  </si>
  <si>
    <t>Krishna's Cafe</t>
  </si>
  <si>
    <t>near Hindmata 1,2,3,7,FLOOR-GRD,221 GOHAR TAJ BUILDING, DR BABASAHEB AMBEDKAR ROAD, NAIGAON, Dadar East, Mumbai, Maharashtra 400014, India</t>
  </si>
  <si>
    <t>Amba Bhavan Coffee Club</t>
  </si>
  <si>
    <t>King's Circle Flyover, 373, Bhandarkar Rd, Matunga East, Mumbai, Maharashtra 400019, India</t>
  </si>
  <si>
    <t>Cafe Bae</t>
  </si>
  <si>
    <t>Monorail Station, Shop No 14 Shivaji Nagar N M Joshi Marg, Delisle Rd, below Lower Parel, Lower Parel East, Mumbai, Maharashtra 400013, India</t>
  </si>
  <si>
    <t>The Dessert RepublicÂ® - Matunga</t>
  </si>
  <si>
    <t>Maheshwari Udhyaan, Kalyan Bhuvan, Dr Babasaheb Ambedkar Marg, near Oasiss, Matunga East, Mumbai, Maharashtra 400019, India</t>
  </si>
  <si>
    <t>Momos Cafe</t>
  </si>
  <si>
    <t>Shop No 1, Dadar West, Dadar, Mumbai, Maharashtra 400025, India</t>
  </si>
  <si>
    <t>Cafe Cadell</t>
  </si>
  <si>
    <t>Shop no 8, Bhagirathi Sadan, Swatantryaveer Savarkar Rd, near Yes Bank, Kataria Colony, Mahim, Mumbai, Maharashtra 400016, India</t>
  </si>
  <si>
    <t>Shanti Coffee House</t>
  </si>
  <si>
    <t>Dr. Ambedkar Road, Opposite Chitra Cinema, Shop No. 5,6&amp;7, Dadar East, Mumbai, Maharashtra 400014, India</t>
  </si>
  <si>
    <t>Koolar &amp; Co</t>
  </si>
  <si>
    <t>541, Dr Babasaheb Ambedkar Marg, Matunga East, Mumbai, Maharashtra 400019, India</t>
  </si>
  <si>
    <t>Cafenately Coffee - Matunga</t>
  </si>
  <si>
    <t>Chandavarkar Rd, opp. Trilok Family Restaurant &amp; Bar, Matunga (C.R.), Matunga East, Mumbai, Maharashtra 400019, India</t>
  </si>
  <si>
    <t>Costa Coffee</t>
  </si>
  <si>
    <t>W, Shop No 6, Ground Floor, 377 Amarkunj society Veer Savarkar Marg, Shivaji Park, Old Cadel Rd, Dadar, Mumbai, Maharashtra 400028, India</t>
  </si>
  <si>
    <t>Oven Fresh Restaurant Dadar</t>
  </si>
  <si>
    <t>Kiran Building, 4/68, Ranade Rd, Chandrakant Dhuru Wadi, Dadar, Mumbai, Maharashtra 400028, India</t>
  </si>
  <si>
    <t>Cafe Mysore</t>
  </si>
  <si>
    <t>Durlabh Niwas, 1/461, Dr Babasaheb Ambedkar Marg, Opp B.N. Maheshwari Udyan, Matunga East, Mumbai, Maharashtra 400019, India</t>
  </si>
  <si>
    <t>CAFE V J T I</t>
  </si>
  <si>
    <t>Pushpraj Building, 191, David S Barretto Rd, Wadala West, Mumbai, Maharashtra 400031, India</t>
  </si>
  <si>
    <t>First Floor Lobby Indiabulls Finance Centre Center Point Building, Parel, Mumbai, Maharashtra 400013, India</t>
  </si>
  <si>
    <t>Edhas Cafe</t>
  </si>
  <si>
    <t>F&amp;B, 2nd floor, Kohinoor Square, Unit no 2, N C. Kelkar Marg, Dadar West, Mumbai, Maharashtra 400028, India</t>
  </si>
  <si>
    <t>Cafe Curious</t>
  </si>
  <si>
    <t>Noble Plus Pharmacy, Shop 4, Vaibhav Mahim Building, Swatantryaveer Savarkar Rd, Opposite, Mahim West, Mumbai, Maharashtra 400016, India</t>
  </si>
  <si>
    <t>Worli</t>
  </si>
  <si>
    <t>Light House Cafe &amp; Bar</t>
  </si>
  <si>
    <t>Sunville Building, Dr.Annie Besant Road, Love Grove Flyover, Siddharth Nagar, Worli, Mumbai, Maharashtra 400018, India</t>
  </si>
  <si>
    <t>Cafe Noir</t>
  </si>
  <si>
    <t>World Crest, Unit no.1A &amp; 1B, Lodha, Upper Worli, Lower Parel, Mumbai, Maharashtra 400013, India</t>
  </si>
  <si>
    <t>Stand By Coffee</t>
  </si>
  <si>
    <t>Shop No. 3, Kakad Estate, 4 &amp; 5, Dr RG Thadani Marg, opposite Baskin Robbins, B Wing, Siddharth Nagar, Worli, Mumbai, Maharashtra 400018, India</t>
  </si>
  <si>
    <t>Toise Coffee Roastery + Brewstudio</t>
  </si>
  <si>
    <t>Shop No.1, Madhuhans, Dr Annie Besant Rd, Adarsh Nagar, Worli, Mumbai, Maharashtra 400030, India</t>
  </si>
  <si>
    <t>Iteeha Coffee</t>
  </si>
  <si>
    <t>Ground Floor, Urmi Axis Building, West, behind Famous studio, opp. Doctor Elijah Moses Road, Mahalakshmi, Mumbai, Maharashtra 400011, India</t>
  </si>
  <si>
    <t>Teasy Express</t>
  </si>
  <si>
    <t>L-15, Dainik Shivner Marg, Gandhi Nagar, Upper Worli, Worli, Mumbai, Maharashtra 400018, India</t>
  </si>
  <si>
    <t>Brunch &amp; Cake Mumbai</t>
  </si>
  <si>
    <t>Unit no G - 04, Altimus, Dr, GM Bhosale Marg, opp. worli mahindra towers, B Wing, BDD Chawls Worli, Worli, Mumbai, Maharashtra 400018, India</t>
  </si>
  <si>
    <t>Diablo Mumbai</t>
  </si>
  <si>
    <t>Pandurang Budhkar Marg, Worli, Mumbai, Maharashtra 400013, India</t>
  </si>
  <si>
    <t>Slink &amp; Bardot</t>
  </si>
  <si>
    <t>Thadani House 329/A Opposite Indian Coast Guard Worli Village, Mumbai, Maharashtra 400030, India</t>
  </si>
  <si>
    <t>145 The Mill</t>
  </si>
  <si>
    <t>Unit 906, Trade World, Kamala Mills Compound, C Wing, Senapati Bapat Marg, Lower Parel, W, Maharashtra 400013, India</t>
  </si>
  <si>
    <t>Praia Bar &amp; Kitchen</t>
  </si>
  <si>
    <t>Atria Rooftop, above Inox, Lotus Colony, Worli, Mumbai, Maharashtra 400018, India</t>
  </si>
  <si>
    <t>Lay Bhari Cafe</t>
  </si>
  <si>
    <t>Janata Colony, BPT Colony, Worli, Mumbai, Maharashtra 400030, India</t>
  </si>
  <si>
    <t>Lord of the Drinks Worli</t>
  </si>
  <si>
    <t>Utopia City, 3rd Floor Trade View Building, gate 4, Pandurang Budhkar Marg, Lower Parel, Mumbai, Maharashtra 400013, India</t>
  </si>
  <si>
    <t>Palladium Social</t>
  </si>
  <si>
    <t>Shop 462, Third Floor, Palladium Mall, Senapati Bapat Marg, Lower Parel, Mumbai, Maharashtra 400013, India</t>
  </si>
  <si>
    <t>New Modern Cafe And Lunch Home</t>
  </si>
  <si>
    <t>Dr. A, B. Road, Adarsh Nagar, Worli, Mumbai, Maharashtra 400030, India</t>
  </si>
  <si>
    <t>Ground Fl, Victoria Mills Senapati Bapat Marg, near Smaash, Lower Parel, Mumbai, Maharashtra 400019, India</t>
  </si>
  <si>
    <t>Dhaba Cafe Lower Parel</t>
  </si>
  <si>
    <t>287/7, Mariyam Mansion, Ganpatrao Kadam Marg, Opp. A To Z Industrial Estate, Lower Parel West, Mumbai, Maharashtra 400013, India</t>
  </si>
  <si>
    <t>KIOSK KAFFEE</t>
  </si>
  <si>
    <t>14, Ganpatrao Kadam Marg, Upper, Worli, Mumbai, Maharashtra 400013, India</t>
  </si>
  <si>
    <t>CaffÃ© Allora</t>
  </si>
  <si>
    <t>Ground Floor, East Zone, Phoenix Palladium, Senapati Bapat Marg, Lower Parel, Mumbai, Maharashtra 400013, India</t>
  </si>
  <si>
    <t>Bougain Villa, Lower Parel, Mumbai</t>
  </si>
  <si>
    <t>71, Ground floor, Dainik Shivner Marg, opposite Lady Ratan Tower, Gandhi Nagar, Upper Worli, Lower Parel, Mumbai, Maharashtra 400018, India</t>
  </si>
  <si>
    <t>Palladium, 2nd Floor, 462, Senapati Bapat Marg, Lower Parel, Mumbai, Maharashtra 400013, India</t>
  </si>
  <si>
    <t>Kamala Mills Compound, Trade Tower B, Senapati Bapat Marg, Lower Parel, Mumbai, Maharashtra 400013, India</t>
  </si>
  <si>
    <t>Farzi Cafe</t>
  </si>
  <si>
    <t>Unit No. C-10B, Ground floor, Courtyard, High Street Phoenix, 462, Senapati Bapat Marg, Lower Parel, Mumbai, Maharashtra 400050, India</t>
  </si>
  <si>
    <t>Shivin Cafe n More..</t>
  </si>
  <si>
    <t>Shop No. 1, Narkar Chawl, near worli mahindra towers, opp. Milan Punjab Hotel, BDD Chawls Worli, Worli, Mumbai, Maharashtra 400018, India</t>
  </si>
  <si>
    <t>Glocal</t>
  </si>
  <si>
    <t>Ground Floor, Nehru Centre, Dr. Annie Besant Road, AB Nair Rd, Opposite Nehru Planetarium, Worli, Mumbai, Maharashtra 400018, India</t>
  </si>
  <si>
    <t>Atria-The Millennium Mall, No 1b/2, Dr Annie Besant Rd, West, Worli, Mumbai, Maharashtra 400018, India</t>
  </si>
  <si>
    <t>Euphoria Cafe Lalbaug</t>
  </si>
  <si>
    <t>Shop No. 9 , Anant Niwas , Sane Guruji Marg, station, near Chinchpokli, Lal Baug, Mumbai, Maharashtra 400012, India</t>
  </si>
  <si>
    <t>Circle Sixty Nine</t>
  </si>
  <si>
    <t>69, Sir Pochkhanawala Rd, B Wing, Worli, Mumbai, Maharashtra 400030, India</t>
  </si>
  <si>
    <t>Barista Cafe Urmi axis</t>
  </si>
  <si>
    <t>1st Floor, Urmi Axis Building, behind Famous Studio, Mahalakshmi, Mumbai, Maharashtra 400011, India</t>
  </si>
  <si>
    <t>The Coffee Bean &amp; Tea Leaf</t>
  </si>
  <si>
    <t>XRQH+5FH, Shastri Nagar, Adarsh Nagar, Lower Parel, Mumbai, Maharashtra 400013, India</t>
  </si>
  <si>
    <t>Steps Cafe</t>
  </si>
  <si>
    <t>Steps CafÃ©, Tertulian Rd, off Doctor Peter Dias Road, Mount Mary, Bandra West, Mumbai, Maharashtra 400050, India</t>
  </si>
  <si>
    <t>Art Cafe</t>
  </si>
  <si>
    <t>XRQ8+F56, Lotus Colony, Worli, Mumbai, Maharashtra 400018, India</t>
  </si>
  <si>
    <t>Chai Pe Charcha</t>
  </si>
  <si>
    <t>Prabhavinayak Building, Shop no. 3, New Prabhadevi Marg, society, Prabhadevi, Mumbai, Maharashtra 400025, India</t>
  </si>
  <si>
    <t>Copper Chimney - North Indian Family Restaurant in Worli</t>
  </si>
  <si>
    <t>Ground Floor, Door No.12-A, Lotus Court, Dr Annie Besant Rd, Lotus Colony, Worli, Mumbai, Maharashtra 400018, India</t>
  </si>
  <si>
    <t>Imperial Lounge (NSCI)</t>
  </si>
  <si>
    <t>XRP8+97J, Lotus Colony, Worli, Mumbai, Maharashtra 400018, India</t>
  </si>
  <si>
    <t>Wilson's Tea house @ St Regis Mumbai</t>
  </si>
  <si>
    <t>XRVF+GMR, Extension of Entry Rd to Phoenix, Lower Parel, Mumbai, Maharashtra 400013, India</t>
  </si>
  <si>
    <t>Bharat Coffee House</t>
  </si>
  <si>
    <t>Mentri House 114 Ganapatrao Kadam Marg, Ganpati Jadhav Marg, Worli Naka, Mumbai, Maharashtra 400018, India</t>
  </si>
  <si>
    <t>AER</t>
  </si>
  <si>
    <t>34th Floor, 1/136, Dr Elijah Moses Rd, Gandhi Nagar, Upper Worli, Worli, Mumbai, Maharashtra 400018, India</t>
  </si>
  <si>
    <t>Cafe kadak special</t>
  </si>
  <si>
    <t>Parel East, Parel, Mumbai, Maharashtra 400012, India</t>
  </si>
  <si>
    <t>Elementaria Bakery Cafe</t>
  </si>
  <si>
    <t>B, Kamala Mills Compound, Unit no 7, Trade World, Lower Parel, Mumbai, Maharashtra 400013, India</t>
  </si>
  <si>
    <t>Aromas cafe</t>
  </si>
  <si>
    <t>Hurry chutney,Apurva estate, Opp BDD chawl, no 115, SS apurva marg, Worli, Mumbai, Maharashtra 400013, India</t>
  </si>
  <si>
    <t>Ellipsis Bakery</t>
  </si>
  <si>
    <t>Recondo Estate, inside Asphalt Garage BMC Compound, Sudam Kalu Ahire Marg, next to Rna Mirage, Mumbai, Maharashtra 400030, India</t>
  </si>
  <si>
    <t>Subko at Museum of Solutions</t>
  </si>
  <si>
    <t>First floor, Victoria House, Lower Parel, Mumbai, Maharashtra 400013, India</t>
  </si>
  <si>
    <t>The Bombay Cartel</t>
  </si>
  <si>
    <t>Kamala Mills Compound, Shop 4-5, 1st Floor Bombay Hub, Z - Wing, Senapati Bapat Marg, Lower Parel, Mumbai, Maharashtra 400013, India</t>
  </si>
  <si>
    <t>The Coffee</t>
  </si>
  <si>
    <t>Ground Floor, North Sky zone, Senapati Bapat Marg, Lower Parel, Mumbai, Maharashtra 400013, India</t>
  </si>
  <si>
    <t>Bandra</t>
  </si>
  <si>
    <t>Boojee Cafe</t>
  </si>
  <si>
    <t>Shop No 6, New Kantwadi Rd, off Perry Cross Road, Bandra West, Mumbai, Maharashtra 400050, India</t>
  </si>
  <si>
    <t>Pali Village CafÃ©</t>
  </si>
  <si>
    <t>10, Pali Mala Rd, Adarsh Nagar, Bandra West, Mumbai, Maharashtra 400050, India</t>
  </si>
  <si>
    <t>Candies</t>
  </si>
  <si>
    <t>5AA Pali Hill, Bandra (W), next to Learners Academy School, Mumbai, Maharashtra 400050, India</t>
  </si>
  <si>
    <t>Earth Cafe @ Waterfield</t>
  </si>
  <si>
    <t>Durga Chambers, Waterfield Road, above Pernia's Pop Up MEN, Bandra West, Mumbai, Maharashtra 400050, India</t>
  </si>
  <si>
    <t>Bombay Coffee House</t>
  </si>
  <si>
    <t>248, Neelkamal Building, Waterfield Road, opposite National College, Bandra West, Mumbai, Maharashtra 400050, India</t>
  </si>
  <si>
    <t>Tea Villa CafÃ©</t>
  </si>
  <si>
    <t>Hill Rd, opp. Marks &amp; Spencer, Santosh Nagar, Bandra West, Mumbai, Maharashtra 400050, India</t>
  </si>
  <si>
    <t>Blue Tokai Coffee Roasters | Bandra</t>
  </si>
  <si>
    <t>Shop No 1, Mayflower Building, 33, New Kant Wadi Lane, Perry Cross Rd, Bandra West, Mumbai, Maharashtra 400050, India</t>
  </si>
  <si>
    <t>Cafe BANDRA</t>
  </si>
  <si>
    <t>3R6J+XCM, Mumbai Pali, Village, Bandra West, Mumbai, Maharashtra 400050, India</t>
  </si>
  <si>
    <t>CafÃ© Andora</t>
  </si>
  <si>
    <t>10, St Domnic Rd, Bandra West, Mumbai, Maharashtra 400050, India</t>
  </si>
  <si>
    <t>Aromas CafÃ© &amp; Bistro</t>
  </si>
  <si>
    <t>Ground Floor, Mamta Building, Waterfield Road, Linking Rd, near National College, Bandra West, Mumbai, Maharashtra 400050, India</t>
  </si>
  <si>
    <t>Chantilly - The CafÃ©</t>
  </si>
  <si>
    <t>Chantilly, Shop no. 2, Darvesh Royale Building, Perry Road, Turner Rd, opposite Kotak Mahindra Bank, Junction, Bandra West, Mumbai, Maharashtra 400050, India</t>
  </si>
  <si>
    <t>Grounded Cafe</t>
  </si>
  <si>
    <t>Shop no.1, Natalwala Bungalow, 41, BJ Road, Mount Mary, Bandra West, Mumbai, Maharashtra 400050, India</t>
  </si>
  <si>
    <t>Mokai Cafe</t>
  </si>
  <si>
    <t>Chapel Rd, St Sebastian Colony, Ranwar, Bandra West, Mumbai, Maharashtra 400050, India</t>
  </si>
  <si>
    <t>Breve Cafe</t>
  </si>
  <si>
    <t>Shop No.12, Pearl Haven Apartments, Chapel Rd, St Sebastian Colony, Mount Mary, Bandra West, Mumbai, Maharashtra 400050, India</t>
  </si>
  <si>
    <t>Old Street Cafe &amp; Bar</t>
  </si>
  <si>
    <t>No-95, Fernandes Villa, Hill Rd, near St Andrew's Church, Ranwar, Bandra West, Mumbai, Maharashtra 400050, India</t>
  </si>
  <si>
    <t>The Village Shop</t>
  </si>
  <si>
    <t>5AA, Mac Ronells Bungalow, Saint Andrews Ext, next to Learnerâ€™s Academy, Bandra West, Mumbai, Maharashtra 400050, India</t>
  </si>
  <si>
    <t>The Bagel Shop</t>
  </si>
  <si>
    <t>30, Pali Mala Rd, Pali Hill, Mumbai, Maharashtra 400050, India</t>
  </si>
  <si>
    <t>Mary Lodge by Subko</t>
  </si>
  <si>
    <t>Ground Floor, Mary Lodge, 21A, Chapel Rd, Ranwar, Bandra West, Mumbai, Maharashtra 400050, India</t>
  </si>
  <si>
    <t>Morii cafe</t>
  </si>
  <si>
    <t>36/A, îƒˆ Sanatan Pereira Bungalow, St John Baptist Rd, Mount Mary, Bandra West, Mumbai, Maharashtra 400050, India</t>
  </si>
  <si>
    <t>The Nest Bandra</t>
  </si>
  <si>
    <t>1st Floor, Hotel Metro Palace, Hill Rd, opposite Marks &amp; Spencer, above Barbeque Nation, Bandra West, Mumbai, Maharashtra 400050, India</t>
  </si>
  <si>
    <t>The Bandstand Pantry</t>
  </si>
  <si>
    <t>Bandstand Apartments, Shop 1, BJ Road, next to Barista Cafe, Bandra West, Mumbai, Maharashtra 400050, India</t>
  </si>
  <si>
    <t>Method Bandra</t>
  </si>
  <si>
    <t>Shop No.5, Pearl Haven Apartments, Chapel Rd, St Sebastian Colony, Mount Mary, Bandra West, W, Mumbai, Maharashtra 400050, India</t>
  </si>
  <si>
    <t>Bokka Coffee</t>
  </si>
  <si>
    <t>Shop No 1 &amp; 2, Salad Co, Rita Appartment, 16th Rd, opposite Canara Bank, Bandra West, Mumbai, Maharashtra 400050, India</t>
  </si>
  <si>
    <t>The Library Cafe</t>
  </si>
  <si>
    <t>355(6, Carter Road, opp. Gagangiri Apartment, next to Carter's Blue, Hanuman Nagar, Bandra West, Mumbai, Maharashtra 400052, India</t>
  </si>
  <si>
    <t>Brooke Bond Taj Mahal Tea House</t>
  </si>
  <si>
    <t>Sanatan Pereira Bungalow, 36/A, St John Baptist Rd, Mount Mary, Bandra West, Mumbai, Maharashtra 400050, India</t>
  </si>
  <si>
    <t>St John Baptist Rd, St Sebastian Colony, Mount Mary, Bandra West, Mumbai, Maharashtra 400050, India</t>
  </si>
  <si>
    <t>Poetry by Love and Cheesecake, Bandra W</t>
  </si>
  <si>
    <t>Kamal VIshranti Kutir opposite St Theresa School, 24th Road, Plot 104, D Bandra West, Khar West, Mumbai, Maharashtra 400052, India</t>
  </si>
  <si>
    <t>Greenr Cafe</t>
  </si>
  <si>
    <t>Greenr, 57/116, Drego House, Pali Naka, Dr Ambedkar Rd, Bandra West, Mumbai, Maharashtra 400050, India</t>
  </si>
  <si>
    <t>Shop No.2, Bandstand Apartments, BJ Road, near Mannat Building, Mount Mary, Bandra West, Mumbai, Maharashtra 400050, India</t>
  </si>
  <si>
    <t>Mitron Bar &amp; Cafe - Bandra</t>
  </si>
  <si>
    <t>of 24th, Crystal Shoppers Paradise Mall 498, Off Link Road Junction, and, 33rd Rd, Bandra West, Mumbai, Maharashtra 400050, India</t>
  </si>
  <si>
    <t>Candies at Bandra Reclamation</t>
  </si>
  <si>
    <t>ONGC Complex, Bandra Reclamation, near Lilavati Hospital, Mumbai, Maharashtra 400050, India</t>
  </si>
  <si>
    <t>Coffee By Di Bella Carter Road</t>
  </si>
  <si>
    <t>Gagangiri Premises Building, Sangeet Samrat Naushad Ali Rd, Bandra West, Mumbai, Maharashtra 400052, India</t>
  </si>
  <si>
    <t>Kabira's Cafe</t>
  </si>
  <si>
    <t>Shop no, National Centre For Training And Research 1, 88, KC Marg, Nityanand Nagar, Reclamation, Bandra West, Mumbai, Maharashtra 400050, India</t>
  </si>
  <si>
    <t>KCROASTERS By Koinonia</t>
  </si>
  <si>
    <t>6, Chuim Village Rd, Khar, Chuim Village, Danda, Khar West, Mumbai, Maharashtra 400052, India</t>
  </si>
  <si>
    <t>145 Bandra</t>
  </si>
  <si>
    <t>101, HSBC Building, 1st Floor, Pali Road Off Turner Road, near Golds Gym, Bandra West, Mumbai, Maharashtra 400050, India</t>
  </si>
  <si>
    <t>Brakefree Cafe</t>
  </si>
  <si>
    <t>Title Waves, St Paul Media Complex, ST. PAUL'S INSTITUTE OF COMMUNICATION EDUCATION, Rd Number 24, opp. Duruelo Convent School, Bandra West, Mumbai, Maharashtra 400050, India</t>
  </si>
  <si>
    <t>Eat Around the Corner</t>
  </si>
  <si>
    <t>24th, High School, Junction of, &amp;, 30th Rd, opp. St. Theresa's Boys, TPS III, Bandra West, Mumbai, Maharashtra 400050, India</t>
  </si>
  <si>
    <t>I CAFE (Bandra West)</t>
  </si>
  <si>
    <t>Ranwar, Bandra West, Mumbai, Maharashtra 400050, India</t>
  </si>
  <si>
    <t>Boojee cafe</t>
  </si>
  <si>
    <t>Sat Kartar building, 16th Rd, Bandra West, Mumbai, Maharashtra 400050, India</t>
  </si>
  <si>
    <t>RITUAL daily coffee</t>
  </si>
  <si>
    <t>Dr Ambedkar Rd, Pali Market, Pali Hill, Mumbai, Maharashtra 400050, India</t>
  </si>
  <si>
    <t>Sugar Daddy</t>
  </si>
  <si>
    <t>Ground Floor, Noorie House, 4 Rajan Road, Off Carter Rd, Bandra West, Mumbai, Maharashtra 400050, India</t>
  </si>
  <si>
    <t>Subko Mini at Art and Charlie</t>
  </si>
  <si>
    <t>New Red House, 71A, inside Pali Village, Pali Village, Bandra West, Mumbai, Maharashtra 400050, India</t>
  </si>
  <si>
    <t>The Bluebop Cafe</t>
  </si>
  <si>
    <t>318, Linking Rd, Khar, Khar West, Mumbai, Maharashtra 400052, India</t>
  </si>
  <si>
    <t>Carter Road SOCIAL</t>
  </si>
  <si>
    <t>Gagangiri CHS Ltd, Plot 21, Sangeet Samrat Naushad Ali Rd, opposite Carter Promenade, Union Park, Pali Hill, Mumbai, Maharashtra 400052, India</t>
  </si>
  <si>
    <t>Chocolateria San Churro</t>
  </si>
  <si>
    <t>Shop no 2, Simple Apartments, 16th Rd, Bandra West, Mumbai, Maharashtra 400050, India</t>
  </si>
  <si>
    <t>Cafe Duco</t>
  </si>
  <si>
    <t>Trimurti Building, Pyari Nagar, Danda, Khar Danda, Mumbai, Maharashtra 400050, India</t>
  </si>
  <si>
    <t>Ray's Cafe &amp; Pizzeria</t>
  </si>
  <si>
    <t>133, Gazebo House, Hill Rd, Bandra West, Mumbai, Maharashtra 400050, India</t>
  </si>
  <si>
    <t>Coffee By Di Bella</t>
  </si>
  <si>
    <t>1, Perry Cross Rd, Bandra West, Mumbai, Maharashtra 400050, India</t>
  </si>
  <si>
    <t>Farmer Cafe</t>
  </si>
  <si>
    <t>Shop No.1, Celeste Bldg, Plot No. 470, Kinchin CHS, 14th Rd, Khar, Khar West, Mumbai, Maharashtra 400052, India</t>
  </si>
  <si>
    <t>Chaayos Cafe at Chapel Road, Bandra West</t>
  </si>
  <si>
    <t>Unit No - 1,GF, 80, Chapel Rd, nr. Lilavati Hospital, St Sebastian Colony, Mount Mary, Bandra West, Mumbai, Maharashtra 400050, India</t>
  </si>
  <si>
    <t>Grey Soul Coffee Roasters (Bandra West)</t>
  </si>
  <si>
    <t>Dr Ambedkar Rd, next to Wellness Forever, opp. Zig Zag Road, Pali Village, Bandra West, Mumbai, Maharashtra 400050, India</t>
  </si>
  <si>
    <t>Earth Cafe @ Juhu</t>
  </si>
  <si>
    <t>Janki Kutir, Juhu Tara, Juhu, Mumbai, Maharashtra 400049, India</t>
  </si>
  <si>
    <t>No 2/3, Vinco Apartment, Chapel Rd, near Saltwater Cafe, Reclamation, Bandra West, Mumbai, Maharashtra 400050, India</t>
  </si>
  <si>
    <t>Javaphile Carter road</t>
  </si>
  <si>
    <t>Javaphile cafe, Sangeet Samrat Naushad Ali Rd, next to Oceanic, Shirley, Pali Hill, Mumbai, Maharashtra 400050, India</t>
  </si>
  <si>
    <t>Beyond Cafe Bandra West</t>
  </si>
  <si>
    <t>29th Rd, Bandra West, Mumbai, Maharashtra 400050, India</t>
  </si>
  <si>
    <t>Records.coffee by Veranda</t>
  </si>
  <si>
    <t>331, Bloom Boutique Dr. BR Ambedkar Road, Pali Hill Rd, Bandra West, Mumbai, Maharashtra 400050, India</t>
  </si>
  <si>
    <t>Noa by The Nutcracker</t>
  </si>
  <si>
    <t>Shop No. 3 &amp; 4, 384 Kamal VIshranti Kutir opposite St Theresa School, 24th Road, Plot 104, D, Bandra West, Mumbai, Maharashtra 400050, India</t>
  </si>
  <si>
    <t>Baked In Bombay By Bread Boulevard</t>
  </si>
  <si>
    <t>Shop No, 61, Waroda Rd, Ranwar, Bandra West, Mumbai, Maharashtra 400050, India</t>
  </si>
  <si>
    <t>Madras Diaries</t>
  </si>
  <si>
    <t>Shop No. 7, Ground Floor, Muzaffar Manor, 28th Rd, Bandra West, Mumbai, Maharashtra 400050, India</t>
  </si>
  <si>
    <t>Andheri</t>
  </si>
  <si>
    <t>August Cafe</t>
  </si>
  <si>
    <t>A-3, Sastri Nagar Rd, Sundervan Complex, Shastri Nagar, Andheri West, Mumbai, Maharashtra 400053, India</t>
  </si>
  <si>
    <t>Aromas Cafe &amp; Bistro</t>
  </si>
  <si>
    <t>Shop no-13/14/19, Beside Oshiwara police station, Ground floor, Oshiwara link plaza, Mhada Colony, Andheri West, Mumbai, Maharashtra 400102, India</t>
  </si>
  <si>
    <t>Leaping Windows</t>
  </si>
  <si>
    <t>Corner View, 3, Dr.Ashok Chopra Marg, Opp. Bianca Towers, Amit Nagar, Versova, Andheri West, Mumbai, Maharashtra 400061, India</t>
  </si>
  <si>
    <t>Bombay To Barcelona Library Cafe</t>
  </si>
  <si>
    <t>Timmy Arcade, 778, Makwana Rd, Gamdevi, Marol, Andheri East, Mumbai, Maharashtra 400059, India</t>
  </si>
  <si>
    <t>The Homemade Cafe</t>
  </si>
  <si>
    <t>Shop No. 4, 41, kaveri Building, Near, Oshiwara Police Station Rd, Anand Nagar, Andheri West, Mumbai, Maharashtra 400102, India</t>
  </si>
  <si>
    <t>Poolside Cafe</t>
  </si>
  <si>
    <t>VITS Hotel, International Airport Zone, Andheri - Kurla Rd, Bhim Nagar, Andheri East, Mumbai, Maharashtra 400059, India</t>
  </si>
  <si>
    <t>Momo Cafe</t>
  </si>
  <si>
    <t>CTS 215, Andheri - Kurla Rd, opposite Carnival Cinemas, Hanuman Nagar, Andheri East, Mumbai, Maharashtra 400059, India</t>
  </si>
  <si>
    <t>Gokul Regency, V.M Shah Marg, Taruvel CHS, Wing-C, J B Nagar, Andheri East, Andheri, Mumbai, Maharashtra 400099, India</t>
  </si>
  <si>
    <t>Cafe Holiday Versova</t>
  </si>
  <si>
    <t>Social, Meera Apts, 7/11, Juhu Versova Link Rd, opp. Versova, Gharkul Society, Seven Bunglow, Andheri West, Mumbai, Maharashtra 400053, India</t>
  </si>
  <si>
    <t>145 Andheri</t>
  </si>
  <si>
    <t>Plot no B, Ghanshyam Chambers, 1st Floor, Andheri West Above RBL Bank, Opp Citi Mall, New Link Rd, Veera Desai Industrial Estate, Mumbai, Maharashtra 400053, India</t>
  </si>
  <si>
    <t>Love &amp; Latte Lokhandwala</t>
  </si>
  <si>
    <t>Shop 7, Ground Flr, N G Eclat, Millat Nagar External Rd, Yamuna Nagar, Andheri West, Mumbai, Maharashtra 400047, India</t>
  </si>
  <si>
    <t>Pachinco - Cafe &amp; More</t>
  </si>
  <si>
    <t>Ground Floor, Crescent Royale, Veera Desai Road, off link road Behind Crescent Tower, Andheri West, Mumbai, Maharashtra 400053, India</t>
  </si>
  <si>
    <t>Blue Tokai Coffee Roasters | Versova</t>
  </si>
  <si>
    <t>Shop Number 6, JP Rd, opposite Palm Beach Apartment, Aram Nagar Part 1, Machlimar, Versova, Andheri West, Mumbai, Maharashtra 400061, India</t>
  </si>
  <si>
    <t>CafÃ© Barra 12</t>
  </si>
  <si>
    <t>Shop No.4, Varsha Apartments, Gharkul Society, Seven Bunglow, Andheri West, Mumbai, Maharashtra 400061, India</t>
  </si>
  <si>
    <t>Gallery cafe</t>
  </si>
  <si>
    <t>Cluster_mumbai Suburban_714, X - 22, MIDC Central Rd, Hanuman Nagar, Andheri East, Mumbai, Maharashtra 400093, India</t>
  </si>
  <si>
    <t>CocoBroma Coffee Cafe Andheri west</t>
  </si>
  <si>
    <t>Shop no 12, Sterling apt, Sundervan Complex, Shastri Nagar, Andheri West, Mumbai, Maharashtra 400053, India</t>
  </si>
  <si>
    <t>Love &amp; Latte Versova</t>
  </si>
  <si>
    <t>10A&amp;B, JP Rd, Aram Nagar Part 2, Machlimar, Versova, Andheri West, Mumbai, Maharashtra 400061, India</t>
  </si>
  <si>
    <t>Coffee By Di Bella Versova</t>
  </si>
  <si>
    <t>CHS, LTD, Beach Queen Apartments, Shop no 6 and 7, JP Rd, Versova, Andheri West, Mumbai, Maharashtra 400061, India</t>
  </si>
  <si>
    <t>Coffee By Di Bella Lokhandwala</t>
  </si>
  <si>
    <t>Shop 16, Plot 98-A/116, Greenville Co-Operative Housing Society Limited,, Opposite Samarth Vaibhav Lokhandwala Complex, Andheri Lokhandwala, Andheri, West, Mumbai, Maharashtra 400053, India</t>
  </si>
  <si>
    <t>Spring Leaf Cooperative Housing Society, JP Rd, opposite to Nana Nani Garden, Versova, Andheri West, Mumbai, Maharashtra 400061, India</t>
  </si>
  <si>
    <t>Roots Cafe</t>
  </si>
  <si>
    <t>Airport Rd, Bori Colony, Marol, Andheri East, Mumbai, Maharashtra 400059, India</t>
  </si>
  <si>
    <t>E, SN 5, Kanakia Wall St, Andheri - Kurla Rd, near KFC, A-Wing, Chakala, Hanuman Nagar, Andheri, Mumbai, Maharashtra 400053, India</t>
  </si>
  <si>
    <t>Ground floor, Green Ville CHS, opposite Samarth Vaibhav, Lokhandwala Complex, Andheri West, Mumbai, Maharashtra 400053, India</t>
  </si>
  <si>
    <t>Dinshawâ€™s Xpress Cafe</t>
  </si>
  <si>
    <t>Shop No.6, Windermere, New Link Rd, off Oshiwara, Mhada Colony, Andheri West, Mumbai, Maharashtra 400053, India</t>
  </si>
  <si>
    <t>Da Studio Cafe</t>
  </si>
  <si>
    <t>Ground floor , Plot No 1 , Compound. 1, Marol Cooperative Industrial Estate, Marol Maroshi Rd, Marol, Andheri East, Mumbai, Maharashtra 400059, India</t>
  </si>
  <si>
    <t>The Trans Cafe</t>
  </si>
  <si>
    <t>Bunglow 30/33, Old, Mhada Rd, opposite Laxmi Dairy, near Hanuman Mandir Lane, SV Patel Nagar, Andheri West, Mumbai, Maharashtra 400053, India</t>
  </si>
  <si>
    <t>Ohh My Dog Pefe</t>
  </si>
  <si>
    <t>Pratisthan Bunglow,Yamuna Nagar, Back Road, opp. Fairy Land School, beside RNA Eclat, Lokhandwala Complex, Andheri West, Mumbai, Maharashtra 400053, India</t>
  </si>
  <si>
    <t>CAFE MAROL</t>
  </si>
  <si>
    <t>Shop no : 1, 2 ,3, Everjoy Apartments, opp: silver inn, Bori Colony, Marol, Andheri East, Mumbai, Maharashtra 400059, India</t>
  </si>
  <si>
    <t>JW Cafe</t>
  </si>
  <si>
    <t>Chhatrapati Shivaji International Airport Area, Navpada, Vile Parle East, Vile Parle, Mumbai, Maharashtra 400099, India</t>
  </si>
  <si>
    <t>Idlay Cafe (Western Express Highway)</t>
  </si>
  <si>
    <t>82, Andheri - Kurla Rd, near Cine Magic Cinema, Gundavali, Andheri East, Mumbai, Maharashtra 400093, India</t>
  </si>
  <si>
    <t>Prithvi Cafe</t>
  </si>
  <si>
    <t>Apartment, Alongside, Prithvi Theatre, 20, Juhu Rd, Janki Kutir, Juhu, Mumbai, Maharashtra 400049, India</t>
  </si>
  <si>
    <t>Magari</t>
  </si>
  <si>
    <t>Jawaharban Apartment, Magari, Shop Number 9, society, opposite Kokilaben Hospital, Four Bungalows, Andheri West, Mumbai, Maharashtra 400053, India</t>
  </si>
  <si>
    <t>The Backyard Brew</t>
  </si>
  <si>
    <t>Shop No. 1 &amp; 2, Poseidon Apartment, Inlaks Nagar, Versova, Andheri West, Mumbai, Maharashtra 400061, India</t>
  </si>
  <si>
    <t>TBHC -The Buddies Huddle Cafe</t>
  </si>
  <si>
    <t>Shop No. 5, Ameya House CHSL, Mumbai, Maharashtra 400058, India</t>
  </si>
  <si>
    <t>The Turquoise Bean Cafe</t>
  </si>
  <si>
    <t>Oberoi Raviraj Complex, Shop No. 14, Mayfair Apartment, New Link Rd, Andheri West, Mumbai, Maharashtra 400053, India</t>
  </si>
  <si>
    <t>Cafe White Lama - European Eatery</t>
  </si>
  <si>
    <t>Shop No.1, Samarth Vaibhav, Society, Lokhandwala Rd, near IDBI Bank, Tarapore Gardens, Oshiwara, Andheri West, Mumbai, Maharashtra 400102, India</t>
  </si>
  <si>
    <t>Pair A Dice Cafe</t>
  </si>
  <si>
    <t>1st Floor, Link Plaza Commercial Complex, 53, above Fire Bowl Restaurant, Andheri West, Mumbai, Maharashtra 400102, India</t>
  </si>
  <si>
    <t>Cafe Tandoor 69</t>
  </si>
  <si>
    <t>Flt No - 31, Sai Kripa Compound Telli Galli Road, Outhouse, near Imperial Hotel, Andheri East, Mumbai, Maharashtra 400069, India</t>
  </si>
  <si>
    <t>Idlay Cafe, J.B Nagar, Andheri ( E )</t>
  </si>
  <si>
    <t>Shop no 9, Srinivas, Ashish Apartment, Shriniwas Bagarka Rd, Akal Society, Kanti Nagar, J B Nagar, Andheri East, Mumbai, Maharashtra 400059, India</t>
  </si>
  <si>
    <t>No 8, GF, Infiniti Mall, New Link Rd Kavivar, Pandit Indra Marg, next to Raheja Classique Complex, Oshiwara, Mumbai, Maharashtra 400053, India</t>
  </si>
  <si>
    <t>Shop.No 2, Bharat Ark, Veera Desai Rd, Mhada Colony, Azad Nagar, Andheri West, Mumbai, Maharashtra 400053, India</t>
  </si>
  <si>
    <t>BEST BUDDY'S CAFE</t>
  </si>
  <si>
    <t>SHOP NO. 1, BUILDING NO. 42, MATRUCHHAY CHSL, Oshiwara Police Station Road, ,Andheri West, Mumbai, Maharashtra 400102, India</t>
  </si>
  <si>
    <t>Shop no. 2, Reporters Bungalow, 120, Swami Vivekananda Rd, nr. Shoppers Stop, Navpada, Andheri West, Mumbai, Maharashtra 400058, India</t>
  </si>
  <si>
    <t>Barista Coffee</t>
  </si>
  <si>
    <t>Shop No Gala No.2, Part 1, JP Rd, Aram Nagar Part 1, Aram Nagar, Versova, Andheri West, Mumbai, Maharashtra 400061, India</t>
  </si>
  <si>
    <t>Blue Tokai Coffee Roasters | Andheri East</t>
  </si>
  <si>
    <t>Unit G-2, Amba Shanti Chambers, Andheri - Kurla Rd, Bori Colony, Vijay Nagar Colony West, Marol, Andheri East, Mumbai, Maharashtra 400056, India</t>
  </si>
  <si>
    <t>Cafe Lounge - Kohinoor Continental</t>
  </si>
  <si>
    <t>Lobby, Hotel Kohinoor Continental, Andheri - Kurla Rd, J B Nagar, Andheri East, Mumbai, Maharashtra 400059, India</t>
  </si>
  <si>
    <t>Shetty Building, Swami Vivekananda Rd, Fish Market Area, Navneeth Colony, Andheri West, Mumbai, Maharashtra 400058, India</t>
  </si>
  <si>
    <t>GinGin Cafe and Bar</t>
  </si>
  <si>
    <t>4th floor, westside, Sai Kanwal corporation, 427/428, JP Rd, off indira nagar, opposite Cosmos Plaza, Sonal Co operative Hsg Society, Manish Nagar, Four Bungalows, Andheri West, Andheri, Mumbai, Maharashtra 400053, India</t>
  </si>
  <si>
    <t>Cafe savera</t>
  </si>
  <si>
    <t>Shop no2, shukhmani building, Swami Vivekananda Rd, near fedai baug, opp. Nadco market, Shree Ram Nagar, Andheri West, Mumbai, Maharashtra 400058, India</t>
  </si>
  <si>
    <t>Cafe Popo</t>
  </si>
  <si>
    <t>36, Lallubhai Park Rd, Andheri West, Mumbai, Maharashtra 400058, India</t>
  </si>
  <si>
    <t>Coffee By Di Bella, Sher E Punjab</t>
  </si>
  <si>
    <t>Shop no.1 &amp; 2, New Malinee Chs Ldt, Mahakali Caves Rd, opposite Cannosa School, Subhash Nagar, Andheri East, Mumbai, Maharashtra 400093, India</t>
  </si>
  <si>
    <t>Opa! Bar &amp; Cafe</t>
  </si>
  <si>
    <t>Sakinaka Junction Hotel Peninsula Grand, Lokmanya Tilak Nagar, Andheri East, Mumbai, Maharashtra 400072, India</t>
  </si>
  <si>
    <t>Vaibhav Cafe</t>
  </si>
  <si>
    <t>Ground Floor, Syndicate Chamber, opp. Sahar Road, Railway Colony, Andheri East, Mumbai, Maharashtra 400069, India</t>
  </si>
  <si>
    <t>KEFI Eatery &amp; Cafe</t>
  </si>
  <si>
    <t>Shop No. 11, Mayfair Apartments, Sundervan Complex Rd, near Hotel Empressa, Shastri Nagar, Andheri West, Mumbai, Maharashtra 400053, India</t>
  </si>
  <si>
    <t>Cafe O</t>
  </si>
  <si>
    <t>2, Sagar Pallazio, Sakinaka, Magan Nathuram Rd, opposite Hotel Chakra, Safed Pul, Andheri East, Mumbai, Maharashtra 400072, India</t>
  </si>
  <si>
    <t>ESPATO - My Learn Coffee</t>
  </si>
  <si>
    <t>Shop No. 14, Karthik Complex, New Link Rd, opp. Laxmi Business Park, Veera Desai Industrial Estate, Andheri West, Mumbai, Maharashtra 400053, India</t>
  </si>
  <si>
    <t>DAILY TRIP CAFE</t>
  </si>
  <si>
    <t>SHOP NO 29, Link Plaza Commercial Complex, near Om Heera Panna Mall, Mhada Colony, Andheri West, Mumbai, Maharashtra 400053, India</t>
  </si>
  <si>
    <t>Moon Shine Cafe and Bar</t>
  </si>
  <si>
    <t>4RQJ+QR3, Veera Desai Industrial Estate, Andheri West, Mumbai, Maharashtra 400047, India</t>
  </si>
  <si>
    <t>Kruti Coffee Oshiwara</t>
  </si>
  <si>
    <t>Plot R, Ekdant Society, 13, Bhau Tatoba Toraskar Marg, near Ganapati Temple, Oshiwara, Andheri West, Mumbai, Maharashtra 400053, India</t>
  </si>
  <si>
    <t>Pachinco Andheri East</t>
  </si>
  <si>
    <t>Near Andheri, Metro Station Andheri, Sir M.V. Road, Andheri - Kurla Rd, E, Mumbai, Maharashtra 400069, India</t>
  </si>
  <si>
    <t>Goregaon</t>
  </si>
  <si>
    <t>Coffee Connect Food Pvt Ltd.</t>
  </si>
  <si>
    <t>SHOP NO.8, Tulsi Deep CHS Ltd, Swami Vivekananda Rd, next to Enrich Salon, Kumud Nagar, Goregaon West, Mumbai, Maharashtra 400104, India</t>
  </si>
  <si>
    <t>Lord's Cafe</t>
  </si>
  <si>
    <t>Shop No.6, Topiwala CHS, Station-West, opp. Topiwala Mall, Kakaji Nagar, Jawahar Nagar, Goregaon, Mumbai, Maharashtra 400104, India</t>
  </si>
  <si>
    <t>Mumbai Times Cafe</t>
  </si>
  <si>
    <t>Emerald Club, Royal Palms, Aarey Colony, Goregaon, Mumbai, Maharashtra 400065, India</t>
  </si>
  <si>
    <t>Blue Tokai Coffee Roasters | Goregaon West</t>
  </si>
  <si>
    <t>Shop No 7, Ekta Tripolis, Siddharth Nagar Rd, Motilal Nagar I, Goregaon West, Mumbai, Maharashtra 400104, India</t>
  </si>
  <si>
    <t>Unit no- 2, Third floor, Oberoi Mall, Off, Western Urban Rd, Yashodham, Goregaon, Mumbai, Maharashtra 400063, India</t>
  </si>
  <si>
    <t>Arkish cafe</t>
  </si>
  <si>
    <t>Shop no 15,M.C.G.M. Shopping center, Mahatma Gandhi Rd, Mitha Nagar, Goregaon West, w, Maharashtra 400104, India</t>
  </si>
  <si>
    <t>Third Floor, Oberoi Mall, Unit T, off Western Urban Road, beside PVR, Yashodham, Goregaon, Mumbai, Maharashtra 400063, India</t>
  </si>
  <si>
    <t>Blue Tokai Coffee Roasters | Goregaon East</t>
  </si>
  <si>
    <t>Shop No.2, Ground Floor, Om shree Ganesh Building, Vishveshwar Nagar Rd, opp. ICICI bank, Churi Wadi, Goregaon, Mumbai, Maharashtra 400063, India</t>
  </si>
  <si>
    <t>West End Bistro</t>
  </si>
  <si>
    <t>Shop no. 9, Shauket Mansion, Aarey Fatak road, opp. DNS bank, Goregaon West, Mumbai, Maharashtra 400104, India</t>
  </si>
  <si>
    <t>Cooling Tower Cafe</t>
  </si>
  <si>
    <t>NIRLON KNOWLEDGE PARK, Pahadi Village Off, Western Express Highway, Cama Industrial Estate, Goregaon, Mumbai, Maharashtra 400063, India</t>
  </si>
  <si>
    <t>Crank It! Cafe</t>
  </si>
  <si>
    <t>B/204, behind Mastermind 3, next to Moroccan Apts, Royal Palms Estate, Aarey Colony, Goregaon, Mumbai, Maharashtra 400063, India</t>
  </si>
  <si>
    <t>Oberoi Garden City, Oberoi Mall, G1 &amp; G2, near International Business Park, Goregaon, Mumbai, Maharashtra 400063, India</t>
  </si>
  <si>
    <t>Olive Bistro</t>
  </si>
  <si>
    <t>Third Floor, Oberoi Mall General AK Vidya Marg, Western Urban Rd, Yashodham, Goregaon, Mumbai, Maharashtra 400063, India</t>
  </si>
  <si>
    <t>Coffee By Di Bella Exclusive Malad</t>
  </si>
  <si>
    <t>Movie Time Cinema, Shop 3, Ground Floor, A-2 Wing Jagdamba Commercial Complex, New Link Rd, Kanchpada, Malad West, Mumbai, Maharashtra 400064, India</t>
  </si>
  <si>
    <t>Oberoi Mall, Yashodham, Goregaon, Mumbai, Maharashtra 400063, India</t>
  </si>
  <si>
    <t>Shop Unit No. 8, Ekta Tripolis, Siddharth Nagar Rd, Motilal Nagar I, Goregaon West, Mumbai, Maharashtra 400104, India</t>
  </si>
  <si>
    <t>Cafe Dlite</t>
  </si>
  <si>
    <t>5, Tirupati Udyog, I. B. Patel Road, Off, Western Urban Rd, Unnat Nagar, Jay Prakash Nagar, Goregaon, Mumbai, Maharashtra 400063, India</t>
  </si>
  <si>
    <t>GF, Lobby Commerz 2, International Business Park, near Western Urban Road, Yashodham, Goregaon, Mumbai, Maharashtra 400063, India</t>
  </si>
  <si>
    <t>Sufi Irani Cafe</t>
  </si>
  <si>
    <t>5V95+VMX, Dudhsagar Society, Aarey Colony, Goregaon, Mumbai, Maharashtra 400063, India</t>
  </si>
  <si>
    <t>Slay Coffee</t>
  </si>
  <si>
    <t>Shop 36, Virwani Industrial Estate, Western Urban Rd, Hanuman Tekdi, Goregaon West, Mumbai, Maharashtra 400063, India</t>
  </si>
  <si>
    <t>D-2, CHS Limited, Shop No.14 &amp; 15, Satellite Garden Phase 2, Azad Nagar, Gokuldham Colony, Goregaon, Mumbai, Maharashtra 400063, India</t>
  </si>
  <si>
    <t>Goregaon SOCIAL</t>
  </si>
  <si>
    <t>Oberoi Mall, Western Urban Rd, Yashodham, Goregaon, Mumbai, Maharashtra 400063, India</t>
  </si>
  <si>
    <t>CafÃ© IDlish Goregaon</t>
  </si>
  <si>
    <t>4S Mini Madras Cafe, Gokuldham Shopping Centre, 10, Aba Karmarkar Rd, near Royal Challenge Restaurant, Yashodham, Goregaon, Mumbai, Maharashtra 400063, India</t>
  </si>
  <si>
    <t>The C Spot Cafe</t>
  </si>
  <si>
    <t>Shop no 15, Building no 4, ONGC Colony, off Krishna Chandra Marg, beside candies, Reclamation, Bandra West, Mumbai, Maharashtra 400050, India</t>
  </si>
  <si>
    <t>Garden Alfresco</t>
  </si>
  <si>
    <t>4/277 I B Patel Road, Pahadi Rd, behind H.P. Petrol Pump Village, Goregaon, Mumbai, Maharashtra 400063, India</t>
  </si>
  <si>
    <t>Cafe Sadar Fa</t>
  </si>
  <si>
    <t>New Link Rd, Azad Nagar, Colony No 2, Laxmi Nagar, Goregaon West, Mumbai, Maharashtra 400104, India</t>
  </si>
  <si>
    <t>The Burrow Cafe</t>
  </si>
  <si>
    <t>Shop 10, 11, 12, Springfield 1, Sunder Ln, Malad, Orlem, Malad West, Mumbai, Maharashtra 400064, India</t>
  </si>
  <si>
    <t>Cococart &amp; Cafe (Oberoi Mall)</t>
  </si>
  <si>
    <t>White House Cafe</t>
  </si>
  <si>
    <t>Shop no 09, rakhsha hospital, near Atharva college, Malad, Charkop Naka, Asmita Jyoti Housing Society, Malad West, Mumbai, Maharashtra 400095, India</t>
  </si>
  <si>
    <t>Love &amp; Latte Malad</t>
  </si>
  <si>
    <t>Ground Flr, INTERFACE-11, MDP Rd, behind New Infiniti Mall, off New Link Road, Malad, Mindspace, Malad West, Mumbai, Maharashtra 400064, India</t>
  </si>
  <si>
    <t>The Nature Bar - Goregaon</t>
  </si>
  <si>
    <t>Yashodham, Goregaon, Mumbai, Maharashtra 400063, India</t>
  </si>
  <si>
    <t>Tea Pea CafÃ© | Best Cafe in Malad | Goregaon</t>
  </si>
  <si>
    <t>Shop No.1, Corporate Corner, near Dalmia College, Mandlik Nagar, Sunder Nagar, Malad West, Mumbai, Maharashtra 400104, India</t>
  </si>
  <si>
    <t>L'ttle Miss Cafe</t>
  </si>
  <si>
    <t>Bungalow no. 114, Smokey &amp; Charlie, Lane No. 1, opposite planet cast, Royal Palms Estate, Aarey Colony, Goregaon, Mumbai, Maharashtra 400065, India</t>
  </si>
  <si>
    <t>Kitchen Garden by Suzette Oberoi Mall</t>
  </si>
  <si>
    <t>Unit No 07, 2nd Floor, Oberoi Mall, off Western Urban Road, Yashodham, Goregaon, Mumbai, Maharashtra 400063, India</t>
  </si>
  <si>
    <t>Cafe Delhi Heights, Inorbit Mall, Malad</t>
  </si>
  <si>
    <t>Unit No. 1, Second Floor, Inorbit Mall, New Link Rd, Malad, Malad West, Mumbai, Maharashtra 400064, India</t>
  </si>
  <si>
    <t>Fleur Restaurant - The Fern Hotel Goregaon</t>
  </si>
  <si>
    <t>4/277, IB Patel Rd, Behind H.P Petrol, Jay Prakash Nagar, Goregaon, Mumbai, Maharashtra 400063, India</t>
  </si>
  <si>
    <t>RUNWAL GREENS, Shop No G 40 and G 41, R-Galleria, Mulund - Goregaon Link Rd, Mulund West, Mumbai, Maharashtra 400078, India</t>
  </si>
  <si>
    <t>Trupti's kitchen</t>
  </si>
  <si>
    <t>Anamika (A-52), Sai Rd, Gokuldham Colony, Goregaon, Mumbai, Maharashtra 400063, India</t>
  </si>
  <si>
    <t>Lobby, NESCO IT Park, Ram Mandir Rd, NESCO, Goregaon, Mumbai, Maharashtra 400063, India</t>
  </si>
  <si>
    <t>The Brew Cafe - Thakur Village</t>
  </si>
  <si>
    <t>Shop no: 1, Viceroy Court, Kandivali, Dattani Park, Thakur Village, Kandivali East, Mumbai, Maharashtra 400101, India</t>
  </si>
  <si>
    <t>Cafe Recess</t>
  </si>
  <si>
    <t>Shop no 10, Jaibhavani CHS, Satellite Garden Phase 2, A wing, Aarey Bhaskar Rd, Azad Nagar, Gokuldham Colony, Goregaon, Mumbai, Maharashtra 400063, India</t>
  </si>
  <si>
    <t>TeaZahn</t>
  </si>
  <si>
    <t>Shop No. 4, Ashoka Palace, Malad, Matanpur Nagar, Malad East, Mumbai, Maharashtra 400097, India</t>
  </si>
  <si>
    <t>Coffee Connect Food Pvt Ltd</t>
  </si>
  <si>
    <t>Ground Floor, Anushka Building, Coffee Connect , Shop No 03, Opp, Oshiwara Police Station Rd, Jogeshwari West, Mumbai, Maharashtra 400047, India</t>
  </si>
  <si>
    <t>Gate 3, NESCO Center, NESCO IT 4 lobby, Goregaon, Mumbai, Maharashtra 400063, India</t>
  </si>
  <si>
    <t>Star cafe</t>
  </si>
  <si>
    <t>ground floor,orchard mall 400065, Royal Palms, Aarey Colony, Goregaon, Mumbai, Maharashtra 400065, India</t>
  </si>
  <si>
    <t>Shakey Wakey Oshiwara</t>
  </si>
  <si>
    <t>Shop no 1 building no 12 , ground floor , Lotus CHS Ltd, Mumbai, Maharashtra 400053, India</t>
  </si>
  <si>
    <t>Retaliate Gaming Cafe</t>
  </si>
  <si>
    <t>2/16, First floor back side, 3, Mahatma Gandhi Rd, Unnat Nagar, Goregaon West, Mumbai, Maharashtra 400104, India</t>
  </si>
  <si>
    <t>Ground Floor, New Link Rd, Malad, Malad West, Mumbai, Maharashtra 400064, India</t>
  </si>
  <si>
    <t>Ground Floor, Building No. 4, Nesco Pvt Ltd, North C-wing, Western Urban Rd, inside Food court, Goregaon, Mumbai, India</t>
  </si>
  <si>
    <t>Coffee King</t>
  </si>
  <si>
    <t>Mind Space, Malad, Mindspace, Malad West, Mumbai, Maharashtra 400064, India</t>
  </si>
  <si>
    <t>Blue Tokai Coffee Roasters | Malad West</t>
  </si>
  <si>
    <t>Shop No 6, Ground Floor, Raj Infinia, Khandelwal Layout, Evershine Nagar, Malad West, Mumbai, Maharashtra 400064, India</t>
  </si>
  <si>
    <t>Mamma's cafe</t>
  </si>
  <si>
    <t>bus stand, Aarey Rd, behind Peru bag, Peru Baug, Churi Wadi, Goregaon West, Mumbai, Maharashtra 400063, India</t>
  </si>
  <si>
    <t>Borivali</t>
  </si>
  <si>
    <t>Kaffeine: Cafe &amp; Kitchen</t>
  </si>
  <si>
    <t>Shop No 1, Ground &amp; First Floor, Sakshat, Navkar Paradise, Shimpoli Rd, opp. Mega Party Hall, Mini Zaveri Bazaar, Mhatre Wadi, Borivali West, Mumbai, Maharashtra 400092, India</t>
  </si>
  <si>
    <t>Final Plot No 90, B Wing, Shop No 4-5, Ground Floor, Floor, Emerald, Roshan Nagar, Borivali West, Mumbai, Maharashtra 400092, India</t>
  </si>
  <si>
    <t>CAFE METER ON</t>
  </si>
  <si>
    <t>Shop No 3, Meghkamal CHS, opp. IDFC Bank, I C Colony, Borivali West, Mumbai, Maharashtra 400103, India</t>
  </si>
  <si>
    <t>Blue Tokai Coffee Roasters | Borivali West</t>
  </si>
  <si>
    <t>Shop No 3, Ground Floor, TG School, Chikuwadi Rd, next to Phoenix Hospital, Padma Nagar, Borivali, Mumbai, Maharashtra 400092, India</t>
  </si>
  <si>
    <t>Village Side Cafe</t>
  </si>
  <si>
    <t>Village Side Cafe, Kutchi Sarvoday Trust Ground, nr. Pixcy Kennel, Yogi Nagar Marg, Yogi Nagar, Mumbai, Maharashtra 400092, India</t>
  </si>
  <si>
    <t>Shop no 213, Ground Floor, Bhattad Tower, RM Bhattad Rd, opposite Kora Kendra Ground 2, Dalvi Nagar, Borivali West, Mumbai, Maharashtra 400092, India</t>
  </si>
  <si>
    <t>Cafe Pibatie</t>
  </si>
  <si>
    <t>shop no:1, Avanti B CHS, Shimpoli Rd, Haridas Nagar, Borivali West, Mumbai, Maharashtra 400092, India</t>
  </si>
  <si>
    <t>Gosssip Corner</t>
  </si>
  <si>
    <t>Shop no.1, Ekta Elegance, New Link Rd, opposite Eskay Club, Yogi Nagar, Borivali West, Mumbai, Maharashtra 400091, India</t>
  </si>
  <si>
    <t>Gigil Brasserie ..... The Food Lovers cafe</t>
  </si>
  <si>
    <t>RM Bhattad Rd, Dalvi Nagar, Borivali West, Mumbai, Maharashtra 400092, India</t>
  </si>
  <si>
    <t>Tea Pea CafÃ© | Best Cafe in Borivali</t>
  </si>
  <si>
    <t>Shop 2, Dama Villa, Kalpana Chawla Chowk, near Kora Kendra Ground 2, Haridas Nagar, Borivali West, Mumbai, Maharashtra 400092, India</t>
  </si>
  <si>
    <t>Bustle - At the rooftop</t>
  </si>
  <si>
    <t>7th floor, Tanishq showroom, Vini Elegance, L.T. Rd, Mini Zaveri Bazaar, Mhatre Wadi, Borivali, Mumbai, Maharashtra 400092, India</t>
  </si>
  <si>
    <t>Panchayat- The Kulhad cafe(Borivali West)</t>
  </si>
  <si>
    <t>Shop No. 1, Avanti, Soni Paradise C.H.S. Ltd., Shimpoli Rd, Haridas Nagar, Borivali West, Mumbai, Maharashtra 400092, India</t>
  </si>
  <si>
    <t>Blabber All Day</t>
  </si>
  <si>
    <t>Esspee Tower, Dattapada Rd, Ekta Bhoomi Gardens III, Food Corporation of India Warehouse, Borivali East, Mumbai, Maharashtra 400066, India</t>
  </si>
  <si>
    <t>The Chocolate Heaven</t>
  </si>
  <si>
    <t>Shop No. 7, Silver Arch, CHS, Kalpana Chawla Chowk, opp. Sony Tower, Ram Nagar, Sheetal Co-op Housing Society, Borivali West, Mumbai, Maharashtra 400092, India</t>
  </si>
  <si>
    <t>Shop No 3 &amp; 4, Gr Flr, The Corner Bldg Devidas Lane, Road, opposite Eskay Resort, Eksar, Borivali West, Mumbai, Maharashtra 400103, India</t>
  </si>
  <si>
    <t>Bombay Cycle Cafe</t>
  </si>
  <si>
    <t>Shop no 3, Churchway building, next to Churchway fruits and vegetables, I C Colony, C Colony, Borivali West, Mumbai, Maharashtra 400103, India</t>
  </si>
  <si>
    <t>Dinshaw's Xpress Cafe Khimani Hospitality</t>
  </si>
  <si>
    <t>Shop Number 2, Ground Floor jitnedra bhavan CHS LTD.punjabi lane, L.T. Rd, Borivali West, Mumbai, Maharashtra 400092, India</t>
  </si>
  <si>
    <t>Terreza Cafe and Bar</t>
  </si>
  <si>
    <t>4th floor, The Hub link, New Link Rd, opposite Shanti Ashram Signal, Eksar Village, Eksar, Borivali West, Mumbai, Maharashtra 400103, India</t>
  </si>
  <si>
    <t>Blue Tokai Coffee Roasters | IC Colony, Borivali</t>
  </si>
  <si>
    <t>Shop No 2, Gound Floor, Acropolis Apartment, Laxman Mhatre Rd, I C Colony, Marian Colony, Borivali West, Mumbai, Maharashtra 400103, India</t>
  </si>
  <si>
    <t>The Fusion Kitchen</t>
  </si>
  <si>
    <t>Shop no 1, Holy Cross Rd, opp. Veda Apartment, I C Colony, Kandarpada, Borivali West, Mumbai, Maharashtra 400103, India</t>
  </si>
  <si>
    <t>BHAJIYAWALA &amp; CO.</t>
  </si>
  <si>
    <t>Bhattad Tower, 08, GF, RM Bhattad Rd, opp. KORAKENDRA GROUND, Borivali, W, Maharashtra 400092, India</t>
  </si>
  <si>
    <t>Oriv Resto Cafee Bar</t>
  </si>
  <si>
    <t>Metro Line, Starbucks Coffee, Near Eksar Metro Station, 2A Besides, New Link Rd, near Lotus Multispeciality Hospital, Eksar, Borivali West, Mumbai, Maharashtra 400091, India</t>
  </si>
  <si>
    <t>Tea Pea Cafe |</t>
  </si>
  <si>
    <t>Shop No. 10, Avirahi Homes, New Link Rd, B Wing, I C Colony, Borivali West, Mumbai, Maharashtra 400103, India</t>
  </si>
  <si>
    <t>Shop no.2&amp;3, Avirahi Homes, IC Colony Ext, I C Colony, Borivali West, Mumbai, Maharashtra 400103, India</t>
  </si>
  <si>
    <t>Chai Chulha- Mumbai - (Borivali -East)</t>
  </si>
  <si>
    <t>Shop No. 1, Manohar Niwas, Kasturba Road No. 1, opposite Kasturba Police Station, Borivali East, Mumbai, Maharashtra 400066, India</t>
  </si>
  <si>
    <t>Shop No 2C, Ground Floor, V-Souk, Sai Baba Extension Road, Mahavir Nagar Kandivali West, opposite Sachin Tendulkar Sports Club, Borivali West, Mumbai, Maharashtra 400092, India</t>
  </si>
  <si>
    <t>MASTEE Pure Veg restaurant in Borivali</t>
  </si>
  <si>
    <t>Shop 4, Ground Floor, A, Telephone Exchange, AHCL HOMES, New Link Rd, opposite Shimpoli, Shimpoli, Borivali, Mumbai, Maharashtra 400092, India</t>
  </si>
  <si>
    <t>312House</t>
  </si>
  <si>
    <t>IC Colony Cross Rd Number 4, Devki Nagar, Borivali West, Mumbai, Maharashtra 400103, India</t>
  </si>
  <si>
    <t>Coffee Craft</t>
  </si>
  <si>
    <t>Outside Bhavdevi Compound, New Link Rd, Kandarpada, Dahisar West, Mumbai, Maharashtra 400068, India</t>
  </si>
  <si>
    <t>The Peace Story</t>
  </si>
  <si>
    <t>4th Floor, Sun Plaza, L.T. Rd, opp. Diamond Talkies, Gyan Nagar, Mhatre Wadi, Borivali West, Mumbai, Maharashtra 400091, India</t>
  </si>
  <si>
    <t>Helly and Chilly Cafe The white wolf cafe</t>
  </si>
  <si>
    <t>Shop no. 13A, Shripal Nagar, opp. Malpani ground, Satya Nagar, Borivali West, Mumbai, Maharashtra 400092, India</t>
  </si>
  <si>
    <t>Love &amp; Latte Borivali</t>
  </si>
  <si>
    <t>Shop No 4, Ground Floor, TG School, Chikuwadi Rd, next to Phoenix Hospital, Padma Nagar, Borivali, Mumbai, Maharashtra 400092, India</t>
  </si>
  <si>
    <t>The Chai Fusion</t>
  </si>
  <si>
    <t>New Link Rd, I C Colony, Borivali West, Mumbai, Maharashtra 400103, India</t>
  </si>
  <si>
    <t>Torque Cafe</t>
  </si>
  <si>
    <t>Shop No. 6, Amita Apartment, Kasturba, Rd Number 5, Chinchpada, Borivali East, Mumbai, Maharashtra 400066, India</t>
  </si>
  <si>
    <t>Vividh NX Bar &amp; Cafe Modern World Cuisine</t>
  </si>
  <si>
    <t>Shop No. 1, Gayatri Shivam Apartment Western Express Highway Service Road Opp. Carnival Cinema, Kandivali East, Mumbai, Maharashtra 400101, India</t>
  </si>
  <si>
    <t>Chaayos Cafe at Borivali</t>
  </si>
  <si>
    <t>Unit No 1, Rishab Raj Suraj 2, Shimpoli Rd, Rameshwar Darshan CHS, Babhai Naka, Borivali West, Mumbai, Maharashtra 400092, India</t>
  </si>
  <si>
    <t>Cafe Delight Family Restaurant (Borivali East)</t>
  </si>
  <si>
    <t>6VJ5+HX5, Mahatma Gandhi Rd, opposite S.T. Depot, Chinchpada, Borivali East, Mumbai, Maharashtra 400066, India</t>
  </si>
  <si>
    <t>Barista - Borivali</t>
  </si>
  <si>
    <t>Greenwood Complex, New Link Rd, near Metro Station Shimpoli, Shimpoli, Borivali, Mumbai, Maharashtra 400092, India</t>
  </si>
  <si>
    <t>Signature Premium Cafe &amp; Resto</t>
  </si>
  <si>
    <t>Shop no. 14, B-NO. 6B, Mandpeshwar Civic Federation Udyan Marg, Prem Nagar, Borivali West, Mumbai, Maharashtra 400092, India</t>
  </si>
  <si>
    <t>Lotus Leaf</t>
  </si>
  <si>
    <t>ESKAY RESORTS, Off Link Road, Eksar Village, Eksar, Borivali West, Mumbai, Maharashtra 400091, India</t>
  </si>
  <si>
    <t>TAVOLA FINE DINE,BAR , DIESEL CAFE</t>
  </si>
  <si>
    <t>2, next to Sai star cable, Thakur Village, Kandivali East, Mumbai, Maharashtra 400101, India</t>
  </si>
  <si>
    <t>Nuvola Cafe</t>
  </si>
  <si>
    <t>Shop No. 8, Soni Paradise C.H.S. Ltd., Om Shivam Premises, Shimpoli Rd, Haridas Nagar, Borivali West, Mumbai, Maharashtra 400092, India</t>
  </si>
  <si>
    <t>My Story Cafe</t>
  </si>
  <si>
    <t>New Link Rd, Shimpoli, Borivali West, Mumbai, Maharashtra 400092, India</t>
  </si>
  <si>
    <t>Quartz Cave - Restobar Banquets Lounge</t>
  </si>
  <si>
    <t>Annex Mall, Western Urban Rd, Siddharth Nagar, Borivali East, Mumbai, Maharashtra 400092, India</t>
  </si>
  <si>
    <t>Farmhouse Palladium Rest-O-Bar</t>
  </si>
  <si>
    <t>I C Colony, Borivali, Mumbai, Maharashtra 400103, India</t>
  </si>
  <si>
    <t>Bombay Eatery</t>
  </si>
  <si>
    <t>Railway Station, 4th Floor, Thakkar shopping Center, Opposite Borivali, Swami Vivekananda Rd, Borivali West, Mumbai, Maharashtra 400092, India</t>
  </si>
  <si>
    <t>Siddhivinayak CHS, 86/853, Petrol pump lane, Kandivali, Mahavir Nagar, Kandivali West, Mumbai, Maharashtra 400067, India</t>
  </si>
  <si>
    <t>Borivali AC Waiting Lounge and Restaurant</t>
  </si>
  <si>
    <t>Platform No. 10, BORIVALI RAILWAY STATION, Chinchpada, E, Mumbai, Maharashtra 400066, India</t>
  </si>
  <si>
    <t>Farmhouse Brass Anchor</t>
  </si>
  <si>
    <t>Ground Floor, Jamuna Darshan Building, Natakwala Lane, opposite Shimpoli Road, Mumbai, Maharashtra 400092, India</t>
  </si>
  <si>
    <t>The Betel House</t>
  </si>
  <si>
    <t>Shop No 2, Visamo Building, TPS Rd, opp. Veer Savarkar Garden, Babhai Naka, Borivali West, Mumbai, Maharashtra 400092, India</t>
  </si>
  <si>
    <t>Madrasi Kaapi House - I C Colony</t>
  </si>
  <si>
    <t>Shop No.4, A1, CHS LTD, Audumber Chhaya, I C Colony, Borivali West, Mumbai, Maharashtra 400103, India</t>
  </si>
  <si>
    <t>Ek Batta Do</t>
  </si>
  <si>
    <t>Do, 7, Shiv Darshan, Ek Batta, Shimpoli Rd, near Veg Treat, Kastur Park, Borivali West, Mumbai, Maharashtra 400092, India</t>
  </si>
  <si>
    <t>TeaMax Cafe Borivali West Mumbai</t>
  </si>
  <si>
    <t>Shreepal Building, SHRIPAL BUILDING, Shop no.13 A, opp. Malpani ground, Satya Nagar, Borivali West, Mumbai, Maharashtra 400092, India</t>
  </si>
  <si>
    <t>The London Shakes</t>
  </si>
  <si>
    <t>Shop no 9, Shroff Tower, Sodawala Ln, opposite Croma, Borivali West, Mumbai, Maharashtra 400092, India</t>
  </si>
  <si>
    <t>Dessert Junction Borivali</t>
  </si>
  <si>
    <t>Shop no 8, Natraj Cooperative Housing Society, Ramdas Sutrale Marg, near Tata Croma, Himmat Nagar, Borivali West, Mumbai, Maharashtra 400092, India</t>
  </si>
  <si>
    <t>First We Vibe Cafe</t>
  </si>
  <si>
    <t>Metro Station Ic Colony, Avirahi Homes, 8, New Link Rd, near mandapeshwar, B Wing, I C Colony, Borivali West, Mumbai, Maharashtra 400103, India</t>
  </si>
  <si>
    <t>Cream Lounge</t>
  </si>
  <si>
    <t>Shop No.5, Brindavan Apartments, Besides Aura Veg Restaurant, Juncton Of Link Road, &amp;, Yogi Nagar Marg, Yogi Nagar, Borivali West, Mumbai, Maharashtra 400091, India</t>
  </si>
  <si>
    <t>Banana Leaf Restaurant borivali</t>
  </si>
  <si>
    <t>Ground Floor Aditya Building, Gala No. 1 to, 8, New Link Rd, Shimpoli, Borivali West, Mumbai, Maharashtra 400092, India</t>
  </si>
  <si>
    <t>The mocktail club</t>
  </si>
  <si>
    <t>Shop no 10 plot no 66 sai, Gharkul CHS, opp. pepsi ground, near dr pillai global academy, Amrut Co-Operative Housing Society, Gorai 2, Borivali West, Mumbai, Maharashtra 400092, India</t>
  </si>
  <si>
    <t>The Basil Cafe</t>
  </si>
  <si>
    <t>Shop number: 1, LTD, Rajkamal CHS, 92, Yogi Nagar Marg, near Gossip restaurant, Yogi Nagar, Borivali West, Mumbai, Maharashtra 400092, India</t>
  </si>
  <si>
    <t>Kurla</t>
  </si>
  <si>
    <t>Coffee Culture</t>
  </si>
  <si>
    <t>Shop 38 - 39, Lal Bahadur Shastri Marg, Kamani, Kurla West, Kurla, Mumbai, Maharashtra 400070, India</t>
  </si>
  <si>
    <t>PONDICHÃ‰RY CAFÃ‰ - ALL-DAY DINING</t>
  </si>
  <si>
    <t>C 57, G Block BKC, Bandra Kurla Complex, Bandra East, Mumbai, Maharashtra 400051, India</t>
  </si>
  <si>
    <t>Equinox Tower 3, Lal Bahadur Shastri Road, Road, off BKC, Ambedkar Nagar, Kurla, Mumbai, Maharashtra 400070, India</t>
  </si>
  <si>
    <t>Cafe Flavours</t>
  </si>
  <si>
    <t>Shop 7, Durga Sadan, Rd Number 12, Chembur West, Tilak Nagar, Kurla, Mumbai, Maharashtra 400089, India</t>
  </si>
  <si>
    <t>Shop 1, godrej jetairways building, G Block BKC, Mumbai, Maharashtra 400051, India</t>
  </si>
  <si>
    <t>The Cold Hearted</t>
  </si>
  <si>
    <t>Khot Chawl, Muktadevi Mandir Marg, Sarveshwar Mandir Rd, nr. Shiv Sena Shakha, Kurla West, Mumbai, Maharashtra 400070, India</t>
  </si>
  <si>
    <t>Chaayos Cafe - Phoenix Marketcity, Kurla</t>
  </si>
  <si>
    <t>Unit F, 43, Lal Bahadur Shastri Marg, Ashok Nagar, Kurla, Mumbai, Maharashtra 400070, India</t>
  </si>
  <si>
    <t>Blah!</t>
  </si>
  <si>
    <t>Ground Floor, G-4, The Capital, G Block, Bandra Kurla Complex, Bandra East, Mumbai, Maharashtra 400051, India</t>
  </si>
  <si>
    <t>Cafe Delhi Heights</t>
  </si>
  <si>
    <t>Unit No. S-21 Second Floor, PHOENIX MARKETCITY, Mall, Lal Bahadur Shastri Marg, Kurla West, Kurla, Mumbai, Maharashtra 400070, India</t>
  </si>
  <si>
    <t>Steamy Mugs</t>
  </si>
  <si>
    <t>Bldg No: 11, Shop No: 1, Pushpanjali CHS, next to Krushna Classes, near Sahyadri Ground, Tilak Nagar, Chembur, Mumbai, Maharashtra 400089, India</t>
  </si>
  <si>
    <t>Blue Tokai Coffee Roasters | Phoenix Marketcity Kurla</t>
  </si>
  <si>
    <t>Unit No UG 99, Upper Ground, PHOENIX MARKETCITY, Lal Bahadur Shastri Marg, Ashok Nagar, Kurla, Mumbai, Maharashtra 400070, India</t>
  </si>
  <si>
    <t>Cafe Sahil</t>
  </si>
  <si>
    <t>63, Lal Bahadur Shastri Marg, Christian Gaon, Kurla West, Mumbai, Maharashtra 400070, India</t>
  </si>
  <si>
    <t>CAFE 9/10 Multicuisine Restaurant</t>
  </si>
  <si>
    <t>Shop No 15 Nr Vidyavihar Station, Vidyavihar West, Mumbai, Maharashtra 400070, India</t>
  </si>
  <si>
    <t>Cafe Milan Bakery</t>
  </si>
  <si>
    <t>SHOP NO 3, Qureshi Nagar, Kurla, Mumbai, Maharashtra 400070, India</t>
  </si>
  <si>
    <t>Phoenix Market City, 15, Lal Bahadur Shastri Marg, Ashok Nagar, Kurla, Mumbai, Maharashtra 400072, India</t>
  </si>
  <si>
    <t>Food Quarter</t>
  </si>
  <si>
    <t>Anjuman Masjid, Santacruz â€“ Chembur Link Rd, near Masrani Estate service road, Kurla West, Mumbai, Maharashtra 400070, India</t>
  </si>
  <si>
    <t>Cafe Madina</t>
  </si>
  <si>
    <t>253, Shop No.2/ Fatima Bai Building, 3, Lal Bahadur Shastri Marg, Kurla West, Mumbai, Maharashtra 400070, India</t>
  </si>
  <si>
    <t>Phoenix Market City, Kamani L.B.S.Marg, West, Ashok Nagar, Kurla, Mumbai, Maharashtra 400070, India</t>
  </si>
  <si>
    <t>abCoffee Art Guild Kurla</t>
  </si>
  <si>
    <t>Experience Center, Phoenix Marketcity, Lal Bahadur Shastri Marg, West, West, Nav Pada, Kurla, Mumbai, Maharashtra 400070, India</t>
  </si>
  <si>
    <t>Unit No F44, PMC Mall, Lal Bahadur Shastri Marg, Kurla West, Kurla, Mumbai, Maharashtra 400070, India</t>
  </si>
  <si>
    <t>The Irish House, Kurla</t>
  </si>
  <si>
    <t>Level 1, PHOENIX MARKETCITY, Mall, Ashok Nagar, Kurla, Mumbai, Maharashtra 400070, India</t>
  </si>
  <si>
    <t>Cafe &amp; Concessionaire</t>
  </si>
  <si>
    <t>Phoenix Market City Mall, Lal Bahadur Shastri Marg, Kurla West, Central, Mumbai, Maharashtra 400070, India</t>
  </si>
  <si>
    <t>La Cane Bistro - BEST CAFE IN KURLA</t>
  </si>
  <si>
    <t>3rd floor, la cane bistro, east point mall, Kurla Kajrolkar CHSL, Nehru Nagar, Kurla, Mumbai, Maharashtra 400024, India</t>
  </si>
  <si>
    <t>Clove Bistro</t>
  </si>
  <si>
    <t>Shop No. 2, Thakur Dham Complex, Lal Bahadur Shastri Marg, opposite Asha Petrol Pump, Kurla West, Kurla, Mumbai, Maharashtra 400070, India</t>
  </si>
  <si>
    <t>Amazonia</t>
  </si>
  <si>
    <t>Unit No. 5, Godrej BKC, G Block BKC, Bandra Kurla Complex, Bandra East, Mumbai, Maharashtra 400051, India</t>
  </si>
  <si>
    <t>Butterfly High</t>
  </si>
  <si>
    <t>Unit no. 4, Ground Floor, Jet Airways Godrej BKC, G Block, next to MCA, Bandra Kurla Complex, Ban, Mumbai, Maharashtra 400051, India</t>
  </si>
  <si>
    <t>Ground Floor, Platina, C-59, G Block, Bandra Kurla Complex, Bandra East, Mumbai, Maharashtra 400098, India</t>
  </si>
  <si>
    <t>Vadapav Cafe (Food Stall)</t>
  </si>
  <si>
    <t>Backside of Mahaveer Petrol pump, Police Station, Ganesh Baug Ln, near Kurla, Kurla West, Kurla, Mumbai, Maharashtra 400070, India</t>
  </si>
  <si>
    <t>Chaayos Cafe at One BKC</t>
  </si>
  <si>
    <t>Unit C, ONE BKC, 66, G Block Rd, G Block BKC, Bandra Kurla Complex, Bandra East, Mumbai, Maharashtra 400051, India</t>
  </si>
  <si>
    <t>Mumbai get way of India</t>
  </si>
  <si>
    <t>3VGH+93R, Lower Parel, Friends Colony, Kurla West, Kurla, Mumbai, Maharashtra 400070, India</t>
  </si>
  <si>
    <t>The Sassy CafÃ©</t>
  </si>
  <si>
    <t>Jio World Drive, Bandra Kurla Complex, Bandra East, Mumbai, Maharashtra 400051, India</t>
  </si>
  <si>
    <t>Persian Darbar</t>
  </si>
  <si>
    <t>Shop no, Kanakia Zillion, 17, Lal Bahadur Shastri Marg, Kurla West, Kurla, Mumbai, Maharashtra 400070, India</t>
  </si>
  <si>
    <t>Cafe Amber</t>
  </si>
  <si>
    <t>A 63 Kismat Nagar, CST Road, Kurla West, Mumbai, Maharashtra 400070, India</t>
  </si>
  <si>
    <t>Theobroma Bakery and Cake Shop - Bandra Kurla Complex, Mumbai</t>
  </si>
  <si>
    <t>Ground Floor, BANK OF INDIA STAR AVAS, The Capital, opp. ICICI Bank, Bandra East, Mumbai, Maharashtra 400051, India</t>
  </si>
  <si>
    <t>SAZ American Brasserie</t>
  </si>
  <si>
    <t>Ground Floor, Jio World Drive, MAKER MAXITY, Bandra Kurla Complex, Bandra East, Mumbai, Maharashtra 400051, India</t>
  </si>
  <si>
    <t>Ossoor coffee</t>
  </si>
  <si>
    <t>Seven olives hotel, Andheri - Kurla Rd, Saki Naka, Mumbai, Maharashtra 400072, India</t>
  </si>
  <si>
    <t>Cafe Maharashtra</t>
  </si>
  <si>
    <t>Building No 15, Lal Bahadur Shastri Marg, Friends Colony, Kurla West, Kurla, Mumbai, Maharashtra 400070, India</t>
  </si>
  <si>
    <t>SHRI KRISHNA CHANA BHANDAR</t>
  </si>
  <si>
    <t>Shop no 3, majeed apartment, near karthika school, Friends Colony, Kurla West, Kurla, Mumbai, Maharashtra 400070, India</t>
  </si>
  <si>
    <t>Hi Cafe</t>
  </si>
  <si>
    <t>3VGG+8MG, Kapadia Nagar, Kurla West, Mumbai, Maharashtra 400070, India</t>
  </si>
  <si>
    <t>Restaurants near me - Iranian Hub</t>
  </si>
  <si>
    <t>opposite Sahara hotel, near fauzia hospital, Friends Colony, Kurla West, Kurla, Mumbai, Maharashtra 400070, India</t>
  </si>
  <si>
    <t>Cafe 7 Tea</t>
  </si>
  <si>
    <t>No 6a, Mumbai - Old Agra Rd, near fauziya hospital, Friends Colony, Kurla West, Kurla, Mumbai, Maharashtra 400070, India</t>
  </si>
  <si>
    <t>Cafe Simply Hungry</t>
  </si>
  <si>
    <t>SARVA MANGAL CHSL, SHOP NO 7, GROUND FLOOR, BUILDING NO 15, Rd Number 12, Tilak Nagar, Kurla, Mumbai, Maharashtra 400089, India</t>
  </si>
  <si>
    <t>CAFE MADINA HOTEL</t>
  </si>
  <si>
    <t>New Mill Rd, Friends Colony, Kurla West, Kurla, Mumbai, Maharashtra 400070, India</t>
  </si>
  <si>
    <t>(Cafe Gulab) Saroj Bar and Restaurant</t>
  </si>
  <si>
    <t>S.G Barve Marg Buddhu Master Chawl, near Nasheman Hotel, Kurla West, Mumbai, Maharashtra 400070, India</t>
  </si>
  <si>
    <t>Vapei &amp; store smart Mumbai</t>
  </si>
  <si>
    <t>Vape shop, Shell Colony Rd, opp. national bakery, Shramjivi Nagar, Sai Baba Nagar, Kurla, Mumbai, Maharashtra 400071, India</t>
  </si>
  <si>
    <t>Jio World Drive, Bandra Kurla Complex, BKC, Mumbai, Maharashtra 400005, India</t>
  </si>
  <si>
    <t>Kayko Terrace Cafe</t>
  </si>
  <si>
    <t>2nd floor, Amul commercial society Ltd E, Rd No. 1, opp. BMC Office, Chembur Gaothan, Chembur, Mumbai, Maharashtra 400071, India</t>
  </si>
  <si>
    <t>Cream Centre</t>
  </si>
  <si>
    <t>Unit F, 42 / F - 43, Lal Bahadur Shastri Marg, Ashok Nagar, Kurla, Mumbai, Maharashtra 400070, India</t>
  </si>
  <si>
    <t>Venus</t>
  </si>
  <si>
    <t>Shop No 17/18, Opposite Dugad Market, Station Road, Kurla West, Mumbai - 400070, India</t>
  </si>
  <si>
    <t>Cafe Naaz Restaurant</t>
  </si>
  <si>
    <t>SG Barve Marg, Jagruti Nagar, Nehru Nagar, Kurla, Mumbai, Maharashtra 400024, India</t>
  </si>
  <si>
    <t>Poetry by Love and Cheesecake, OneBKC</t>
  </si>
  <si>
    <t>Unit 107, ONE BKC, G Block BKC, Bandra Kurla Complex, Bandra East, Mumbai, Maharashtra 400051, India</t>
  </si>
  <si>
    <t>MOJZA Moments With Cakes</t>
  </si>
  <si>
    <t>shop no 8\A, HI-Tech Co-op soc LTD, near lig colony, Vinobha Bhave Nagar, Kurla West, Mumbai, Maharashtra 400070, India</t>
  </si>
  <si>
    <t>Kurla chai shop</t>
  </si>
  <si>
    <t>3V7G+XJQ, Kurla West, Kurla, Mumbai, Maharashtra 400070, India</t>
  </si>
  <si>
    <t>Cst Tea &amp; Coffee</t>
  </si>
  <si>
    <t>No.3, CST Road, Friends Colony, Kurla West, Kurla, Mumbai, Maharashtra 400070, India</t>
  </si>
  <si>
    <t>Cafe Bostan</t>
  </si>
  <si>
    <t>Shop No 142, Taar Gali. 1, Ak Road, West, near Jarimari, Jarimari, Kurla, Mumbai, Maharashtra 400072, India</t>
  </si>
  <si>
    <t>New Star Cafe</t>
  </si>
  <si>
    <t>Shop No. 18, Opposit Best Depot, Chunchunwala Compound, Lal Bahadur Shastri Marg, Shanti Nagar, Kurla West, Kurla, Mumbai, Maharashtra 400070, India</t>
  </si>
  <si>
    <t>Scoop Gelateria - Premium Italian Ice Cream (Gelato)</t>
  </si>
  <si>
    <t>Shop No. 3-B, Thakur Dham Apt, Plot No. 303, Lal Bahadur Shastri Marg, Kurla West, Kurla, W, Mumbai, Maharashtra 400070, India</t>
  </si>
  <si>
    <t>Cafe Gulshan</t>
  </si>
  <si>
    <t>BKC CST Link Rd, Kolivery Village, MMRDA Area, Bandra Kurla Complex, Santacruz East, Mumbai, Maharashtra 400098, India</t>
  </si>
  <si>
    <t>Barbeque Nation Mumbai Kurla</t>
  </si>
  <si>
    <t>Unit S - 49 , 50, Lal Bahadur Shastri Marg, Patelwadi.Kurla, Kurla West, Kurla, Mumbai, Maharashtra 400070, India</t>
  </si>
  <si>
    <t>Ghatkopar</t>
  </si>
  <si>
    <t>KICK CAFE</t>
  </si>
  <si>
    <t>Billi Bungalow, behind Vodafone Gallery, opp. Sindhu wadi, Ghatkopar East, Mumbai, Maharashtra 400077, India</t>
  </si>
  <si>
    <t>Backbenchers Cafeteria</t>
  </si>
  <si>
    <t>Patel Chowk, RB Mehta Marg, near Neelyog Square, Saibaba Nagar, Pant Nagar, Ghatkopar East, Mumbai, Maharashtra 400077, India</t>
  </si>
  <si>
    <t>Pokket cafe Ghatkopar West</t>
  </si>
  <si>
    <t>Shop No 15, SNDT Woman Collage, Camalane, Ghatkopar West, Mumbai, Maharashtra 400086, India</t>
  </si>
  <si>
    <t>Grandmama's Cafe - Ghatkopar</t>
  </si>
  <si>
    <t>R City Mall, Ground Floor, Courtyard, Ghatkopar West, Mumbai, Maharashtra 400086, India</t>
  </si>
  <si>
    <t>The Chocolate Room</t>
  </si>
  <si>
    <t>Shop No. 1, Ground Floor, Vallabh Vihar, Mahatma Gandhi Rd, opp. Kotak Mahindra Bank, Rajawadi Colony, Ghatkopar East, Mumbai, Maharashtra 400077, India</t>
  </si>
  <si>
    <t>Maajaamaa Cafe</t>
  </si>
  <si>
    <t>Shop no.8, Nand Ashish C.H.S. Ltd., Patel Chowk, RB Mehta Marg, Saibaba Nagar, Pant Nagar, Ghatkopar East, Mumbai, Maharashtra 400077, India</t>
  </si>
  <si>
    <t>Tea Trails</t>
  </si>
  <si>
    <t>panchsheel bldg, B-29, Vidyabhavan Rd, opp. Vidya bhavan school, Sudarshan Society, Nath Pai Nagar, Ghatkopar East, Mumbai, Maharashtra 400077, India</t>
  </si>
  <si>
    <t>Bharat Cafe</t>
  </si>
  <si>
    <t>Shraddhanand Rd, opp. Ghatkopar Railway Station, Bhatwadi, Kapol wadi, Ghatkopar West, Mumbai, Maharashtra 400077, India</t>
  </si>
  <si>
    <t>Cafe Unwind by INOX R-City Ghatkopar</t>
  </si>
  <si>
    <t>R City Mall, Lal Bahadur Shastri Marg, Amrut Nagar, Ghatkopar West, Mumbai, Maharashtra 400086, India</t>
  </si>
  <si>
    <t>The Fusion Hack</t>
  </si>
  <si>
    <t>Surya House, ONGC Colony, Vidya Vihar East, Vidyavihar, Mumbai, Maharashtra 400086, India</t>
  </si>
  <si>
    <t>Cafebeats Ghatkopar</t>
  </si>
  <si>
    <t>Shop 2, Madhav Apartment, Jawahar Rd, Ghatkopar, Saibaba Nagar, Pant Nagar, Ghatkopar East, Mumbai, Maharashtra 400077, India</t>
  </si>
  <si>
    <t>R City Mall, G 73A, Lal Bahadur Shastri Marg, Amrut Nagar, Ghatkopar West, Mumbai, Maharashtra 400086, India</t>
  </si>
  <si>
    <t>Love &amp; Latte R-City</t>
  </si>
  <si>
    <t>3rd, Lal Bahadur Shastri Marg, Amrut Nagar, Ghatkopar West, Mumbai, Maharashtra 400086, India</t>
  </si>
  <si>
    <t>Krishna Cafe</t>
  </si>
  <si>
    <t>Shop No 1A Lakshminarayan ln, Mahatma Gandhi Rd, Ghatkopar East, Mumbai, Maharashtra 400077, India</t>
  </si>
  <si>
    <t>TkafÃ©</t>
  </si>
  <si>
    <t>Kailash Plaza, 14(a)(b, Vallabh Baug Ln, MHADA Colony, Pant Nagar, Ghatkopar East, Mumbai, Maharashtra 400077, India</t>
  </si>
  <si>
    <t>Barista - Ghatkopar</t>
  </si>
  <si>
    <t>shop 18,19, 20, Saidham Society, Garodia Nagar, Ghatkopar East, Mumbai, Maharashtra 400077, India</t>
  </si>
  <si>
    <t>CHAIGARAM Pocket Cafe Ghatkopar</t>
  </si>
  <si>
    <t>3 Parmeshwar dham, Rd Number 7, Mumbai, 77, India</t>
  </si>
  <si>
    <t>Odeon Apartments, Ramnarayan Narkar Marg, Janak Kutir, MHADA Colony, Pant Nagar, Ghatkopar East, Mumbai, Maharashtra 400077, India</t>
  </si>
  <si>
    <t>Ghatkopar Social</t>
  </si>
  <si>
    <t>Unit G73, Ground Floor, North Wing, R-City Mall, Lal Bahadur Shastri Marg, Amrut Nagar, Ghatkopar West, Mumbai, Maharashtra 400086, India</t>
  </si>
  <si>
    <t>The Dessert RepublicÂ® - Ghatkopar</t>
  </si>
  <si>
    <t>7, New Happy Home Society Opp Hotel New Achija, Next to Pavillion Hotel, Khau Galli, Corner of, Tilak Rd, Ghatkopar (E, Mumbai, Maharashtra 400077, India</t>
  </si>
  <si>
    <t>Shop No. 7&amp;8, Savani Apartments, Junction, Mahatma Gandhi Rd, Raja Wadi, Maheshwar Nagar, Rajawadi Colony, Ghatkopar East, Mumbai, Maharashtra 400077, India</t>
  </si>
  <si>
    <t>Monopoly Ghatkopar</t>
  </si>
  <si>
    <t>Shop No. 2, Ground Floor, Vallabh Vihar Building, Mahatma Gandhi Rd, opp. Kotak Mahindra Bank, Rajawadi Colony, Ghatkopar East, Mumbai, Maharashtra 400077, India</t>
  </si>
  <si>
    <t>CocoCart &amp; CocoCafe R-City</t>
  </si>
  <si>
    <t>R City Mall, TF 08 &amp; 09, 3rd Floor, Ghatkopar West, Mumbai, Maharashtra 400086, India</t>
  </si>
  <si>
    <t>We Wake Kaffee</t>
  </si>
  <si>
    <t>Vikrant Circle, Tilak Rd, opp. Vasundhara Building, Ghatkopar East, Mumbai, Maharashtra 400077, India</t>
  </si>
  <si>
    <t>Baithack - Taste of Kulhad, Ghatkopar</t>
  </si>
  <si>
    <t>Shop no. 3, Jai-Vijay Co-op Society, opp. Hindi High School, CGS Colony, Ghatkopar West, Mumbai, Maharashtra 400086, India</t>
  </si>
  <si>
    <t>FIRE POT RESTAURANT</t>
  </si>
  <si>
    <t>3VGX+VVJ, near Somaiya University, Vidyanagar, Vidya Vihar East, Ghatkopar East, Mumbai, Maharashtra 400077, India</t>
  </si>
  <si>
    <t>Monica family Restaurant&amp;Bar</t>
  </si>
  <si>
    <t>New, 90 Feet Rd, Park Society, Pant Nagar, Ghatkopar East, Mumbai, Maharashtra 400075, India</t>
  </si>
  <si>
    <t>Ground Floor, Dhoot Business Centre, Dhanlaxmi Building, RB Mehta Marg, near Shri, Neelkanth Chhaya Co-op Housing Society, Sindhu Wadi, Ghatkopar East, Mumbai, Maharashtra 400077, India</t>
  </si>
  <si>
    <t>Pure Milk &amp; Snacks Center</t>
  </si>
  <si>
    <t>Vikrant bldg, vikrant circle, RB Mehta Marg, Ghatkopar East, Mumbai, Maharashtra 400077, India</t>
  </si>
  <si>
    <t>Mota Bhai Cafe</t>
  </si>
  <si>
    <t>Mota Bhai Cafe, Roller Coaster Ice Cream, Vallabh Baugh Lane, Tilak Rd, near Achija Hotel, Ghatkopar (E, Mumbai, Maharashtra 400077, India</t>
  </si>
  <si>
    <t>Mumbai Bites - Ghatkopar</t>
  </si>
  <si>
    <t>Mumbai Bites, 90 Feet Rd, near Patel copy center, opp. Kailash Plaza, NG37, Ghatkopar East, Mumbai, Maharashtra 400075, India</t>
  </si>
  <si>
    <t>Granville Greens (Ghatkopar)</t>
  </si>
  <si>
    <t>1, Ramnarayan Narkar Marg, next to R Odeon Mall, MHADA Colony, Pant Nagar, Ghatkopar East, Mumbai, Maharashtra 400077, India</t>
  </si>
  <si>
    <t>Rameshwaram Cafe</t>
  </si>
  <si>
    <t>3WP6+7H5, Shival Nagar, Saibaba Nagar, Pant Nagar, Ghatkopar East, Mumbai, Maharashtra 400075, India</t>
  </si>
  <si>
    <t>Desire Instant Chai</t>
  </si>
  <si>
    <t>A-7, Gayatri Dham, Derasar Lane, Mahatma Gandhi Rd, opp. ZEST BUSINESS SPACES, Ghatkopar East, Mumbai, Maharashtra 400077, India</t>
  </si>
  <si>
    <t>CAFE VIBEZZ</t>
  </si>
  <si>
    <t>459, Ambedkar Nagar, No 7 1, Sarvoday Buddh Vihar Marg, opp. to Natraj Bar, near Somaiya College, Rajawadi Colony, Ghatkopar East, Mumbai, Maharashtra 400077, India</t>
  </si>
  <si>
    <t>B.E. Bytes</t>
  </si>
  <si>
    <t>Hingwala Ln, Saibaba Nagar, Pant Nagar, Ghatkopar East, Mumbai, Maharashtra 400077, India</t>
  </si>
  <si>
    <t>Mi FAVORITO - LA CASA DE FUSION CENAR...</t>
  </si>
  <si>
    <t>Shop No.5, Parvati Sadan, Tilak Rd, near Balaji Temple, opp. Annapurna Industrial Estate, Raja Wadi, Maheshwar Nagar, Sindhu Wadi, Ghatkopar East, Mumbai, Maharashtra 400077, India</t>
  </si>
  <si>
    <t>Chatoree</t>
  </si>
  <si>
    <t>3rd Floor, R City Mall, Lal Bahadur Shastri Marg, Amrut Nagar, Ghatkopar West, Mumbai, Maharashtra 400086, India</t>
  </si>
  <si>
    <t>R-Steam Hot</t>
  </si>
  <si>
    <t>Shop No 10-a, Kailash Plaza, Vallabh Baug Ln, MHADA Colony, Pant Nagar, Ghatkopar East, Mumbai, Maharashtra 400077, India</t>
  </si>
  <si>
    <t>Lal Bahadur Shastri Marg, Amrut Nagar, Ghatkopar West, Mumbai, Maharashtra 400086, India</t>
  </si>
  <si>
    <t>Bombay Island Coffee Company | Vikhroli</t>
  </si>
  <si>
    <t>GODREJ ONE, Shop #4, Tower C, Retail Street, The Trees, Pirojshanagar, Vikhroli, Mumbai, Maharashtra 400079, India</t>
  </si>
  <si>
    <t>Le Cafe | Best European Cafe in Chembur, Mumbai</t>
  </si>
  <si>
    <t>Jewel of chembur, Rd No. 1, opp. Bmc OFFice, near Natraj Cinema, Chembur Gaothan, Chembur, Mumbai, Maharashtra 400071, India</t>
  </si>
  <si>
    <t>Monopoly ghatkopar</t>
  </si>
  <si>
    <t>Shop 9 Jayant Villa Hingwala Lane, Tilak Road, Sindhu Wadi, Ghatkopar East, Mumbai, Maharashtra 400077, India</t>
  </si>
  <si>
    <t>Parichai, Espress Yourself</t>
  </si>
  <si>
    <t>Building no. 15, Sarva Mangal towers, Shop no, 4, West, opp. Sahyadri Garden, Tilak Nagar, Chembur, Mumbai, Maharashtra 400089, India</t>
  </si>
  <si>
    <t>House of delicious (Vidhyvihar)</t>
  </si>
  <si>
    <t>Shop 3, veer apartment, 7th road, opp. from somiya college gate1, Vidyanagar, Vidya Vihar East, Vidyavihar, Mumbai, Maharashtra 400077, India</t>
  </si>
  <si>
    <t>Vishwa Bharat Fine Dine</t>
  </si>
  <si>
    <t>Shop No 1, Laxmi Shopping Centre, 2 &amp; 3, HD Road, near Railway Station, Bhatwadi, Kapol wadi, Ghatkopar West, Mumbai, Maharashtra 400086, India</t>
  </si>
  <si>
    <t>cafe shalimar family restaurant</t>
  </si>
  <si>
    <t>Cafe Shalimar, Lal Bahadur Shastri Marg, opposite Dargha, near Damodar Park, Nityanand Nagar, Ghatkopar West, Mumbai, Maharashtra 400086, India</t>
  </si>
  <si>
    <t>Pavilion Veg Restaurant</t>
  </si>
  <si>
    <t>Happy Home, Vallabh Baug Ln, Raja Wadi, Sindhu Wadi, Ghatkopar East, Mumbai, Maharashtra 400077, India</t>
  </si>
  <si>
    <t>The Belgian Waffle Co.</t>
  </si>
  <si>
    <t>Shop No.11, Vasant Nivas, Tilak Rd, corner, Sindhu Wadi, Ghatkopar East, Mumbai, Maharashtra 400077, India</t>
  </si>
  <si>
    <t>Shop no.2, Shivkrupa Sadan, Karani Ln, Ghatkopar West, Mumbai, Maharashtra 400077, India</t>
  </si>
  <si>
    <t>BouganVilla</t>
  </si>
  <si>
    <t>Ground Floor, Neelyog Square Mall, opp. Metro &amp; Railway Station, Shival Nagar, Saibaba Nagar, Pant Nagar, Ghatkopar East, Mumbai, Maharashtra 400077, India</t>
  </si>
  <si>
    <t>Pop Tate's R-City Mall</t>
  </si>
  <si>
    <t>R City Mall, Ground Ground Floor, Lal Bahadur Shastri Marg, Amrut Nagar, Ghatkopar West, Mumbai, Maharashtra 400086, India</t>
  </si>
  <si>
    <t>Blossom The Fusion Spot</t>
  </si>
  <si>
    <t>Jhulelal Chowk, Sindhu Wadi, Ghatkopar (E, Mumbai, Maharashtra 400077, India</t>
  </si>
  <si>
    <t>Khau Galli, Ghatkopar</t>
  </si>
  <si>
    <t>No.2, Shop No.5, Vallabh Baug Lane, Jalaram Nagar, opposite Laxmi Narayan Mandir, Sindhu Wadi, Ghatkopar East, Mumbai, Maharashtra 400077, India</t>
  </si>
  <si>
    <t>Madras Talkies Ghatkopar East</t>
  </si>
  <si>
    <t>Shop no 2, Ground Floor, Building no 32, near Brijwasi Sweets, Shival Nagar, Gaurishankar Wadi, Pant Nagar, Ghatkopar East, Mumbai, Maharashtra 400075, India</t>
  </si>
  <si>
    <t>INDIAN TOUCH</t>
  </si>
  <si>
    <t>Patel chowk, opposite to Natural icecream, Ghatkopar East, Mumbai, Maharashtra 400077, India</t>
  </si>
  <si>
    <t>CYCLOSTOP - Cycles on Rent</t>
  </si>
  <si>
    <t>RN, Kailash Tower, Ramnarayan Narkar Marg, opp. Rodeon Mall, MHADA Colony, Pant Nagar, Ghatkopar East, Mumbai, Maharashtra 400075, India</t>
  </si>
  <si>
    <t>Fusion Zaika</t>
  </si>
  <si>
    <t>Bus stop, Eastern Express Hwy, near Nalanda Nagar, Ghatkopar, Nalanda Nagar, Ghatkopar East, Mumbai, Maharashtra 400075, India</t>
  </si>
  <si>
    <t>Pavis Cafe</t>
  </si>
  <si>
    <t>Shop no4 Anthurium building 8 90feet road, t, Pant Nagar, Ghatkopar East, Mumbai, Maharashtra 400075, India</t>
  </si>
  <si>
    <t>Mulund</t>
  </si>
  <si>
    <t>Dâ€™CrÃªpes Cafe</t>
  </si>
  <si>
    <t>Shop Number 14, Runwal Anthurium, Lal Bahadur Shastri Marg, next to FabIndia Shop, Veena Nagar, Mulund West, Mumbai, Maharashtra 400080, India</t>
  </si>
  <si>
    <t>Love &amp; Latte Mulund</t>
  </si>
  <si>
    <t>Shop 36, Avior, Lal Bahadur Shastri Marg, P&amp;T Staff Colony, Mulund West, Mumbai, Maharashtra 400080, India</t>
  </si>
  <si>
    <t>Mastermind Bicycle Cafe &amp; Bar</t>
  </si>
  <si>
    <t>LG-38-39, Nirmal Galaxy, Avior Corporate Park, Lal Bahadur Shastri Marg, opp. Johnson &amp; Johnson, P&amp;T Staff Colony, Mulund West, Mumbai, Maharashtra 400080, India</t>
  </si>
  <si>
    <t>Shop no. 4 and 5, Sai Madhuvan CHS, S.L ROAD, and, RHB Rd, junction, Mulund West, Mumbai, Maharashtra 400080, India</t>
  </si>
  <si>
    <t>TheGreenTable</t>
  </si>
  <si>
    <t>Shop No 26, Marathon Monte Plaza, Madan Mohan Malviya Rd, Asha Nagar, Mulund West, Mumbai, Maharashtra 400080, India</t>
  </si>
  <si>
    <t>Samvene The Bagel Cafe (Mulund)</t>
  </si>
  <si>
    <t>Shop no. 9, Manisha Corporate Park, MG Road, near Mulund Station, Mulund, Mulund West, Mumbai, Maharashtra 400080, India</t>
  </si>
  <si>
    <t>Cafe ETC (Eat Talk Cherish)</t>
  </si>
  <si>
    <t>Purshottam Kheraj Industrial Estate, G4 - Mehhal, Devi Dayal Rd, near Fire Station, Mulund West, Mumbai, Maharashtra 400080, India</t>
  </si>
  <si>
    <t>The Laughter Chapter Cafe</t>
  </si>
  <si>
    <t>College Of Commerce, E-4, Shanti Bhuvan, Sarojini Naidu Road, Opp. Mulund, Mulund West, Mumbai, Maharashtra 400080, India</t>
  </si>
  <si>
    <t>Tea and Conversations</t>
  </si>
  <si>
    <t>G-3, Meghal Industrial Estate, Lala Devidayal Road, near Fire Brigade, Mumbai, Maharashtra 400080, India</t>
  </si>
  <si>
    <t>The Food Studio</t>
  </si>
  <si>
    <t>The Food Studio, Mulund - Goregaon Link Rd, Nahur West, Sarvodaya Nagar, Mulund West, Mumbai, Maharashtra 400080, India</t>
  </si>
  <si>
    <t>Blue Tokai Coffee Roasters - Mulund</t>
  </si>
  <si>
    <t>Shop No 56 &amp; 57 Ground Floor, RUNWAL GREENS, Mulund - Goregaon Link Rd, Nahur West, Industrial Area, Mulund West, Mumbai, Maharashtra 400078, India</t>
  </si>
  <si>
    <t>Bake Live Studio - Mulund</t>
  </si>
  <si>
    <t>shop no. 2 &amp; 3, Moreshwar Towers, MG Road, opp. Saarthi Health Care, Mulund West, Mumbai, Maharashtra 400080, India</t>
  </si>
  <si>
    <t>Shree Balaji's cafe</t>
  </si>
  <si>
    <t>Shop No: 7, vasant gardens, Willows Twin Tower Co-Operative Housing Society, Lal Bahadur Shastri Marg, Veena Nagar, Mulund West, Mumbai, Maharashtra 400080, India</t>
  </si>
  <si>
    <t>Coolhad Katta Cafe &amp; Restaurant | Best tea cafe in Mumbai</t>
  </si>
  <si>
    <t>6A/5B, Golden Willows Society, opp Silver Birch, next to ICICI Bank Swapna Nagari, near Shawarmaji Mulund outlet, Veena Nagar, Mulund West, Mumbai, Maharashtra 400080, India</t>
  </si>
  <si>
    <t>Cafe Cypress</t>
  </si>
  <si>
    <t>Cypress CHS, Shop no 1&amp;2 Municipal Market Building, opposite GOLDEN WILLOWS, CHS, Mulund West, Mumbai, Maharashtra 400080, India</t>
  </si>
  <si>
    <t>Shop 1\2. Ground floor Sainath nagar, VB Phadake Rd, opp. campus veg treat, Navghar, Mulund East, Mumbai, Maharashtra 400081, India</t>
  </si>
  <si>
    <t>Ground Floor, Willow Tower, Willows Twin Tower Co-Operative Housing Society, Veena Nagar, Mulund West, Mumbai, Maharashtra 400082, India</t>
  </si>
  <si>
    <t>CafÃ© Gup-shup</t>
  </si>
  <si>
    <t>Zenith Tower, Purushottam Kheraj Rd, opposite CafÃ© Gup-Shup, Keshav Pada, Mulund West, Mumbai, Maharashtra 400080, India</t>
  </si>
  <si>
    <t>L'amor</t>
  </si>
  <si>
    <t>Cypress CHS, Shop No 19 Silver Birch, Mulund West, Mumbai, Maharashtra 400080, India</t>
  </si>
  <si>
    <t>Cafe Kadak Special</t>
  </si>
  <si>
    <t>Gala No.1, Patil Bhavan, NS Rd, Mulund West, Mumbai, Maharashtra 400080, India</t>
  </si>
  <si>
    <t>Pop Tate's R Mall Mulund</t>
  </si>
  <si>
    <t>3rd Floor, R Mall, Lal Bahadur Shastri Marg, Kamgar Colony, Mulund West, Mumbai, Maharashtra 400080, India</t>
  </si>
  <si>
    <t>TIAMO CAFFE &amp; BAR</t>
  </si>
  <si>
    <t>near Chedda Petrol Pump, near ESIS hospital, Veena Nagar, Mulund West, Mumbai, Maharashtra 400080, India</t>
  </si>
  <si>
    <t>The Playce: Coworking, Events &amp; Cafe</t>
  </si>
  <si>
    <t>Marathon Maxima, Lal Bahadur Shastri Marg, near Sonapur Signal, Moti Nagar, Mulund Colony, Mulund West, Mumbai, Maharashtra 400080, India</t>
  </si>
  <si>
    <t>Achija Mulund</t>
  </si>
  <si>
    <t>Monte Plaza, Madan Mohan Malviya Rd, MTNL Colony, Keshav Pada, Mulund West, Mumbai, Maharashtra 400080, India</t>
  </si>
  <si>
    <t>Shop No. 4, Mam Trilok Building, VB Phadake Rd, Navghar, Mulund East, Mumbai, Maharashtra 400081, India</t>
  </si>
  <si>
    <t>Make My Day</t>
  </si>
  <si>
    <t>R' Galleria, G-39, Runwal Greens, Mulund - Goregaon Link Rd, Mulund (W, Mumbai, Maharashtra 400078, India</t>
  </si>
  <si>
    <t>Cakes N Chemistry - Custom Cakes &amp; Bakery</t>
  </si>
  <si>
    <t>Shop No.7, Vista Amenity, D, P Road, Asha Nagar, Mulund West, Mumbai, Maharashtra 400080, India</t>
  </si>
  <si>
    <t>Dessertwale</t>
  </si>
  <si>
    <t>Shop no 09, Golden Willows Rd, Silver Birch Society, Swapna Nagari, Veena Nagar, Mulund West, Mumbai, Maharashtra 400080, India</t>
  </si>
  <si>
    <t>CAFE MUMBAI-80</t>
  </si>
  <si>
    <t>R Mall, Shop no 8,3 rd, Lal Bahadur Shastri Marg, opp. RICHARDSON CRUDDAS FACTORY, Kamgar Colony, Mulund West, Mumbai, Maharashtra 400080, India</t>
  </si>
  <si>
    <t>Chaayos Cafe at Runwal Greens</t>
  </si>
  <si>
    <t>RUNWAL GREENS, 21, Mulund - Goregaon Link Rd, next to Fortis Hospital, Nahur West, Industrial Area, Mulund West, Mumbai, Maharashtra 400081, India</t>
  </si>
  <si>
    <t>R-Steam Hot (AC)</t>
  </si>
  <si>
    <t>Shop No. 4, Lalan Building, Devi Dayal Rd, near Murar Road, Chandraprabha Chs, Mulund, Mulund West, Mumbai, Maharashtra 400080, India</t>
  </si>
  <si>
    <t>The Food Town</t>
  </si>
  <si>
    <t>2nd Shop, Samriddhi commercial complex, madan mohan malvia road Near telephone exchange, opp. rally wolff, Mulund West, Mumbai, Maharashtra 400080, India</t>
  </si>
  <si>
    <t>Kadam's Cafe</t>
  </si>
  <si>
    <t>Shop number 6 , PMJP COLONY MHADA, near fire brigade, Gavanpada, Mulund East, Mumbai, Maharashtra 400081, India</t>
  </si>
  <si>
    <t>Shop No 37, R Galleria, RUNWAL GREENS, Mulund - Goregaon Link Rd, Nahur West, Industrial Area, W, Mumbai, Maharashtra 400078, India</t>
  </si>
  <si>
    <t>The Belgian Waffle Co</t>
  </si>
  <si>
    <t>Shop Number 5, Rohini Residency, MG Road, Mulund, Mulund West, Mumbai, Maharashtra 400080, India</t>
  </si>
  <si>
    <t>CTS No 762, Ground Floor, Krishnai Apartment, 90 Feet Rd, Sane Guruji Nagar, Mulund East, Mumbai, Maharashtra 400081, India</t>
  </si>
  <si>
    <t>College kattaa cafe - Best cafe in Mulund East</t>
  </si>
  <si>
    <t>Shop no 14, Anutham chs, VB Phadake Rd, opp. MARATHA MANDAL HALL, Ambedkar Nagar, Sane Guruji Nagar, Mulund East, Mumbai, Maharashtra 400081, India</t>
  </si>
  <si>
    <t>Baithack Yogi Hills</t>
  </si>
  <si>
    <t>BAITHACK- TASTE OF KULHAD, SHOP NO. 10 SILVER BIRCH CHS, SWAPNA NAGARI VASANT GARDEN ROAD, 400080, Mulund West, Maharashtra 400080, India</t>
  </si>
  <si>
    <t>Sandeep Restaurant &amp; bar</t>
  </si>
  <si>
    <t>Chandra Darshan Building, Murar Rd, Mulund West, Mumbai, Maharashtra 400080, India</t>
  </si>
  <si>
    <t>Play Cafe</t>
  </si>
  <si>
    <t>The Playce, Marathon Maxima, LBS Road, Mulund West, beside Sonapur, Signal, Mumbai, Maharashtra 400080, India</t>
  </si>
  <si>
    <t>The House of Bakers</t>
  </si>
  <si>
    <t>RUNWAL GREENS, 73 R Galleria, Mulund West, Mumbai, Maharashtra 400080, India</t>
  </si>
  <si>
    <t>Cafe Point veg&amp;nonveg</t>
  </si>
  <si>
    <t>Opp Ganesh Talkies londe mahal, Station Rd, Mulund East, Mumbai, Maharashtra 400081, India</t>
  </si>
  <si>
    <t>Udupi 2 Mumbai</t>
  </si>
  <si>
    <t>Shop no.4,5 &amp; 6, Samriddhi CSL, Madan Mohan Malviya Rd, near MTNL Telephone Exchange, P&amp;T Staff Colony, Mulund West, Mumbai, Maharashtra 400080, India</t>
  </si>
  <si>
    <t>Shop no 2, Akruti Elegance, Akruti Elegance Cooperative Housing Society, VB Phadake Rd, Gavanpada, Mahakali Nagar, Mulund East, Mumbai, Maharashtra 400081, India</t>
  </si>
  <si>
    <t>Delhi Se - Mulund</t>
  </si>
  <si>
    <t>Purushottam Kheraj Rd, Gokulesh Society, St Pius Colony, Mulund West, Mumbai, Maharashtra 400080, India</t>
  </si>
  <si>
    <t>Ground Floor, Runwal Greens Complex, Mulund - Goregaon Link Rd, Nahur West, Industrial Area, Mulund West, Mumbai, Maharashtra 400080, India</t>
  </si>
  <si>
    <t>Pan Di Tikki - PDT</t>
  </si>
  <si>
    <t>Shop No 4,Matruchhaya,Dreamland Bungalows, Jai Shastri Nagar, Mulund Colony, Mulund West, Mumbai, Maharashtra 400082, India</t>
  </si>
  <si>
    <t>HotBox Cafe</t>
  </si>
  <si>
    <t>Shop no. 26, Jakat Naka Shopping Society, opp. to Honda showroom, Sector Number 2, Shree Nagar, Thane West, Thane, Maharashtra 400604, India</t>
  </si>
  <si>
    <t>CYBER CAFE AND GAMING ZONE</t>
  </si>
  <si>
    <t>B.P.S BHAVAN NO. 2, JALARAM ASHISH COMPOUND, Devi Dayal Rd, Mulund West, Mumbai, Maharashtra 400080, India</t>
  </si>
  <si>
    <t>Bustling Brew Bistro Cafe</t>
  </si>
  <si>
    <t>Shop No. 9, Amfotech IT Park, SG Barve Rd, Wagle Industrial Estate, Thane West, Thane, Maharashtra 400604, India</t>
  </si>
  <si>
    <t>Thambbi Veg Restaurant</t>
  </si>
  <si>
    <t>Commercial, Opp, WING-B, Nirmal Lifestyle Mall, Lal Bahadur Shastri Marg, Salpa Devi Pada, Mulund West, Mumbai, Maharashtra 400080, India</t>
  </si>
  <si>
    <t>Sabby's Cafe</t>
  </si>
  <si>
    <t>Shop no 4, Bramhjyoti, Dr Ambedkar Rd, Vidya Vihar, Mulund West, Mumbai, Maharashtra 400080, India</t>
  </si>
  <si>
    <t>HOUSE OF DELICIOUS</t>
  </si>
  <si>
    <t>Shop No 06, Meghdoot Apt, Purushottam Kheraj Rd, opp. Kalidas AuditoriumLll Road, Mulund, Mulund West, Mumbai, Maharashtra 400080, India</t>
  </si>
  <si>
    <t>MG - South Indian Restaurant in Mulund</t>
  </si>
  <si>
    <t>Shop no. 13/14B, Bodke Building, opp. Mulund Railway Station, near by McDonald's, Mulund West, Mumbai, Maharashtra 400080, India</t>
  </si>
  <si>
    <t>Brewomagic Cafe</t>
  </si>
  <si>
    <t>Shop 16B, CHS, Silver Birch, Mulund (W, Nirmal Nagar, Mulund West, Mumbai, Maharashtra 400080, India</t>
  </si>
  <si>
    <t>Delhi Hub</t>
  </si>
  <si>
    <t>Shop No, 151, near, HK Gidwani School, Mulund Colony, Mulund West, Mumbai, Maharashtra 400082, India</t>
  </si>
  <si>
    <t>Supreme the gaming cafe</t>
  </si>
  <si>
    <t>Shop No. 2, Murar Rd, Chandraprabha Chs, Mulund, Mulund West, Mumbai, Maharashtra 400080, India</t>
  </si>
  <si>
    <t>Grass And Gossips</t>
  </si>
  <si>
    <t>Shahid Mangal Pandey Rd, Mulund, Mulund West, Mumbai, Maharashtra 400080, India</t>
  </si>
  <si>
    <t>Tea Villa Cafe</t>
  </si>
  <si>
    <t>Shop No 2&amp;3, Bps Pratistha, CHS LTD, Devi Dayal Rd, Gavane Pada, Mulund, Mulund West, Mumbai, Maharashtra 400080, India</t>
  </si>
  <si>
    <t>Vashi</t>
  </si>
  <si>
    <t>70beans</t>
  </si>
  <si>
    <t>Shop #: 19, Plot #:, Palm Beach Galleria Mall, 17, Phase 2, Sector 19D, Vashi, Navi Mumbai, Maharashtra 400703, India</t>
  </si>
  <si>
    <t>Contigo Cafe</t>
  </si>
  <si>
    <t>190-A, Vashi Kopar Khairane Rd, Juhu Nagar, Jui Nagar, Sector 12, Vashi, Navi Mumbai, Maharashtra 400703, India</t>
  </si>
  <si>
    <t>Cafe creme vashi</t>
  </si>
  <si>
    <t>plot no. 132, Tulip CHS, Shop no. 12, Sector 28, Vashi, Navi Mumbai, Maharashtra 400703, India</t>
  </si>
  <si>
    <t>Seventh Sky By Cafe Palm Atlantis</t>
  </si>
  <si>
    <t>5th Floor, Palm Beach Galleria Mall, Palm Beach Rd, Phase 2, Sector 19D, Vashi, Navi Mumbai, Maharashtra 400703, India</t>
  </si>
  <si>
    <t>91 Palm Beach Cafe</t>
  </si>
  <si>
    <t>Shop 8, 9 &amp; 10, The Affaires Building, Ground Floor, Palm Beach Rd, Sector 17, Sanpada, Navi Mumbai, Maharashtra 400703, India</t>
  </si>
  <si>
    <t>Budget Cafe</t>
  </si>
  <si>
    <t>Plot No.41, Floor, 1st Floor, Plot 41, Palm Beach Rd, above VLCC, near Furniture Mall, Phase 2, Sector 19E, Vashi, Navi Mumbai, Maharashtra 400703, India</t>
  </si>
  <si>
    <t>The Rooftop by Yogi Executive</t>
  </si>
  <si>
    <t>Plot No 31/A, Hotel Yogi Executive, Sector 22, MAFCO Rd, opposite MAFCO Market, Sector 22, Vashi, Navi Mumbai, Maharashtra 400703, India</t>
  </si>
  <si>
    <t>Shri Arya Cafe</t>
  </si>
  <si>
    <t>Shop No.7A, Ground Floor, Big Splash, Plot no.78 &amp; 79, Juhu Nagar, Sector 17, Vashi, Navi Mumbai, Maharashtra 400703, India</t>
  </si>
  <si>
    <t>House Of Lords</t>
  </si>
  <si>
    <t>701, Cyber One, Sector 30A, Vashi, Navi Mumbai, Maharashtra 400703, India</t>
  </si>
  <si>
    <t>Unit No. G49, 49 A, Inorbit Mall, Sector 30A, Vashi, Navi Mumbai, Maharashtra 400705, India</t>
  </si>
  <si>
    <t>Unit No 9, Ground Floor, Shaha Signature, Sun Flower Road, opposite Abhyudaya Bank Marg, Sector 17, Vashi, Navi Mumbai, Maharashtra 410210, India</t>
  </si>
  <si>
    <t>TALES OVER BEANS CAFE</t>
  </si>
  <si>
    <t>Shop no.8/9, Vasundhara Heights, Plot-no-5, Sector 11, Sanpada, Navi Mumbai, Maharashtra 400705, India</t>
  </si>
  <si>
    <t>Cococart &amp; Cafe (Inorbit Mall)</t>
  </si>
  <si>
    <t>Shop no. 28/28A Ground Floor, Inorbit Mall, Sector 30A, Vashi, Navi Mumbai, Maharashtra 400705, India</t>
  </si>
  <si>
    <t>Oriano by darioâ€™s</t>
  </si>
  <si>
    <t>1st floor, Unit - 104, sec-30A, Plot :39/2, Real Tech Park, near, Top 10, Sector 30A, Vashi, Navi Mumbai, Maharashtra 400703, India</t>
  </si>
  <si>
    <t>Ground Floor, Inorbit Mall, opposite Vashi Railway Station, Sector 30A, Vashi, Navi Mumbai, Maharashtra 400705, India</t>
  </si>
  <si>
    <t>Vashi SOCIAL</t>
  </si>
  <si>
    <t>F31 Plot No. 39, Inorbit Mall, 1, Palm Beach Rd, opposite Vashi, Sector 30A, Vashi, Navi Mumbai, Maharashtra 400703, India</t>
  </si>
  <si>
    <t>Bulls and Traders Cafe | BTC Cafe</t>
  </si>
  <si>
    <t>G-197, Ground Floor, Haware Fantasia Business Park, Sector 30A, Vashi, Navi Mumbai, Maharashtra 400703, India</t>
  </si>
  <si>
    <t>Cafe Vihar</t>
  </si>
  <si>
    <t>The Regenza by Tunga, Plot No. 37, Bhagwan Mahaveer Rd, Sector 30A, Vashi, Navi Mumbai, Maharashtra 400703, India</t>
  </si>
  <si>
    <t>Vicky's Cafe</t>
  </si>
  <si>
    <t>Shop no.03/A, shivlrupa mahila sangh, bus Depo, beside Vashi, Juhu Nagar, Sector 9A, Vashi, Navi Mumbai, Maharashtra 400703, India</t>
  </si>
  <si>
    <t>Vashi Navi mumbai</t>
  </si>
  <si>
    <t>3X8X+GCJ, Vashi Railway Station Rd, Sector 30A, Vashi, Navi Mumbai, Maharashtra 400703, India</t>
  </si>
  <si>
    <t>Cult Lounge</t>
  </si>
  <si>
    <t>Satra Plaza, Shop no 111, First Floor, Palm Beach Rd, Sector: 19D, Vashi, Navi Mumbai, Maharashtra 400705, India</t>
  </si>
  <si>
    <t>Pot Pourri Eat &amp; Drinkery</t>
  </si>
  <si>
    <t>Inorbit Mall, Palm Beach Rd, Sector 30A, Vashi, Navi Mumbai, Maharashtra 400703, India</t>
  </si>
  <si>
    <t>IBIZA Restobar &amp; Cafe</t>
  </si>
  <si>
    <t>marine center, Marine Street, Juhu Nagar, Juhu Village, Sector 11, Vashi, Navi Mumbai, Maharashtra 400703, India</t>
  </si>
  <si>
    <t>The Union Bar and Eating House</t>
  </si>
  <si>
    <t>Plot No. 10, Nirman Vyapar Kendra, next to Hotel Navaratna, Sector 17, Vashi, Navi Mumbai, Maharashtra 400703, India</t>
  </si>
  <si>
    <t>Kingsman Experience</t>
  </si>
  <si>
    <t>shop No.05, Satra Plaza, Palm Beach Rd, Sec 19D, Vashi, Navi Mumbai, Maharashtra 400703, India</t>
  </si>
  <si>
    <t>aves art cafÃ©</t>
  </si>
  <si>
    <t>Shop No 1, Plot No 34, Sector 26, Vashi, Maharashtra 400703, India</t>
  </si>
  <si>
    <t>Chaayos Cafe at Inorbit</t>
  </si>
  <si>
    <t>Sector 30A, Vashi, Navi Mumbai, Maharashtra 400703, India</t>
  </si>
  <si>
    <t>Pop Tate's Inorbit Mall Vashi</t>
  </si>
  <si>
    <t>1st floor, Inorbit Mall, Palm Beach Rd, Sector 30A, Vashi, Navi Mumbai, Maharashtra 400703, India</t>
  </si>
  <si>
    <t>Pop Tate's Vashi</t>
  </si>
  <si>
    <t>Shop 120, 1st Floor, Satra Plaza, Sector 19-D, Palm Beach Rd, Juhu Nagar, Phase 2, Sector 19D, Vashi, Navi Mumbai, Maharashtra 400703, India</t>
  </si>
  <si>
    <t>Caspers Bar and Kitchen</t>
  </si>
  <si>
    <t>Shop no. 59, Satra Plaza, Palm Beach Rd, Phase 2, Sector 19D, Vashi, Navi Mumbai, Maharashtra 400703, India</t>
  </si>
  <si>
    <t>Kopar Khairane Rd, near Reliance Digital, Sector 13, Kopar Khairane, Navi Mumbai, Maharashtra 400709, India</t>
  </si>
  <si>
    <t>Kerala House</t>
  </si>
  <si>
    <t>Swami Pranabananda Marg, Sector 30, Vashi, Navi Mumbai, Maharashtra 400703, India</t>
  </si>
  <si>
    <t>abCoffee Akshar Business Park Vashi</t>
  </si>
  <si>
    <t>Ground Floor, T wing, Akshar Business Park, Sector 25, Vashi, Navi Mumbai, Maharashtra 400703, India</t>
  </si>
  <si>
    <t>Tight</t>
  </si>
  <si>
    <t>First Floor, Inorbit Mall, Sector 30A, Vashi, Navi Mumbai, Maharashtra 400703, India</t>
  </si>
  <si>
    <t>Nau Se Barah</t>
  </si>
  <si>
    <t>Inorbit Mall, Railway Station, Palm Beach Rd, Sector 30A, Vashi, Navi Mumbai, Maharashtra 400703, India</t>
  </si>
  <si>
    <t>La Crosta</t>
  </si>
  <si>
    <t>2, Plot no 104, Shagar Vihar, Sai Maya CHS, Shop no, Parmarth Niketan Marg, Sector 29, Vashi, Navi Mumbai, Maharashtra 400703, India</t>
  </si>
  <si>
    <t>Aroma Chai &amp; Snacks Cafe (Sanpada)</t>
  </si>
  <si>
    <t>Shop 002, Abhimanyu-2 CHS, Off, Palm Beach Rd, beside Krishna Restaurant, opp. Suraj Hospital, Sector 1, Sanpada, Navi Mumbai, Maharashtra 400705, India</t>
  </si>
  <si>
    <t>Royal Oak Brewery</t>
  </si>
  <si>
    <t>Shop 23, Satra Plaza, Phase 2, Sector 19D, Vashi, Navi Mumbai, Maharashtra 400703, India</t>
  </si>
  <si>
    <t>Combo Jumbo: Best Veg Restaurants in Vashi Navi Mumbai</t>
  </si>
  <si>
    <t>Plot No: 17, near HDFC Bank, Juhu Nagar, Sector 28, Vashi, Navi Mumbai, Maharashtra 400703, India</t>
  </si>
  <si>
    <t>Funshala cafe</t>
  </si>
  <si>
    <t>near vashi station, Sector 30A, Turbhe, Navi Mumbai, Maharashtra 400703, India</t>
  </si>
  <si>
    <t>Gupta Sandwich</t>
  </si>
  <si>
    <t>No 4 and 2, JK Chambers Building, Vashi-Turbhe Rd, Sector 17, Vashi, Navi Mumbai, Maharashtra 400705, India</t>
  </si>
  <si>
    <t>Chenab</t>
  </si>
  <si>
    <t>near Sagar Vihar, Sector 8, Vashi, Navi Mumbai, Maharashtra 400703, India</t>
  </si>
  <si>
    <t>La Cassa</t>
  </si>
  <si>
    <t>Nivasti Imperium, 3rd Floor, Sector 19, Palm Beach, Sanpada, Navi Mumbai, Maharashtra 400705, India</t>
  </si>
  <si>
    <t>Achija</t>
  </si>
  <si>
    <t>Achija Veg Restaurant, Satra Plaza, near Kohinoor, Phase 2, Sector 19D, Vashi, Navi Mumbai, Maharashtra 400703, India</t>
  </si>
  <si>
    <t>Cafe Te Amo</t>
  </si>
  <si>
    <t>Shop no-16, Giriraj Darshan society, near Megamart, below Ajayan's Hospital, Sector 9, Kopar Khairane, Navi Mumbai, Maharashtra 400709, India</t>
  </si>
  <si>
    <t>Cafe Creme sanpada</t>
  </si>
  <si>
    <t>Shree Durga Apartment CHS, Juinagar Station Rd, Sector 10, Sanpada, Navi Mumbai, Maharashtra 400705, India</t>
  </si>
  <si>
    <t>Big B's Vashi</t>
  </si>
  <si>
    <t>Shop 8C, Vashi Station Food Court, opp. Real Tech Park, Sector 30, Vashi, Navi Mumbai, Maharashtra 400705, India</t>
  </si>
  <si>
    <t>Desire CafÃ© - Instant Chai Maza Aajaye</t>
  </si>
  <si>
    <t>E-71, APMC Masala Market, APMC Market, Sector 19, Vashi, Navi Mumbai, Maharashtra 400703, India</t>
  </si>
  <si>
    <t>The Bombay Kinng Cafe</t>
  </si>
  <si>
    <t>shop no 2 &amp; 3, Navprerna Apartment, A-6/1, Maratha Bhavan Marg, opp. shiv Krupa society, Juhu Nagar, Sector 15, Vashi, Navi Mumbai, Maharashtra 400703, India</t>
  </si>
  <si>
    <t>JIMIS BURGER Â® - Vashi</t>
  </si>
  <si>
    <t>Shop 25, Ground Floor, Satra Plaza, Palm Beach Rd, Phase 2, Sector 19D, Vashi, Navi Mumbai, Maharashtra 400703, India</t>
  </si>
  <si>
    <t>Inorbit Mall, Unit No - S-39, Second Floor, Palm Beach Rd Sector 30A Located, Vashi, Navi Mumbai, Maharashtra 400703, India</t>
  </si>
  <si>
    <t>The Regenza by Tunga</t>
  </si>
  <si>
    <t>1st Floor, PLOT NO.- 88, 37, Sector 30A, Vashi, Navi Mumbai, Maharashtra 400703, India</t>
  </si>
  <si>
    <t>Urban Tadka [Vashi, InOrbit Mall]</t>
  </si>
  <si>
    <t>G-36, Ground floor, Inorbit Mall, Palm Beach Rd, Sector 30A, Vashi, Navi Mumbai, Maharashtra 400705, India</t>
  </si>
  <si>
    <t>Chaai Centre CafÃ© &amp; Co-working</t>
  </si>
  <si>
    <t>Shop No-14, Mayuresh Cosmos, Sector 11, CBD Belapur, Navi Mumbai, Maharashtra 400614, India</t>
  </si>
  <si>
    <t>Cafe N Cream</t>
  </si>
  <si>
    <t>Sector 3, Sanpada, Navi Mumbai, Maharashtra 400705, India</t>
  </si>
  <si>
    <t>Centronic, Plot No. 18, Palm Beach Galleria Mall, Shop No. 26 &amp; 27, Ground Floor, Sector 19D, Vashi, Navi Mumbai, Maharashtra 400703, India</t>
  </si>
  <si>
    <t>Idlamma</t>
  </si>
  <si>
    <t>Shop No. 30, TOWER-II, Gyan Vikas Road, Sector 18, Kopar Khairane, Navi Mumbai, Maharashtra 400709, India</t>
  </si>
  <si>
    <t>Nagori GM Shikara Tea</t>
  </si>
  <si>
    <t>Plot Number 7, 13, Krishi Bhawan, Palm Beach Rd, Sector 19C, APMC Market 1, Vashi, Navi Mumbai, Maharashtra 400703, India</t>
  </si>
  <si>
    <t>CafÃ© Irani</t>
  </si>
  <si>
    <t>3285+H98, Sector 30A, Vashi, Navi Mumbai, Maharashtra 400705, India</t>
  </si>
  <si>
    <t>Soy Street</t>
  </si>
  <si>
    <t>Nerul</t>
  </si>
  <si>
    <t>Legends Cafe</t>
  </si>
  <si>
    <t>Dr D Y Patil Vidyanagar, Sector 5, Nerul, Navi Mumbai, Maharashtra 400706, India</t>
  </si>
  <si>
    <t>The Stone Age Cafe</t>
  </si>
  <si>
    <t>Shop 5, Ashirwad Apts, Nerul East, Sector 3, Nerul, Navi Mumbai, Maharashtra 400706, India</t>
  </si>
  <si>
    <t>Forks and spoons 51</t>
  </si>
  <si>
    <t>Punit Park Cosmopolitan Co-Operative Housing Society, Sector 17, Nerul, Navi Mumbai, Maharashtra 400706, India</t>
  </si>
  <si>
    <t>MAISON DE CAFÃ‰</t>
  </si>
  <si>
    <t>Courtyard by Marriott, Sector 7, Nerul, Navi Mumbai, Maharashtra 400706, India</t>
  </si>
  <si>
    <t>90'S KATTA Cafe</t>
  </si>
  <si>
    <t>shop no 1, Varun CHS, plot no 305, Rock Garden Rd, near Yashwant Ground, Nerul East, Sector 21, Nerul, Navi Mumbai, Maharashtra 400706, India</t>
  </si>
  <si>
    <t>Vintage Coffee Cafe</t>
  </si>
  <si>
    <t>shop no.2/3, Beverly Park, plot no.20, near Palm Beach Road, Sector no.6, Nerul, Navi Mumbai, Maharashtra 400706, India</t>
  </si>
  <si>
    <t>OCD-Obsessive Coffee Disorder</t>
  </si>
  <si>
    <t>Shop No.1, Sahara CHS, Plot 17, Seawoods West, Sector 40, Seawoods, Navi Mumbai, Maharashtra 400706, India</t>
  </si>
  <si>
    <t>CAFE CHAI BAZAAR</t>
  </si>
  <si>
    <t>SHOP NO. 1, PLOT NO.95, SECTOR 18 A, NERUL (W) NAVI MUMBAI, Mumbai, Maharashtra 400706, India</t>
  </si>
  <si>
    <t>Cafe Seawoodss</t>
  </si>
  <si>
    <t>SHOP NO.1A, CHS, Shreeji Plaza, PLOT NO.24, East, Seawoods Bridge, Sector 25, Navi Mumbai, Maharashtra 400706, India</t>
  </si>
  <si>
    <t>EIGHTEEN PLUS CAFE</t>
  </si>
  <si>
    <t>91, Jagatguru Aadi Shankracharya Marg, Nerul East, Sector 19A, Nerul, Navi Mumbai, Maharashtra 400706, India</t>
  </si>
  <si>
    <t>Cafe Creme nerul</t>
  </si>
  <si>
    <t>plot 22, Platinum Venecia, Nerul East, Sector 29, Nerul, Navi Mumbai, Maharashtra 400706, India</t>
  </si>
  <si>
    <t>Earth Soul Cafe</t>
  </si>
  <si>
    <t>Shop No. 13, Progressive's Sea Lounge, Plot No.44, Sector 15, CBD Belapur, Navi Mumbai, Maharashtra 400614, India</t>
  </si>
  <si>
    <t>The Pop's CafÃ© - Chinese Food and CafÃ©</t>
  </si>
  <si>
    <t>Shop no. 26, Plot no. 13, Bhimashankar Shopping Complex, Nerul East, Sector 19A, Nerul, Navi Mumbai, Maharashtra 400706, India</t>
  </si>
  <si>
    <t>CAFE CREEMY</t>
  </si>
  <si>
    <t>Shop No. 02, Seawood Acrcade society, Kamaladevi Birajdar Marg, opp. Saraswati bank, Sector 19A, Nerul, Navi Mumbai, Maharashtra 400706, India</t>
  </si>
  <si>
    <t>Offline cafe</t>
  </si>
  <si>
    <t>Nerul East, Sector 13, Nerul, Navi Mumbai, Maharashtra 400607, India</t>
  </si>
  <si>
    <t>CREAMY COOL Nerul</t>
  </si>
  <si>
    <t>Shop No.3, Plot B-104, Sector 23/B, Darave Rd, Nerul, Navi Mumbai, Maharashtra 400706, India</t>
  </si>
  <si>
    <t>Aroma Chai &amp; Snacks Cafe in Seawoods</t>
  </si>
  <si>
    <t>Seawoods West, Kendriya Vihar, Sector 40, Nerul, Navi Mumbai, Maharashtra 400706, India</t>
  </si>
  <si>
    <t>Seawoods Grand Central, Plot No. R-1 second floor, Sector 40, Seawoods, Navi Mumbai, Maharashtra 400706, India</t>
  </si>
  <si>
    <t>Courtyard Pavilion</t>
  </si>
  <si>
    <t>Aroma Chai &amp; Snacks Cafe (Nerul Shiravane)</t>
  </si>
  <si>
    <t>Morya Ceramics, Shop 2, Plot 582, Laxmi Niwas, Besides, Sector 1, Shiravane, Nerul, Navi Mumbai, Maharashtra 400706, India</t>
  </si>
  <si>
    <t>Bites &amp; Brew The Fusion CafÃ©</t>
  </si>
  <si>
    <t>Shop no.4,5,6, Everest Heights, Parsik Hill, Sector 26, CBD Belapur, Navi Mumbai, Maharashtra 400614, India</t>
  </si>
  <si>
    <t>The Atrangii House Sky Lounge</t>
  </si>
  <si>
    <t>Palm Beach Rd, Sector 17, Sanpada, Navi Mumbai, Maharashtra 400705, India</t>
  </si>
  <si>
    <t>Sailors' Cafe</t>
  </si>
  <si>
    <t>Sailors' Cafe, Shop no.9 CHS Belle Vista, Sector 15, CBD Belapur, Navi Mumbai, Maharashtra 400614, India</t>
  </si>
  <si>
    <t>Blue Tokai Coffee Roasters | Seawoods Nerul</t>
  </si>
  <si>
    <t>Shop No 6, 7, Ground Floor, Plot No 1, 1A, 1B, 1C, SHREEJI HEIGHTS, Sector-46/A, Sector 46A, Nerul, Navi Mumbai, Maharashtra 400706, India</t>
  </si>
  <si>
    <t>Shree Nerul Cafe</t>
  </si>
  <si>
    <t>Shop Number 2-3, Sandeep Apartment, Plot Number A-197, near Balaji Mandir, Sector 20, Nerul, W, Navi Mumbai, Maharashtra 400706, India</t>
  </si>
  <si>
    <t>Big Boy Cake and Bakers/ GOAT Coffee Company</t>
  </si>
  <si>
    <t>Shop number 28, SHREEJI HEIGHTS, Sector-46/A, Nerul west, Seawoods, Navi Mumbai, Maharashtra 400706, India</t>
  </si>
  <si>
    <t>Olde Baileys Cafeâ„¢</t>
  </si>
  <si>
    <t>Shop No 4, Gahlot Majesty, Palm Beach Rd, Sector-46/A, Sector 46 A, Seawoods, Navi Mumbai, Maharashtra 400706, India</t>
  </si>
  <si>
    <t>The Cafe Hangout (Fast Food)</t>
  </si>
  <si>
    <t>B001, Nerul Railway Station Complex Sector 15, Nerul West, Navi Mumbai, Maharashtra 400706, India</t>
  </si>
  <si>
    <t>Treat and bite</t>
  </si>
  <si>
    <t>Amrita sadan chs , plot no : 13-14 , shop no : B, 16, Sector 20, Navi Mumbai, Maharashtra 400706, India</t>
  </si>
  <si>
    <t>Coffee By Di Bella Belapur</t>
  </si>
  <si>
    <t>Shop 1, Sai Radiance, Sector 15, CBD Belapur, Navi Mumbai, Maharashtra 400614, India</t>
  </si>
  <si>
    <t>Brew House Cafe</t>
  </si>
  <si>
    <t>4, Arenja Plaza, Plot No: 52, Sector 15, CBD Belapur, Navi Mumbai, Maharashtra 400614, India</t>
  </si>
  <si>
    <t>Swords cafe</t>
  </si>
  <si>
    <t>Shop no 17/18, Belapur Sun City, Sector 15, CBD Belapur, Navi Mumbai, Maharashtra 400614, India</t>
  </si>
  <si>
    <t>Cafe Crew</t>
  </si>
  <si>
    <t>Shop No- 13, Plot no- 41, Shree Ambika Niwas Landmark- L&amp;T Grand central mall, Seawoods West, Sector 42, Seawoods, Navi Mumbai, Maharashtra 400706, India</t>
  </si>
  <si>
    <t>Ground Floor, Beverly Park CHS, Palm Beach Rd, Sector 6, Nerul, Navi Mumbai, Maharashtra 400706, India</t>
  </si>
  <si>
    <t>Chaayos Cafe at Seawoods Grand Central Mall</t>
  </si>
  <si>
    <t>1, Seawoods Station Rd, Sector 40, Seawoods, Navi Mumbai, Maharashtra 400706, India</t>
  </si>
  <si>
    <t>Mocha Kaffee, Seawoods</t>
  </si>
  <si>
    <t>LG-137, Nexus, Grand Central, Seawoods Station Rd, Nerul East, Sector 28, Seawoods, Navi Mumbai, Maharashtra 400706, India</t>
  </si>
  <si>
    <t>Huddle &amp; Score</t>
  </si>
  <si>
    <t>1, Plot No R1, L&amp;T Seawoods Residences Phase, D8/01, Seawoods East, Nerul East, Sector 25, Nerul, Navi Mumbai, Maharashtra 400706, India</t>
  </si>
  <si>
    <t>CAFE ONE THREE ONE</t>
  </si>
  <si>
    <t>Shop No, Cooperative Housing Society, Amrita Sadan, B-16, Sector 22, Nerul, Navi Mumbai, Maharashtra 400706, India</t>
  </si>
  <si>
    <t>Aroma Chai &amp; Snacks Cafe (Juinagar)</t>
  </si>
  <si>
    <t>Shop No 5, Aroma Chai, Shree Ganesh Apartment, Plot No 265, Sector 23, Juinagar, Navi Mumbai, Maharashtra 400705, India</t>
  </si>
  <si>
    <t>TFB - THE FRY BOX</t>
  </si>
  <si>
    <t>Shop No. 08, Safal Pride, CHS, Nerul East, Sector 25, Nerul, Navi Mumbai, Maharashtra 400706, India</t>
  </si>
  <si>
    <t>Shop No.3, Plot No.5, Mahavir Shopping Centre, Opposite Nerul Best Bus Depot, East, Sector 11, Nerul, Navi Mumbai, Maharashtra 400706, India</t>
  </si>
  <si>
    <t>Shop No 4, V Times Square, Palm Beach Rd, Sector 15, CBD Belapur, Navi Mumbai, Maharashtra 400607, India</t>
  </si>
  <si>
    <t>Shop No.17, Ground Floor, Citi Tower, Plot No-55, opposite Brew House Cafe, Sector 15, CBD Belapur, Navi Mumbai, Maharashtra 400614, India</t>
  </si>
  <si>
    <t>Dish n Dash KafÃ©</t>
  </si>
  <si>
    <t>Shop no G 47 plot no 88, Hawares Centurion Mall, Nerul East, Sector 19A, Seawoods (E, Navi Mumbai, Maharashtra 400706, India</t>
  </si>
  <si>
    <t>Ground Floor, Nexus Seawoods, Railway Station, Sector 28, Seawoods, Navi Mumbai, Maharashtra 400706, India</t>
  </si>
  <si>
    <t>Chaat Cafe</t>
  </si>
  <si>
    <t>22C9+GJ8, Nerul East, Sector 40, Nerul, Navi Mumbai, Maharashtra 400706, India</t>
  </si>
  <si>
    <t>Shop No. 4 &amp; 5, Ground Floor SHREEJI HEIGHTS, Sector-46/A, Nerul, Seawoods, Navi Mumbai, Maharashtra 400706, India</t>
  </si>
  <si>
    <t>Parsik Adda</t>
  </si>
  <si>
    <t>Parsik Hill Rd, Sector 26, CBD Belapur, Navi Mumbai, Maharashtra 400614, India</t>
  </si>
  <si>
    <t>Keventers - Seawoods, Mumbai</t>
  </si>
  <si>
    <t>Seawoods Station Rd, Nerul East, Sector 40, Nerul, Navi Mumbai, Mumbai, Maharashtra 400706, India</t>
  </si>
  <si>
    <t>Panache</t>
  </si>
  <si>
    <t>Shop no 24-26, Belapur Sun City, Sector 15, CBD Belapur, Navi Mumbai, Maharashtra 400614, India</t>
  </si>
  <si>
    <t>SKETCH The Cafe</t>
  </si>
  <si>
    <t>22CH+3PQ, Sector 23, Nerul, Navi Mumbai, Maharashtra 400614, India</t>
  </si>
  <si>
    <t>CAFE ZEST</t>
  </si>
  <si>
    <t>Shop no-2, Sriji Seva, plot no -42, near Nexus Mall, Seawoods West, Sector 42, Seawoods, Navi Mumbai, Maharashtra 400706, India</t>
  </si>
  <si>
    <t>Cafe 131</t>
  </si>
  <si>
    <t>B16, plot no, Amrita Sadan, 13 &amp; 14, near old dwarka hotel, opposite Nerul railway station, Nerul East, Nerul West, Nerul, Navi Mumbai, Maharashtra 400706, India</t>
  </si>
  <si>
    <t>apple zaffran cafe</t>
  </si>
  <si>
    <t>shop at, haware mall, Nerul East, Sector 19A, Nerul, Navi Mumbai, Maharashtra 400706, India</t>
  </si>
  <si>
    <t>PizzaExpress</t>
  </si>
  <si>
    <t>2nd Floor, Nexus Mall, F&amp;B04, Air Space, Seawoods Station Rd, Nerul East, Sector 40, Seawoods, Navi Mumbai, Maharashtra 400706, India</t>
  </si>
  <si>
    <t>Hugs And Mugs</t>
  </si>
  <si>
    <t>Bhoomi Tower, Simran Residency Service Road, Sector 4, Kharghar, Navi Mumbai, Maharashtra 410210, India</t>
  </si>
  <si>
    <t>Panvel</t>
  </si>
  <si>
    <t>Lake Side - Cafe &amp; Eatery</t>
  </si>
  <si>
    <t>Plot 162, Cafe &amp; Eatery, Lake Side, Sector-9, New Panvel East, Panvel, Navi Mumbai, Maharashtra 410206, India</t>
  </si>
  <si>
    <t>Cafe Creme New Panvel</t>
  </si>
  <si>
    <t>Shop No.07, Sai Arcade, Plot no 20, Sector 15, New Panvel East, city, Navi Mumbai, Maharashtra 410206, India</t>
  </si>
  <si>
    <t>The trio delight cafe</t>
  </si>
  <si>
    <t>Shop no -12, Tulsi Heights Building, Chs Ltd, Plot no - 1, Gurudwara Rd, Sector 5, New Panvel East, Maharashtra 410206, India</t>
  </si>
  <si>
    <t>CafeConfused</t>
  </si>
  <si>
    <t>shop no 9, PRECIOUS RESIDENCY, KK cinema road, near Dmart ready, Sector 19, Kamothe, Panvel, Navi Mumbai, Maharashtra 410209, India</t>
  </si>
  <si>
    <t>Cafe Cheezy Bites</t>
  </si>
  <si>
    <t>Shop no.29-30, Neelkanth darshan,Plot No.124/4, near Nadkarani Hospital, Old Panvel, Mumbai, Maharashtra 410206, India</t>
  </si>
  <si>
    <t>Mumbai Culture Cafe</t>
  </si>
  <si>
    <t>Plot No.2, Rd Number 16, near ayushman clinic, Sector 19, New Panvel East, Panvel, Mumbai, Navi Mumbai, Maharashtra 410206, India</t>
  </si>
  <si>
    <t>the wonders cafe</t>
  </si>
  <si>
    <t>Shop No-9, Sec-01, Om, Shri Niketan, Plot No-12a, Sector - 1, Khanda Colony, Panvel, Navi Mumbai, Maharashtra 410206, India</t>
  </si>
  <si>
    <t>The Social - Bistro &amp; Cafe</t>
  </si>
  <si>
    <t>Shop No. 11, Ground Floor, Chs Ltd, Tulsi Heights Building, Plot No 1, Gurudwara Rd, Sector 5, New Panvel East, Panvel, Navi Mumbai, Maharashtra 410206, India</t>
  </si>
  <si>
    <t>Cafe 3D</t>
  </si>
  <si>
    <t>Unnamed Road, Triveni Society, Sector 16, New Panvel East, Panvel, Navi Mumbai, Maharashtra 410206, India</t>
  </si>
  <si>
    <t>CafÃ¨ Recycled</t>
  </si>
  <si>
    <t>SHOP NO. 13, GOBBLE ENTERPRISES, PRAJAPATI ARCADE CHS, PLOT NO. 22-23, Sector 15A, New Panvel East, Panvel, Navi Mumbai, Maharashtra 410206, India</t>
  </si>
  <si>
    <t>Star Cafe</t>
  </si>
  <si>
    <t>Shop No.18, Matruchaya CHS, CKT Collage Road, New Panvel (W, Sector - 13, Khanda Colony, Maharashtra 410206, India</t>
  </si>
  <si>
    <t>Grub Box Cafe &amp; Bistro</t>
  </si>
  <si>
    <t>Shop No -1,2,3, Devrshi Building, Plot No -6, Sector 4, New Panvel East, Panvel, Mumbai, Navi Mumbai, Maharashtra 410206, India</t>
  </si>
  <si>
    <t>Cafe Nine</t>
  </si>
  <si>
    <t>Ckt College Rd, Sector 11, Khanda Colony, Panvel, Navi Mumbai, Maharashtra 410206, India</t>
  </si>
  <si>
    <t>Twins Cafe</t>
  </si>
  <si>
    <t>Phoenix Heights Plot No. 56 Sector-17, Roadpali Rd, Roadpali, Kalamboli, Panvel, Navi Mumbai, Maharashtra 410218, India</t>
  </si>
  <si>
    <t>46 cafe</t>
  </si>
  <si>
    <t>Shop no 3 plot no 6A City Park, near Kokan Deep Hotel, Sector - 13, Khanda Colony, Navi Mumbai, Maharashtra 410206, India</t>
  </si>
  <si>
    <t>NJ Cafe</t>
  </si>
  <si>
    <t>SHOP NO.6 , Shri niketan CHS building, sector-1 , khanda colony, opposite to Mahatma School, New Panvel East, W, Navi Mumbai, Maharashtra 410206, India</t>
  </si>
  <si>
    <t>Brewlogist cafÃ©</t>
  </si>
  <si>
    <t>second floor, food court, bus depot, Orion mall, near Panvel, Panvel, Maharashtra 410206, India</t>
  </si>
  <si>
    <t>Mount View Cafe &amp; Bistro</t>
  </si>
  <si>
    <t>Pale Budruk, 105K, Panvel Vavanja Road, Panvel, Navi Mumbai, Pale Bk., Maharashtra 410208, India</t>
  </si>
  <si>
    <t>Cafe Creme</t>
  </si>
  <si>
    <t>Shop No 8, Shri Niketan, Plot No 2, New, Sector - 1, Khanda Colony, Panvel, Navi Mumbai, Maharashtra 410206, India</t>
  </si>
  <si>
    <t>Cafe Woodstanza</t>
  </si>
  <si>
    <t>Shri Niketan, Tulsi Prerna Rd, Sector - 1, Khanda Colony, Panvel, Navi Mumbai, Maharashtra 410206, India</t>
  </si>
  <si>
    <t>Cafe Chokolade</t>
  </si>
  <si>
    <t>Shop Number 9 Neelkanth Darshan Building, Old Panvel, Panvel, Maharashtra 410206, India</t>
  </si>
  <si>
    <t>Big Daddy Cafe and Lounge</t>
  </si>
  <si>
    <t>Sector-1, New Panvel East, Panvel, Navi Mumbai, Maharashtra 410206, India</t>
  </si>
  <si>
    <t>The Ace Cafe</t>
  </si>
  <si>
    <t>The ACE Cafe, Near Pillai's College, Behind Swad Hotel, near Phoenix Stationery Shop, Triveni Society, Sector 16, New Panvel East, Panvel, Navi Mumbai, Maharashtra 410206, India</t>
  </si>
  <si>
    <t>Addicted cafe</t>
  </si>
  <si>
    <t>Addicted, Sector 11, Khanda Colony, Panvel, Navi Mumbai, Maharashtra 410206, India</t>
  </si>
  <si>
    <t>Breezy</t>
  </si>
  <si>
    <t>Darshan apartment, Oppo burlings, near dhutpapeshwar corner, Old Panvel, Navi Mumbai, Maharashtra 410206, India</t>
  </si>
  <si>
    <t>Engineer Da Cafe</t>
  </si>
  <si>
    <t>Shop No 14, Hari Madhur Milan Building, near Dmart, Sector 5, New Panvel East, Panvel, Navi Mumbai, Maharashtra 410206, India</t>
  </si>
  <si>
    <t>Cj's Cafe</t>
  </si>
  <si>
    <t>Shop-4, Sai Paradise, plot - 100, Sector-1, New Panvel East, Panvel, Navi Mumbai, Maharashtra 410206, India</t>
  </si>
  <si>
    <t>Shop No 12, Kunj Complex, Plot 47, near Budhavihar, Sector 11, Kamothe, Panvel, Navi Mumbai, Maharashtra 410209, India</t>
  </si>
  <si>
    <t>THE BOMBAY FRIES PANVEL</t>
  </si>
  <si>
    <t>opposite SHREE SAMARTH CHS LTD PLOT 16 SECTOR 16, near PILLAI COLLEGE, Sector 16, New Panvel East, Panvel, Navi Mumbai, Maharashtra 410206, India</t>
  </si>
  <si>
    <t>FP No 311, Orion Mall, Mumbai - Pune Expy, near Vijay Sales, Forest Colony, Panvel, Navi Mumbai, Maharashtra 410206, India</t>
  </si>
  <si>
    <t>Bob The Baker's Cafe</t>
  </si>
  <si>
    <t>Shop No 24 , plot no :29, Silver Crest, Sector-25, Kamothe, Panvel, Navi Mumbai, Maharashtra 410209, India</t>
  </si>
  <si>
    <t>Cake and cafe</t>
  </si>
  <si>
    <t>PLOT-29, SILVERCREST CHS LTD, Shop-27, STATION, opposite KHANDESHWER, Sector-25, Kamothe, Maharashtra 410209, India</t>
  </si>
  <si>
    <t>Shop No- 01, Govind Garden, plot- 70, 410206, Old Panvel, Maharashtra 410206, India</t>
  </si>
  <si>
    <t>Snowbite cafe</t>
  </si>
  <si>
    <t>Shri Gayatri CHS, Sector 11, Khanda Colony, Panvel, Navi Mumbai, Maharashtra 410206, India</t>
  </si>
  <si>
    <t>Offline Cafe</t>
  </si>
  <si>
    <t>Pratik Harmony CHS Shop no. 6, Plot no 35 Sec 20, Roadpali, Kalamboli, Maharashtra 410218, India</t>
  </si>
  <si>
    <t>Spice Wadi</t>
  </si>
  <si>
    <t>Bhagat Wadi, near Rajiv Gandhi Maidan, Sector 11, New Panvel East, Maharashtra 410206, India</t>
  </si>
  <si>
    <t>Kanjee Cafe</t>
  </si>
  <si>
    <t>Shop no 01, Mahesh Heights, Plot no 97, Sect R3, Karanjade, Panvel, Navi Mumbai, Maharashtra 410206, India</t>
  </si>
  <si>
    <t>cafe Nine</t>
  </si>
  <si>
    <t>Shop Number 7, Shubh Neel Shivam, Plot No.40, Sector 11, Kamothe, Panvel, Navi Mumbai, Maharashtra 410209, India</t>
  </si>
  <si>
    <t>Tealogy</t>
  </si>
  <si>
    <t>Shop No 36 , Plot No 198/A/205/14 SHREE, Raje Complex, MTNL Rd, opposite Chhatrapati Shivaji Maharaj Chowk, Old Panvel, Panvel, Navi Mumbai, Maharashtra 410206, India</t>
  </si>
  <si>
    <t>CHOCOLATE CLOUD CAFE</t>
  </si>
  <si>
    <t>Sector 2, AUTO STAND, Shop No 7, SADGURU APARTMENT, Karanjade, Raigad, Maharashtra 410206, India</t>
  </si>
  <si>
    <t>The Poolside Restro</t>
  </si>
  <si>
    <t>105K, Panvel Vavanja Road, Village Pale Budruk, Panvel, Navi Mumbai, Pale Bk., Maharashtra 410208, India</t>
  </si>
  <si>
    <t>Friends cafe</t>
  </si>
  <si>
    <t>Roadpali Main Rd, Sector 20, Kalamboli, Panvel, Navi Mumbai, Maharashtra 410218, India</t>
  </si>
  <si>
    <t>CITY CAFE</t>
  </si>
  <si>
    <t>Shop No 6, MANGALMURTI APARTMENT, PARDESHI ALI, SAVARKAR CHOWK, near SAVARKAR, Manek Nagar, HOC Colony, Panvel, Chouk, Navi Mumbai, Maharashtra 410206, India</t>
  </si>
  <si>
    <t>My Baagaan</t>
  </si>
  <si>
    <t>7, Panvel Matheran Rd, Sukapur, Panvel, Navi Mumbai, Shilottar Raichur, Maharashtra 410206, India</t>
  </si>
  <si>
    <t>CAFE GARAGE</t>
  </si>
  <si>
    <t>shop no 1, SAI SITARA BUILDING, near Mumbai - Pune Expressway, Sector 6, New Panvel East, Maharashtra 410206, India</t>
  </si>
  <si>
    <t>TAC-TiX</t>
  </si>
  <si>
    <t>Shop No.5 Sector No.16, Gini Park, Chs, Sector 16, New Panvel East, Panvel, Navi Mumbai, Maharashtra 410206, India</t>
  </si>
  <si>
    <t>Barbeque Nation - Mumbai - Panvel</t>
  </si>
  <si>
    <t>3rd Floor, Orion Mall, Bus Depot, FP No 311, Mumbai - Pune Expy, Forest Colony, Panvel, Mumbai, Navi Mumbai, Maharashtra 410206, India</t>
  </si>
  <si>
    <t>Cafe Creme Karanjade</t>
  </si>
  <si>
    <t>Vinayak Darpan, Jai Plaza, Shop Number 3 Vinayak darpan Building Plot Number 27 Sector 2 A, Karanjade, Panvel, Maharashtra 410206, India</t>
  </si>
  <si>
    <t>Cafe Bubble Gum</t>
  </si>
  <si>
    <t>Sho No 3 Sairaj Building Plot Number 51, Sector 3, Karanjade, Panvel, Maharashtra 410206, India</t>
  </si>
  <si>
    <t>Red Box Cafe</t>
  </si>
  <si>
    <t>Shop no. 8 &amp; 9, Osho Kabir CHS, New, Sector 10, Khanda Colony, Panvel, W, Navi Mumbai, Maharashtra 410206, India</t>
  </si>
  <si>
    <t>BUDDHA CAFE</t>
  </si>
  <si>
    <t>Shop no. 11, Gini Park, Plot no.26, near Pillai's College Girl's hostel, Sector 16, New Panvel East, Panvel, Navi Mumbai, Maharashtra 410206, India</t>
  </si>
  <si>
    <t>Dynabite Cafe</t>
  </si>
  <si>
    <t>Shop No. 4, Neel Orchid, Khanda Colony, Old Panvel, Shop Number 2, Neel Orchid Building, Plot Number 41, Sector 10, Panvel, Navi, Mumbai, Maharashtra 410206, India</t>
  </si>
  <si>
    <t>Sagar Kitchen, Banquet and Bar</t>
  </si>
  <si>
    <t>Plot No, Jetking, 143, Vasudev Balwant Phadke Rd, MCCH Society, Panvel, Navi Mumbai, Maharashtra 410206, India</t>
  </si>
  <si>
    <t>DP's Cafe</t>
  </si>
  <si>
    <t>Shop no.2 Nandgaon, near Sunshine Valley School, Panvel, Maharashtra 410221, India</t>
  </si>
  <si>
    <t>Hungry Buds, Cafe n Chinese Cuisine</t>
  </si>
  <si>
    <t>Shop No 2,3,4, SAMARTH APARTMENT, near MARUTI HANUMAN MANDIR, Line Ali, Old Panvel, Panvel, Navi Mumbai, Maharashtra 410206, India</t>
  </si>
  <si>
    <t>Dream Cafe</t>
  </si>
  <si>
    <t>Dombala, Panvel, Navi Mumbai, Maharashtra 410206, India</t>
  </si>
  <si>
    <t>Panvel Upahar Gruha</t>
  </si>
  <si>
    <t>827, Mahatma Gandhi Rd, Tapal Naka, Old Panvel, Panvel, Navi Mumbai, Maharashtra 410206, India</t>
  </si>
  <si>
    <t>Malvan Tadka</t>
  </si>
  <si>
    <t>Final Plot, Sai Arcade, 184, Shivaji Rd, opposite S.T.Stand, Old Panvel, Panvel, Navi Mumbai, Maharashtra 410206, India</t>
  </si>
  <si>
    <t>Kharghar</t>
  </si>
  <si>
    <t>The Courtyard Cafe</t>
  </si>
  <si>
    <t>Shop. No. 1, Shah Prima, Sector 2, Kharghar, Navi Mumbai, Maharashtra 410210, India</t>
  </si>
  <si>
    <t>Cafe Monza</t>
  </si>
  <si>
    <t>Bhoomi Heights, WING-A, Kharghar Station Rd, Wing F, Sector 8, Kharghar, Navi Mumbai, Maharashtra 410210, India</t>
  </si>
  <si>
    <t>Biker's Brewing CafÃ©</t>
  </si>
  <si>
    <t>Glomax Mall, BBC, Cafeteria No.5, Sai Health Centre, Plot No.15, road, near petrol pump, Sector 2, Kharghar, Navi Mumbai, Maharashtra 410210, India</t>
  </si>
  <si>
    <t>Brewers Bay</t>
  </si>
  <si>
    <t>20, Kharghar Station Rd, Sector 2, Kharghar, Navi Mumbai, Maharashtra 410210, India</t>
  </si>
  <si>
    <t>YVR CafÃ©</t>
  </si>
  <si>
    <t>Shop No: 1&amp;2, Delta Central, Central Park Service Rd, Sector 23, Kharghar, Navi Mumbai, Maharashtra 410210, India</t>
  </si>
  <si>
    <t>The Coffee Bistro</t>
  </si>
  <si>
    <t>Shop no. 6 &amp; 7, Greenwood's Apt, Plot no 9-13,13A &amp; 13B, Sector 34 E, Sector 35E, Kharghar, Navi Mumbai, Maharashtra 410210, India</t>
  </si>
  <si>
    <t>Vivace Cafe</t>
  </si>
  <si>
    <t>Shop no. 10, Plot Number 9, Sai Saakshaat, CHS, Sector 6, Kharghar, Navi Mumbai, Maharashtra 410210, India</t>
  </si>
  <si>
    <t>La Farine Patisserie and Cafe</t>
  </si>
  <si>
    <t>Shop No.6, Sadguru Tower, Central Park Metro Rd, Sector-19, Kharghar, Navi Mumbai, Maharashtra 410210, India</t>
  </si>
  <si>
    <t>Cafe Creme Kharghar</t>
  </si>
  <si>
    <t>Shilp Chowk, Sector 21, Kharghar, Navi Mumbai, Maharashtra 410210, India</t>
  </si>
  <si>
    <t>Mocha Kaffee</t>
  </si>
  <si>
    <t>Shop no 39, Hiranandani Crystal Plaza, Sector 7, Kharghar, Navi Mumbai, Maharashtra 410210, India</t>
  </si>
  <si>
    <t>Blumingo Art Cafe Kharghar</t>
  </si>
  <si>
    <t>Shop No 9, Bhoomi Heights, Plot 5 &amp; 6, Wing F, Sector 8, Kharghar, Navi Mumbai, Maharashtra 410210, India</t>
  </si>
  <si>
    <t>Chaayos Cafe at Kharghar</t>
  </si>
  <si>
    <t>Unit No 16 &amp; 17,Little world Mall, Sector 2, Kharghar, Mumbai, Maharashtra 410210, India</t>
  </si>
  <si>
    <t>OdÃ³s Kaffeina</t>
  </si>
  <si>
    <t>Shop No. 32, GROWMORE TOWER, Sector 2, Kharghar, Navi Mumbai, Maharashtra 410210, India</t>
  </si>
  <si>
    <t>Roadies Koffeehouz</t>
  </si>
  <si>
    <t>Shop No 9 and 10, Bhagwati Greens, 1, Central Park Rd, Sector 23, Kharghar, Navi Mumbai, Maharashtra 410210, India</t>
  </si>
  <si>
    <t>Cafe Connect Kharghar</t>
  </si>
  <si>
    <t>Shop 23&amp;24, Grow more Tower, Plot no: 5, Sector: 2, Kharghar, Navi Mumbai, Maharashtra 410210, India</t>
  </si>
  <si>
    <t>Vibes Cafe Kharghar</t>
  </si>
  <si>
    <t>GOODWILL GARDEN, Shop no 8A/9A, Plot 15/16, Sector 8, Kharghar, Navi Mumbai, Maharashtra 410210, India</t>
  </si>
  <si>
    <t>Grand century restaurant and cafe</t>
  </si>
  <si>
    <t>FIRST FLOOR, VISHWAKARMA TOWER, PLOT 4, near GOLF COURSE AND ISKON TEMPLE, Sector 21, Kharghar, Navi Mumbai, Maharashtra 410210, India</t>
  </si>
  <si>
    <t>Barista - Kharghar</t>
  </si>
  <si>
    <t>SHAH HEIGHTS BLOCK-B, Shah Heights, Shop 14/15, Sector 7, Kharghar, Navi Mumbai, Maharashtra 410210, India</t>
  </si>
  <si>
    <t>Swords Cafe Kharghar</t>
  </si>
  <si>
    <t>Shop no 7/8 3, Bhagwati Greens, Plot no-7, Central Park Service Rd, near Iskcon temple, Sector 23, Kharghar, Navi Mumbai, Maharashtra 410210, India</t>
  </si>
  <si>
    <t>Cafe Foodies Club</t>
  </si>
  <si>
    <t>Shop no. 6, Shah Prima, Plot No. 13, Sector 2, Kharghar, Navi Mumbai, Maharashtra 410210, India</t>
  </si>
  <si>
    <t>The SMOQUE Cafe'</t>
  </si>
  <si>
    <t>3 plot no E, bus stops, Shiv Krupa sector 3 Belpada kharghar opps railway station Shiv krupa chs sector, 68, Belpada Rd, next to nift institute, opposite realway station, Sector 3, Belpada, Kharghar, Navi Mumbai, Maharashtra 410210, India</t>
  </si>
  <si>
    <t>CafÃ© CrÃ¨me</t>
  </si>
  <si>
    <t>Shop No:27, ITM College Rd, Sector 4, Kharghar, Navi Mumbai, Maharashtra 410210, India</t>
  </si>
  <si>
    <t>No. 7 &amp; 8, Prajapati Gaurav, Station Rd, Sector 2, Kharghar, Navi Mumbai, Maharashtra 410210, India</t>
  </si>
  <si>
    <t>MUMBAI BISTRO - THE CAFE (KHARGHAR)</t>
  </si>
  <si>
    <t>Shop no.25, Hiranandani Crystal Plaza, Sector 7, Kharghar, Navi Mumbai, Maharashtra 410210, India</t>
  </si>
  <si>
    <t>Olde Baileys Cafe</t>
  </si>
  <si>
    <t>Shop no. 1, Sai Saakshaat, Sector no. 6, Kharghar, Navi Mumbai, Maharashtra 410210, India</t>
  </si>
  <si>
    <t>METRO MOCHA CAFE â˜•ï¸</t>
  </si>
  <si>
    <t>Proviso Apartment, Sector 34 E, Sector 35E, Kharghar, Navi Mumbai, Maharashtra 410210, India</t>
  </si>
  <si>
    <t>Deep's cafe</t>
  </si>
  <si>
    <t>Shop No -04, Plot No 6, MONARCH LUXURIA, Vastu Vihar Rd, Sector 18, Kharghar, Navi Mumbai, Maharashtra 410210, India</t>
  </si>
  <si>
    <t>Shop No. 5, Shah Prima, Sector 2, Kharghar, Navi Mumbai, Maharashtra 410210, India</t>
  </si>
  <si>
    <t>Utsav Momo Cafe</t>
  </si>
  <si>
    <t>Fountain Square Mall, Shop No.8,, Plot No.5, Utsaw Chowk Perimeter Rd, Sector 7, Kharghar, Navi Mumbai, Maharashtra 410210, India</t>
  </si>
  <si>
    <t>3Wicket Cafe</t>
  </si>
  <si>
    <t>Shop no. 8, SEAWOOD HERITAGE, opp. Yerla Medical College, Sector 4, Kharghar, Navi Mumbai, Maharashtra 410210, India</t>
  </si>
  <si>
    <t>Shop-4, Rishab Complex, plot-5A, Belpada Rd, beside Bal Bharti Public school, Sector 4, Kharghar, Navi Mumbai, Maharashtra 410210, India</t>
  </si>
  <si>
    <t>Chai matki cafe</t>
  </si>
  <si>
    <t>SHOP NO-13, CHS LTD, Elite Enclave, PLOT NO-260, Anushaktinagar, Sector 10, Kharghar, Mumbai, Navi Mumbai, Maharashtra 410210, India</t>
  </si>
  <si>
    <t>Tata Starbucks</t>
  </si>
  <si>
    <t>BLOCK-4, Shree Krishna Paradise, Sector 12, Kharghar, Navi Mumbai, Maharashtra 410210, India</t>
  </si>
  <si>
    <t>Bubble Trouble by Cakes &amp; Candies (Bubble Tea, Boba Tea) / Kharghar</t>
  </si>
  <si>
    <t>Shop No. 4, Dream Tower, Plot No. E 93, Sector 3, Belpada, Kharghar, Navi Mumbai, Maharashtra 410210, India</t>
  </si>
  <si>
    <t>Momo magic cafe</t>
  </si>
  <si>
    <t>Balaji Angan, Sector 4, Kharghar, Navi Mumbai, Maharashtra 410210, India</t>
  </si>
  <si>
    <t>Plot no 5 &amp; 6, Bhoomi Heights, Shop No-8, Sector 8, Kharghar, Mumbai, Maharashtra 410210, India</t>
  </si>
  <si>
    <t>Sandwich Junction Kharghar - The best Sandwich shop in Navi Mumbai</t>
  </si>
  <si>
    <t>Metro Pillar Number 164, Shop No.12, Plot 48, Amrut Dhara Complex Infront of, Sector 20, Kharghar, Navi Mumbai, Maharashtra 410210, India</t>
  </si>
  <si>
    <t>Retro Cafe</t>
  </si>
  <si>
    <t>Sector 11, CBD Belapur, Navi Mumbai, Maharashtra 400614, India</t>
  </si>
  <si>
    <t>M.I.B - Modern Indian Bistro</t>
  </si>
  <si>
    <t>Shop no 06, Shankeshwar heights, Block G, Sector 11, Kharghar, Navi Mumbai, Maharashtra 410210, India</t>
  </si>
  <si>
    <t>The Flame Cafe</t>
  </si>
  <si>
    <t>Shop no 14, HARDROCK BUILDING, Plot no. 6 to 10, Sector 7, Kharghar, Navi Mumbai, Maharashtra 410210, India</t>
  </si>
  <si>
    <t>Saias The Food Library</t>
  </si>
  <si>
    <t>BHOOMI TOWER SHOP NO-28 , PLOT-28, Sector 4, Kharghar, Navi Mumbai, Maharashtra 410210, India</t>
  </si>
  <si>
    <t>LOKAL CAFE &amp; BISTRO</t>
  </si>
  <si>
    <t>Shop No: 2,3 &amp; 4, Seawood Avenue, Sector 3, Belpada, Kharghar, Navi Mumbai, Maharashtra 410210, India</t>
  </si>
  <si>
    <t>MiNi Treats</t>
  </si>
  <si>
    <t>Plot No-04, Shop No-06, Krishna Tower, Sector 35E, Kharghar, Navi Mumbai, Maharashtra 410210, India</t>
  </si>
  <si>
    <t>Grace Restaurant Kharghar</t>
  </si>
  <si>
    <t>Shop No 15, Goodwill Paradise, Plot 24, near Dmart, Gharkul, Sector 15, Kharghar, Navi Mumbai, Maharashtra 410210, India</t>
  </si>
  <si>
    <t>TM Kitchen Kharghar</t>
  </si>
  <si>
    <t>Shop no 36/37, Green heritage chs, plot no 78, Jalvayu Rd, Sector 20, Kharghar, Navi Mumbai, Maharashtra 410210, India</t>
  </si>
  <si>
    <t>Pranaam Fine Dine &amp; Banquets</t>
  </si>
  <si>
    <t>Shop 23-24, plot no-B/2B,A, 24/c, Utsav Chowk - CISF Rd, Sector 12, Kharghar, Navi Mumbai, Maharashtra 410210, India</t>
  </si>
  <si>
    <t>Heaven &amp; Herbs</t>
  </si>
  <si>
    <t>Shop No. 9, ADHIRAJ COMPLEX, Plot No. 8, Wing F, Sector 8, Kharghar, Navi Mumbai, Maharashtra 410210, India</t>
  </si>
  <si>
    <t>Grabrews Cold Coffee &amp; Shakes</t>
  </si>
  <si>
    <t>Sector 33, Kharghar, Navi Mumbai, Maharashtra 410210, India</t>
  </si>
  <si>
    <t>Dharavi</t>
  </si>
  <si>
    <t>Cafe Istaa</t>
  </si>
  <si>
    <t>New CHS Ltd, 12A/1, RL Kelkar Rd, Sion West, Sion, Mumbai, Maharashtra 400022, India</t>
  </si>
  <si>
    <t>Raj Parota Stall</t>
  </si>
  <si>
    <t>Block No 12, East, 90 Feet Rd, Transit Camp, Rajiv Gandhi Nagar, Dharavi, Mumbai, Maharashtra 400017, India</t>
  </si>
  <si>
    <t>Citizen restaurant</t>
  </si>
  <si>
    <t>90 Feet Rd, Muslim Nagar, Kumbhar Wada, Dharavi, Mumbai, Maharashtra 400017, India</t>
  </si>
  <si>
    <t>THE FOOD STUDIO Kitchen And BAR</t>
  </si>
  <si>
    <t>2VR2+CWP, 60 Feet Rd, RP Nagar, Dharavi, Mumbai, Maharashtra 400017, India</t>
  </si>
  <si>
    <t>Cafe Arfa Hotel</t>
  </si>
  <si>
    <t>2RVX+C7R, Dharavi Main Rd, Shammi Nagar, Dharavi, Mumbai, Maharashtra 400017, India</t>
  </si>
  <si>
    <t>Hotel Cafe Rahi</t>
  </si>
  <si>
    <t>2VV5+H34, 90 Feet Rd, Sion Dharavi, Dharavi, Mumbai, Maharashtra 400017, India</t>
  </si>
  <si>
    <t>SANSAR HOTEL</t>
  </si>
  <si>
    <t>90 Feet Rd, Sai Baba Nagar, Dharavi, Mumbai, Maharashtra 400017, India</t>
  </si>
  <si>
    <t>New Hotel Selvi</t>
  </si>
  <si>
    <t>Shop B- 200, 90 Feet Rd, near Kamraj School, P.K. Kunte Nagar, Dharavi, Mumbai, Maharashtra 400017, India</t>
  </si>
  <si>
    <t>Tasty Parota Corner</t>
  </si>
  <si>
    <t>07, Block, 11, 90 Feet Rd, Block Number 11, Transit Camp, Rajiv Gandhi Nagar, Dharavi, Mumbai, Maharashtra 400017, India</t>
  </si>
  <si>
    <t>Cafe Milan Restaurant</t>
  </si>
  <si>
    <t>MS/RB-T46, Lal Bahadur Shastri Marg, Mahanagar Palika Vasahat, Dharavi, Mumbai, Maharashtra 400017, India</t>
  </si>
  <si>
    <t>Jhakas Family Restaurant</t>
  </si>
  <si>
    <t>Sion-Bandra Link Rd, Tjunction, Dharavi, Mumbai, Maharashtra 400017, India</t>
  </si>
  <si>
    <t>Cafe Rahat</t>
  </si>
  <si>
    <t>G-34, Sulochana Shetty Marg, Muslim Nagar, Matunga Labour Camp, Dharavi, Mumbai, Maharashtra 400019, India</t>
  </si>
  <si>
    <t>Sunder Vilas</t>
  </si>
  <si>
    <t>90 Feet Rd, Muslim Nagar, RP Nagar, Dharavi, Mumbai, Maharashtra 400017, India</t>
  </si>
  <si>
    <t>Saheel Restaurant</t>
  </si>
  <si>
    <t>Shop No 5.6 Gupta Chawl, Kalakilla, Dharavi, Mumbai, Maharashtra 400017, India</t>
  </si>
  <si>
    <t>Rehmat Restaurant &amp; Caterers</t>
  </si>
  <si>
    <t>47, Anarya CHS, Jasmine Mill Road,Matunga Labour, Camp, Matunga, opp. Geetanjali Building, Mumbai, Maharashtra 400019, India</t>
  </si>
  <si>
    <t>ARIK RESTAURANT</t>
  </si>
  <si>
    <t>Chamda Bazar, Dharavi Main Rd, Habib Nagar, Sheshwadi, Dharavi, Mumbai, Maharashtra 400017, India</t>
  </si>
  <si>
    <t>Dharavi Restaurant</t>
  </si>
  <si>
    <t>Mahim east sallu seth compund, near sunni jama masjid, Mumbai, Maharashtra 400017, India</t>
  </si>
  <si>
    <t>Cafe Milan Hotel</t>
  </si>
  <si>
    <t>IGC Chawl, Dharavi Main Rd, Mahim(E, Dharavi, Mumbai, Maharashtra 400017, India</t>
  </si>
  <si>
    <t>Modern Lunch Home</t>
  </si>
  <si>
    <t>5 Harak Niwas, Opposite Bank Of Baroda, Near Railway Station, Station Rd, Sion West, Sion, Mumbai, Maharashtra 400022, India</t>
  </si>
  <si>
    <t>Malhari Chai(Azhari Cafe)</t>
  </si>
  <si>
    <t>Shop No 13A, Lavji Bhimji Chawl, Kader Maidan, Bhatiya Nagar, Dharavi, Mumbai, Maharashtra 400017, India</t>
  </si>
  <si>
    <t>New Welcome Tea</t>
  </si>
  <si>
    <t>2VW5+6Q6, 90 Feet Rd, Dharavi Slums, Laxmi Baug, Dharavi, Mumbai, Maharashtra 400017, India</t>
  </si>
  <si>
    <t>New Cafe Bharath</t>
  </si>
  <si>
    <t>2VQ2+R4R Post Office, Jasmine Mill Rd, opposite Shau Nagar, Mahim East, Shammi Nagar, Dharavi, Mumbai, Maharashtra 400019, India</t>
  </si>
  <si>
    <t>Jennifer Cyber Cafe</t>
  </si>
  <si>
    <t>D-3, Takandas Kataria Marg, Matunga Labour Camp, Dharavi, Mumbai, Maharashtra 400019, India</t>
  </si>
  <si>
    <t>Sai Dream Cyber Cafe</t>
  </si>
  <si>
    <t>Shop no.1, Row -K, Block -10, Off Dharavi police Station, 90 feet Road, Transit Camp, Rajiv Gandhi Nagar, Dharavi, Mumbai, Maharashtra 400017, India</t>
  </si>
  <si>
    <t>Bismillah Restaurant</t>
  </si>
  <si>
    <t>Matunga labour Camp 60 Feet Road, Sant Kabir Marg, opp. Kumbharwada, Mumbai, Maharashtra 400019, India</t>
  </si>
  <si>
    <t>Food lee's</t>
  </si>
  <si>
    <t>Indra chawl, B/32, Dharavi Cross Rd, Palkar Chawl, Dharavi, Mumbai, Maharashtra 400017, India</t>
  </si>
  <si>
    <t>Usmaniya Restaurant</t>
  </si>
  <si>
    <t>60 feet road A.K.G Nagar Mumbai maharashtra 17, Mumbai, Maharashtra 400017, India</t>
  </si>
  <si>
    <t>Abhinav Family Bar and Reasaurant</t>
  </si>
  <si>
    <t>2RWX+762, Mahim - Sion Link Rd, Naya Nagar, Navrang Compound, Dharavi, Mumbai, Maharashtra 400017, India</t>
  </si>
  <si>
    <t>CAFE INDIA</t>
  </si>
  <si>
    <t>SHOP NO B7, DAMAR COMPANY, 90 Feet Rd, Mukund Nagar, Sion, Mumbai, Maharashtra 400017, India</t>
  </si>
  <si>
    <t>Cafe Zam Zam</t>
  </si>
  <si>
    <t>2RVX+C2C, Dharavi Main Rd, Mahim East, Shammi Nagar, Dharavi, Mumbai, Maharashtra 400017, India</t>
  </si>
  <si>
    <t>SHABNAM TEA HOUSE</t>
  </si>
  <si>
    <t>9, Dharavi Main Rd, Chanda Bazar, Sheshwadi, Dharavi, Mumbai, Maharashtra 400017, India</t>
  </si>
  <si>
    <t>Labour Camp Irani Restaurant</t>
  </si>
  <si>
    <t>2VP3+549, Matunga Labour Camp, Dharavi, Mumbai, Maharashtra 400019, India</t>
  </si>
  <si>
    <t>Humble Express</t>
  </si>
  <si>
    <t>R1, Ankita Apartments, Navghar Rd, Ambedkar Nagar, Mulund East, Mumbai, Maharashtra 400081, India</t>
  </si>
  <si>
    <t>Devraj Bar &amp; Restaurant</t>
  </si>
  <si>
    <t>2VR4+RC8, 90 Feet Rd, Balaji Nagar, Dharavi, Mumbai, Maharashtra 400017, India</t>
  </si>
  <si>
    <t>Gurukripa</t>
  </si>
  <si>
    <t>40, Rd Number 24, near Sies College Of Arts, Science &amp; Commerce, Sion West, Sion, Mumbai, Maharashtra 400022, India</t>
  </si>
  <si>
    <t>Cafe Azeez</t>
  </si>
  <si>
    <t>Jasmine Mill Rd, Baliga Nagar, kamla Nagar, Shammi Nagar, Dharavi, Mumbai, Maharashtra 400017, India</t>
  </si>
  <si>
    <t>Kareemi Restaurant</t>
  </si>
  <si>
    <t>46, Kuttiwadi Cross Rd, Habib Nagar, Sheshwadi, Dharavi, Mumbai, Maharashtra 400017, India</t>
  </si>
  <si>
    <t>New Sahil Restaurant</t>
  </si>
  <si>
    <t>Rajendra Prasad Nagar, 60 Feet Road, opp. Hanware Height, Muslim Nagar, Matunga Labour Camp, Dharavi, Mumbai, Maharashtra 400019, India</t>
  </si>
  <si>
    <t>Victory Cafe</t>
  </si>
  <si>
    <t>2VV7+XR4, Sion Railway Colony, Chunabhatti, Sion, Mumbai, Maharashtra 400022, India</t>
  </si>
  <si>
    <t>Cafe Junction Veg And Nonveg</t>
  </si>
  <si>
    <t>2VW2+PVM, Sion-Bandra Link Rd, I Block BKC, Sheshwadi, Bandra East, Mumbai, Maharashtra 400017, India</t>
  </si>
  <si>
    <t>Noor Mohammadi Restaurant Dharavi</t>
  </si>
  <si>
    <t>Dharavi Main Rd, Mahim East, Navrang Compound, Dharavi, Mumbai, Maharashtra 400017, India</t>
  </si>
  <si>
    <t>Cafe Golden Sweets &amp; Milk Dairy</t>
  </si>
  <si>
    <t>3V28+52X, Station Marg, Dharavi Depot Rd, Naik Nagar, Sion West, Mumbai, Maharashtra 400022, India</t>
  </si>
  <si>
    <t>Sudarshan Veg &amp; Non Veg</t>
  </si>
  <si>
    <t>90 Feet Rd, Block Number 11, Transit Camp, Rajiv Gandhi Nagar, Dharavi, Mumbai, Maharashtra 400017, India</t>
  </si>
  <si>
    <t>ZAM ZAM RESTAURANT</t>
  </si>
  <si>
    <t>lok seva co-operative society shop no1 90feet road, Dharavi, Mumbai, Maharashtra 400017, India</t>
  </si>
  <si>
    <t>Apna family restaurant</t>
  </si>
  <si>
    <t>2VR4+H89, P.K. Kunte Nagar, Kamala Nehru Nagar, Rajiv Gandhi Nagar, Dharavi, Mumbai, Maharashtra 400017, India</t>
  </si>
  <si>
    <t>Powai</t>
  </si>
  <si>
    <t>Ventura Building, G6, Central Ave, opposite DMart, Hiranandani Gardens, Powai, Mumbai, Maharashtra 400076, India</t>
  </si>
  <si>
    <t>City Park, Central Ave, Hiranandani Gardens, Powai, Mumbai, Maharashtra 400076, India</t>
  </si>
  <si>
    <t>Blue Tokai Coffee Roasters | Powai</t>
  </si>
  <si>
    <t>G-01, Ventura, Central Ave, near Hiranandani Business Park, Hiranandani Gardens, Powai, Mumbai, Maharashtra 400076, India</t>
  </si>
  <si>
    <t>Chaayos Cafe - Hiranandani, Powai</t>
  </si>
  <si>
    <t>Unit No 07 Ground Floor, Ventura Building, Hiranandani Gardens, Powai, Mumbai, Maharashtra 400076, India</t>
  </si>
  <si>
    <t>Lake View Cafe</t>
  </si>
  <si>
    <t>The Westin Mumbai Powai Lake, Plot No 2 &amp; 3B, Saki Vihar Rd, near Chinmayanand Ashram, Powai, Mumbai, Maharashtra 400087, India</t>
  </si>
  <si>
    <t>CAFE DNA POWAI</t>
  </si>
  <si>
    <t>502, DNA 360, Knowledge Park Near Hiranandani Hospital, Powai, Mumbai, Maharashtra 400076, India</t>
  </si>
  <si>
    <t>Powai Social</t>
  </si>
  <si>
    <t>Delphi B Wing, 6, Orchard Ave, Hiranandani Gardens, Panchkutir Ganesh Nagar, Powai, Mumbai, Maharashtra 400076, India</t>
  </si>
  <si>
    <t>Haiko Mall, Central Ave, Hiranandani Gardens, Powai, Mumbai, Maharashtra 400076, India</t>
  </si>
  <si>
    <t>SHIRUCAFE IIT Bombay</t>
  </si>
  <si>
    <t>Powai campus, First floor between L1 &amp; L2 building, IIT, Powai, Mumbai, Maharashtra 400076, India</t>
  </si>
  <si>
    <t>Madeira &amp; Mime Powai</t>
  </si>
  <si>
    <t>Trans Ocean House, Lake Blvd Rd, Hiranandani Gardens, MHADA Colony 19, Powai, Mumbai, Maharashtra 400076, India</t>
  </si>
  <si>
    <t>abCoffee Powai</t>
  </si>
  <si>
    <t>Anmol Building Pawai V Complex, Shop No. 29, Gems CHS Powai Vihar Complex, Lake Homes Private Rd, MHADA Colony 20, Powai, Mumbai, Maharashtra 400076, India</t>
  </si>
  <si>
    <t>Cafe 92</t>
  </si>
  <si>
    <t>PC Saxena Auditorium, Academic Section, IIT Area, Powai, Mumbai, Maharashtra 400076, India</t>
  </si>
  <si>
    <t>3 &amp; 4 Ground Floor, Jheel Darshan, Jogeshwari - Vikhroli Link Rd, opposite Powai Lake, Rambaug, MHADA Colony 20, Powai, Mumbai, Maharashtra 400076, India</t>
  </si>
  <si>
    <t>Mia Cucina</t>
  </si>
  <si>
    <t>G3, Transocean House, Hiranandani Business Park, Lake Blvd Rd, Hiranandani Gardens, MHADA Colony 19, Powai, Mumbai, Maharashtra 400076, India</t>
  </si>
  <si>
    <t>The Sassy Spoon Powai</t>
  </si>
  <si>
    <t>B-Wing, Delphi Building, Restaurant 1A Binge Central, 1st Floor, Orchard Ave, Hiranandani Gardens, Panchkutir Ganesh Nagar, Powai, Mumbai, Maharashtra 400076, India</t>
  </si>
  <si>
    <t>Theobroma Bakery and Cake Shop - Powai, Mumbai</t>
  </si>
  <si>
    <t>SHOP NUMBER 8, GROUND FLOOR, Central Ave, next to Kotak Bank, Hiranandani Gardens, Powai, Mumbai, Maharashtra 400076, India</t>
  </si>
  <si>
    <t>The Finch Mumbai</t>
  </si>
  <si>
    <t>Shah Industrial Estate, Bus Stop, Saki Vihar Rd, opposite to Huntsman Building, next to John Baker, Ganesh Nagar, Marol, Andheri East, Mumbai, Maharashtra 400072, India</t>
  </si>
  <si>
    <t>Bayroute Powai</t>
  </si>
  <si>
    <t>Office No. 4 (4th Floor, 4W94+WWF One Boulevard, Transocean House Lake Boulevard Road,Hiranandani Business Park, Lake Blvd Rd, Hiranandani Gardens, MHADA Colony 19, Powai, Mumbai, Maharashtra 400076, India</t>
  </si>
  <si>
    <t>Hiranandani Business Park, Prudential Building, Powai, Mumbai, Maharashtra 400076, India</t>
  </si>
  <si>
    <t>ARC Powai â”‚Lounge â€¢ Rooftop</t>
  </si>
  <si>
    <t>ARC Powai, Opp Powai Lake Adi Shankaracharya Marg, Jogeshwari - Vikhroli Link Rd, Panchkutir Ganesh Nagar, Powai, Mumbai, Maharashtra 400076, India</t>
  </si>
  <si>
    <t>Travancore Cafe</t>
  </si>
  <si>
    <t>Ground Floor, Travancore Cafe, near Datta Samant Bungalow, Chaitanya Nagar, IIT Market, Powai, Mumbai, Maharashtra 400076, India</t>
  </si>
  <si>
    <t>SMOOR Lounge - Powai</t>
  </si>
  <si>
    <t>Shop G1A, Delphi, Hiranandani Business Park, Hiranandani Gardens, Panchkutir Ganesh Nagar, Powai, Mumbai, Maharashtra 400076, India</t>
  </si>
  <si>
    <t>Eve</t>
  </si>
  <si>
    <t>Sentinel, Hiranandani Gardens, Panchkutir Ganesh Nagar, Powai, Mumbai, Maharashtra 400076, India</t>
  </si>
  <si>
    <t>Rude Lounge</t>
  </si>
  <si>
    <t>B-Wing, SERVICE OFFICE, 8th Floor, South Avenue, Hiranandani Gardens, Powai, Mumbai, Maharashtra 400076, India</t>
  </si>
  <si>
    <t>The 2nd wife cafÃ© &amp; restaurant</t>
  </si>
  <si>
    <t>Junction, Krishanlal Marwah Marg, Ansa Industrial Estate, Chandivali, Andheri East, Mumbai, Maharashtra 400072, India</t>
  </si>
  <si>
    <t>Hitchki Powai</t>
  </si>
  <si>
    <t>G5, Transocean house, Lake Boulevard Rd. Hiranandani Business Park, near Kaya skin clinic, Powai, Mumbai, Maharashtra 400076, India</t>
  </si>
  <si>
    <t>The Game Ranch</t>
  </si>
  <si>
    <t>1st floor, Delphi Building, Delphi Orchard Avenue, Unit No. 2, B-Wing, Hiranandani Gardens, Panchkutir Ganesh Nagar, Powai, Mumbai, Maharashtra 400076, India</t>
  </si>
  <si>
    <t>Cafe coffee day (CCD)</t>
  </si>
  <si>
    <t>opposite Kendriya Vidyalaya, IIT Area, Powai, Mumbai, Maharashtra 400076, India</t>
  </si>
  <si>
    <t>No G2, Ground Floor, Orchard Ave, Hiranandani Gardens, MHADA Colony 19, Powai, Mumbai, Maharashtra 400076, India</t>
  </si>
  <si>
    <t>Mirchi &amp; Mime</t>
  </si>
  <si>
    <t>Transocean House, Lake Blvd Rd, Hiranandani Gardens, MHADA Colony 19, Powai, Mumbai, Maharashtra 400076, India</t>
  </si>
  <si>
    <t>Yuhi</t>
  </si>
  <si>
    <t>8th floor, Yuhi lounge, A-WING, SUPREME BUSINESS PARK, Hiranandani Gardens, Powai, Mumbai, Maharashtra 400076, India</t>
  </si>
  <si>
    <t>Blue Tokai Coffee Roasters | Nahar</t>
  </si>
  <si>
    <t>Shop No 14, Amaryllis Tower, Nahar Amrit Shakti, LOK Milan Colony, Chandivali, Powai, Mumbai, Maharashtra 400072, India</t>
  </si>
  <si>
    <t>Foo Powai</t>
  </si>
  <si>
    <t>B-Wing, Delphi Building, Ground Floor, Orchard Ave, Powai, Mumbai, Maharashtra 400076, India</t>
  </si>
  <si>
    <t>Civil Engineering Students Lounge and Cafe</t>
  </si>
  <si>
    <t>3rd floor, Civil Dept, IIT Area, Powai, Mumbai, Maharashtra 400076, India</t>
  </si>
  <si>
    <t>POMONACafe</t>
  </si>
  <si>
    <t>Hiranandani Business Park, shop no 121, First Floor, Powai Plaza, Mumbai, Maharashtra 400076, India</t>
  </si>
  <si>
    <t>Saki Vihar Rd, opp. 55 Corporate Avenue, Muranjan Wadi, Marol, Powai, Mumbai, Maharashtra 400072, India</t>
  </si>
  <si>
    <t>THE WADAPAV CAFE - ELITE</t>
  </si>
  <si>
    <t>Shop No. 61, Galleria Shopping Mall, Central Ave, Hiranandani Gardens, Panchkutir Ganesh Nagar, Powai, Mumbai, Maharashtra 400076, India</t>
  </si>
  <si>
    <t>DAFFODIL BUILDING, Central Ave, Hiranandani Gardens, Powai, Mumbai, Maharashtra 400076, India</t>
  </si>
  <si>
    <t>Sandwich Coffee House</t>
  </si>
  <si>
    <t>Shop 121, 1st Floor, Powai Plaza, Hiranandani Gardens, Sainath Nagar, Powai, Mumbai, Maharashtra 400076, India</t>
  </si>
  <si>
    <t>Chili's American Grill &amp; Bar</t>
  </si>
  <si>
    <t>Ventura Building, 13, Ventura Bldg Hiranandani Business Park, 400076, Central Ave, Hiranandani Gardens, Powai, Mumbai, Maharashtra 400076, India</t>
  </si>
  <si>
    <t>Independence Brewing Company - Powai</t>
  </si>
  <si>
    <t>Unit 1, Ground Floor, Ventura Building, Central Ave, Hiranandani Gardens, Powai, Mumbai, Maharashtra 400076, India</t>
  </si>
  <si>
    <t>Birdy's Bakery &amp; Patisserie</t>
  </si>
  <si>
    <t>Lake Club, Lake Homes, Complex, Chandivali Farm Rd, Powai, Mumbai, Maharashtra 400076, India</t>
  </si>
  <si>
    <t>Mantra Dining Bar</t>
  </si>
  <si>
    <t>Powai Plaza, Hiranandani Gardens, Sainath Nagar, Powai, Mumbai, Maharashtra 400076, India</t>
  </si>
  <si>
    <t>Chaayos Cafe at IIT Bombay</t>
  </si>
  <si>
    <t>CTS No - 68, Nr Telephone Exchange Office IIT, Students' Residential Zone, IIT Area, Powai, Mumbai, Maharashtra 400076, India</t>
  </si>
  <si>
    <t>maplepods@mumbai</t>
  </si>
  <si>
    <t>Saki Naka, Junction, Lokmanya Tilak Nagar, Andheri East, Mumbai, Maharashtra 400072, India</t>
  </si>
  <si>
    <t>Sesami</t>
  </si>
  <si>
    <t>1st floor, Rodas Hotel, Hiranandani Gardens, Powai, Mumbai, Maharashtra 400076, India</t>
  </si>
  <si>
    <t>Hangout Cakes &amp; Gourmet Foods</t>
  </si>
  <si>
    <t>Jheel Darshan, Rambaug, MHADA Colony 20, Powai, Mumbai, Maharashtra 400076, India</t>
  </si>
  <si>
    <t>Sassy Teaspoon</t>
  </si>
  <si>
    <t>B-Wing, Delphi Building, Restaurant 1A Binge Central, 1st, Orchard Ave, Hiranandani Gardens, Panchkutir Ganesh Nagar, Powai, Mumbai, Maharashtra 400076, India</t>
  </si>
  <si>
    <t>ChEA canteen</t>
  </si>
  <si>
    <t>4WJ9+46H, IIT Area, Powai, Mumbai, Maharashtra 400076, India</t>
  </si>
  <si>
    <t>Origami Japanese &amp; Korean Restaurant</t>
  </si>
  <si>
    <t>SERVICE OFFICE, Hiranandani Gardens, Powai, Mumbai, Maharashtra 400076, India</t>
  </si>
  <si>
    <t>Chembur</t>
  </si>
  <si>
    <t>Grandmama's All Day Cafe</t>
  </si>
  <si>
    <t>Ground Floor, Sunny Estate, Sion - Trombay Rd, Chembur, Mumbai, Maharashtra 400071, India</t>
  </si>
  <si>
    <t>71 TALES - BAR &amp; CAFE</t>
  </si>
  <si>
    <t>Unit 16-C, Sion - Trombay Rd, inside Asha Studio, near RK Studio, Union Park, Chembur, Mumbai, Maharashtra 400071, India</t>
  </si>
  <si>
    <t>Blue Tokai Coffee Roasters | Chembur</t>
  </si>
  <si>
    <t>Unit No.001 and 101, Ground, Ujagar Chambers, Compound, Deonar, Govandi East, Mumbai, Maharashtra 400088, India</t>
  </si>
  <si>
    <t>NÃº-tree Smoothies Cafe</t>
  </si>
  <si>
    <t>shop 3, Nityanand Baug society, Chembur Colony, Azad Nagar, Chembur, Mumbai, Maharashtra 400074, India</t>
  </si>
  <si>
    <t>Shy Cafe and Bar</t>
  </si>
  <si>
    <t>Ground Floor, Cubic Mall, opp. BORLA SOCIETY, Vasant Vihar Complex, Chembur, Mumbai, Maharashtra 400074, India</t>
  </si>
  <si>
    <t>Tulum Coffee Bar - Chembur</t>
  </si>
  <si>
    <t>KUKREJA ARCADE, 19th Rd, Chembur Gaothan, Chembur, Mumbai, Maharashtra 400071, India</t>
  </si>
  <si>
    <t>The Bread Bar</t>
  </si>
  <si>
    <t>Unit No. 2 and 3, Shah Industrial Estate, Deonar, Chembur, Mumbai, Maharashtra 400088, India</t>
  </si>
  <si>
    <t>Cafenately Coffee - Chembur</t>
  </si>
  <si>
    <t>Shop No. 3, Coral Classic Commercial Complex, 20th Rd, Chembur Gaothan, Chembur, Mumbai, Maharashtra 400071, India</t>
  </si>
  <si>
    <t>Chembur cafe &amp; Hotel</t>
  </si>
  <si>
    <t>Ramakrishna Chemburkar Marg, opp. jama masjid, Ashok Nagar, Collector Colony, Chembur, Mumbai, Maharashtra 400074, India</t>
  </si>
  <si>
    <t>Gregâ€™s Cafe</t>
  </si>
  <si>
    <t>Shop No. 102, 1st Floor, Yash Signature, the main road, opp. Telecom Factory Road, CHS, Deonar, On, Mumbai, Maharashtra 400088, India</t>
  </si>
  <si>
    <t>Ground Floor, Vasudev Bhavan, 10th Road, Near, DK Sandu Marg, opposite Chembur Post office, Chembur, Mumbai, Maharashtra 400071, India</t>
  </si>
  <si>
    <t>Kerala Cafe</t>
  </si>
  <si>
    <t>VN Purav Marg, next to Naturals Ice Cream, Diamond Garden, Chembur, Mumbai, Maharashtra 400071, India</t>
  </si>
  <si>
    <t>Chembur SOCIAL</t>
  </si>
  <si>
    <t>CG Rd Natraj Compound, Near, Chatrapati Shivaji Maharaj Chowk, Union Park, Chembur, Mumbai, Maharashtra 400074, India</t>
  </si>
  <si>
    <t>Cafe Old Friends</t>
  </si>
  <si>
    <t>Shop No. 26, Pink Corner, Nichaldas Market, Sindhi Society, Chembur, Mumbai, Maharashtra 400071, India</t>
  </si>
  <si>
    <t>Shop no 4, Fairlawn CHS, VN Purav Marg, opp. K Star Mall, near Near Bank of Baroda, Dreamland Society, Borla, Union Park, Chembur, Mumbai, Maharashtra 400071, India</t>
  </si>
  <si>
    <t>Bean Kaffee</t>
  </si>
  <si>
    <t>Shop no.5, Bldg no.10, Durga Sadan, Society, Chembur West, Tilak Nagar, Chembur, Mumbai, Maharashtra 400089, India</t>
  </si>
  <si>
    <t>Shop No 1, Garden Apartment, opp. K Star Mall, Dreamland Society, Borla, Union Park, Chembur, Mumbai, Maharashtra 400071, India</t>
  </si>
  <si>
    <t>The East End Deli</t>
  </si>
  <si>
    <t>Plot No, 70C, Central Ave Rd, Mahadeo Wadi, Chembur Gaothan, Chembur, Mumbai, Maharashtra 400071, India</t>
  </si>
  <si>
    <t>Bloom Cafe</t>
  </si>
  <si>
    <t>Shop 4, Bldg no 5, Matruchaya C.H.S, opposite Universal school, Gulshan Baug, Chembur West, Tilak Nagar, Chembur, Mumbai, Maharashtra 400089, India</t>
  </si>
  <si>
    <t>opposite Fine arts, Chembur Gaothan, Chembur, Mumbai, Maharashtra 400071, India</t>
  </si>
  <si>
    <t>Karma Sheesha and Restaurant, Chembur</t>
  </si>
  <si>
    <t>2nd Floor, Hotel Bahri Residency, Sion - Trombay Rd, near Diamond Garden, Dreamland Society, Borla, Union Park, Chembur, Mumbai, Maharashtra 400071, India</t>
  </si>
  <si>
    <t>The Art Cafe</t>
  </si>
  <si>
    <t>Bldg no 15 , shop no 9, 89, Chembur West, Tilak Nagar, Chembur, Mumbai, Maharashtra 400089, India</t>
  </si>
  <si>
    <t>THE AMORE CAFE</t>
  </si>
  <si>
    <t>The Amore Cafe, Ganesh Estate Agency, CG Rd, near Golf Club, Chembur Camp, Indira Nagar, Chembur, Mumbai, Maharashtra 400074, India</t>
  </si>
  <si>
    <t>Ground Floor, Patil Villa Building, Sion - Trombay Rd, Chembur, Mumbai, Maharashtra 400088, India</t>
  </si>
  <si>
    <t>Coffee Capital</t>
  </si>
  <si>
    <t>Monorail Pillar No. 20, Hub Town Seasons, A-4, Ramakrishna Chemburkar Marg, near Jain Temple, Postal Colony, Chembur, Mumbai, Maharashtra 400071, India</t>
  </si>
  <si>
    <t>R S Mani Cafe</t>
  </si>
  <si>
    <t>Shop no13&amp;14, Rajkamal bldg, Tilak Nagar, Chembur, Mumbai-89, Mumbai, Maharashtra 400089, India</t>
  </si>
  <si>
    <t>Dessert Cloud</t>
  </si>
  <si>
    <t>CG Road, Next to Raj Restaurant Opposite Hira Stores, behind Krishna Restaurant, Chembur Camp, Mumbai, Maharashtra 400074, India</t>
  </si>
  <si>
    <t>Nxt-Lvl All day : chembur</t>
  </si>
  <si>
    <t>V N, VN Purav Marg, next to R K Studio, Union Park, Chembur, Mumbai, Maharashtra 400071, India</t>
  </si>
  <si>
    <t>Blend N Brew</t>
  </si>
  <si>
    <t>70, Central Ave Rd, Near Ambedkar Garden, Chembur Gaothan, Chembur, Mumbai, Maharashtra 400071, India</t>
  </si>
  <si>
    <t>PN 57, Gr&amp;1st Flr, Girivan Pristino Bldg Sy No 961 A, Road No 19, Kurla, Chembur, Mumbai, Maharashtra 400071, India</t>
  </si>
  <si>
    <t>Paan world cafe</t>
  </si>
  <si>
    <t>CG Rd, near Kings snacks and bar, Camp(E), Chembur Colony, Chembur, Mumbai, Maharashtra 400074, India</t>
  </si>
  <si>
    <t>Theobroma Bakery and Cake Shop - Chembur, Mumbai</t>
  </si>
  <si>
    <t>Shop No. 20 &amp; 21, Sri Sunder Co-op Hsg Soc Ltd V. N. Purav Marg, Sion - Trombay Rd, opp. Diamond Garden, near Saraswat Bank, Chembur, Mumbai, Maharashtra 400071, India</t>
  </si>
  <si>
    <t>Cafe Amar</t>
  </si>
  <si>
    <t>Cafe Amar, Amar Cinema Compound, W. T. P. Marg, Ghatla, Chembur, Mumbai, Maharashtra 400071, India</t>
  </si>
  <si>
    <t>Hashtag Kulhad</t>
  </si>
  <si>
    <t>Shop no 17, Pink Corner, Nichaldas Market, Sindhi Society, Chembur, Mumbai, Maharashtra 400071, India</t>
  </si>
  <si>
    <t>Spice Laundry</t>
  </si>
  <si>
    <t>1st floor, Amul commercial society Ltd, E, Rd No. 1, opp. BMC Office, Chembur Gaothan, Chembur, Mumbai, Maharashtra 400071, India</t>
  </si>
  <si>
    <t>Mist cafe and lounge</t>
  </si>
  <si>
    <t>Shop no 14, Pestom Sagar Rd Number 4, opposite khushal tower, Chembur West, Pestom Sagar Colony, Chembur, Mumbai, Maharashtra 400089, India</t>
  </si>
  <si>
    <t>Hemu Kalani Marg, beside Wasan Toyota, Sindhi Society, Chembur, Mumbai, Maharashtra 400071, India</t>
  </si>
  <si>
    <t>cafe quba</t>
  </si>
  <si>
    <t>1, PL Lokhande Marg, Bhim wadhi, New Gautam Nagar, Govandi East, Mumbai, Maharashtra 400043, India</t>
  </si>
  <si>
    <t>Coffee TakeAway</t>
  </si>
  <si>
    <t>MS Bldg No 22, Flat 768, Ground Floor Hari Om Co-op Housing Society, opposite Vijay General Store, Chembur Colony, Mumbai, Maharashtra 400074, India</t>
  </si>
  <si>
    <t>Cafe Udipi</t>
  </si>
  <si>
    <t>72, HIRA BAUG, STATIO, opp. CANARA BANK, Chembur, Mumbai, Maharashtra 400071, India</t>
  </si>
  <si>
    <t>Shop Number 4, Vasinaka, Ramakrishna Chemburkar Marg, Chembur, Mumbai, Maharashtra 400074, India</t>
  </si>
  <si>
    <t>Sukoon parlour</t>
  </si>
  <si>
    <t>3W96+233 G.M. Link Road Jay Ambe Nagar, Chembur West, Akruti Rising City, Mumbai, Maharashtra 400089, India</t>
  </si>
  <si>
    <t>Crazy for chai| Best Cafe In Tilaknagar | Fast Food Joint | Best Chai Spot</t>
  </si>
  <si>
    <t>Shop No.6, Building Number 15, Sarva Mangal CHS, opposite Sahyadri Grounds, Chembur West, Tilak Nagar, Chembur, Mumbai, Maharashtra 400089, India</t>
  </si>
  <si>
    <t>Kyros Cafe</t>
  </si>
  <si>
    <t>Ghatkopar - Mahul Rd, opposite KRUSHAL TOWERS, near Bharat Petrol Pump, Chembur West, Pestom Sagar Colony, Chembur, Mumbai, Maharashtra 400089, India</t>
  </si>
  <si>
    <t>Yewale Amruttulya</t>
  </si>
  <si>
    <t>Central Ave Rd, Chembur Gaothan, Chembur, Mumbai, Maharashtra 400071, India</t>
  </si>
  <si>
    <t>Just One More Game (The Gaming Cafe)</t>
  </si>
  <si>
    <t>Shop no. 28, Nichaldas market, Sindhi Society, Chembur, Mumbai, Maharashtra 400071, India</t>
  </si>
  <si>
    <t>CAFE ALVI</t>
  </si>
  <si>
    <t>baigan wadi, Jeejabai Bhosale Marg, Govandi Slums, Raman Mama Nagar, Govandi East, Mumbai, Maharashtra 400043, India</t>
  </si>
  <si>
    <t>We &amp; Our Ventures (Cafenately Coffee - Head Office)</t>
  </si>
  <si>
    <t>Hirabaug Kamawadi, Sion - Trombay Rd, opp. Radio Bar, Chembur, Mumbai, Maharashtra 400088, India</t>
  </si>
  <si>
    <t>The Cafe Hangout</t>
  </si>
  <si>
    <t>Opp Ranjeet Daa Dhaba, Sattu's Lane Dr.C.G.Road, Chembur Colony, Mumbai, Maharashtra 400074, India</t>
  </si>
  <si>
    <t>FREEZEIT</t>
  </si>
  <si>
    <t>Trishul Bunglows, Sindhi Society Rd Number 1, Sector 44A, Sindhi Society, Chembur, Mumbai, Maharashtra 400071, India</t>
  </si>
  <si>
    <t>abCoffee Chembur</t>
  </si>
  <si>
    <t>Grey Craving, next to MG Motors, Union Park, Chembur, Mumbai, Maharashtra 400074, India</t>
  </si>
  <si>
    <t>Tirumala cafe</t>
  </si>
  <si>
    <t>3V3W+HG4, Sion - Trombay Rd, Jai Ambe Nagar, Chembur Gaothan, Chembur, Mumbai, Maharashtra 400071, India</t>
  </si>
  <si>
    <t>Sion</t>
  </si>
  <si>
    <t>The cafe club</t>
  </si>
  <si>
    <t>Plot no 109, Laxmi Bhavan, Building Opp Budda Buddi Garden, Sies College Of Arts, Science &amp; Commerce, near old, Sion, Maharashtra 400022, India</t>
  </si>
  <si>
    <t>Brasserie 1935 Kitchen &amp; Bar</t>
  </si>
  <si>
    <t>Building No 2, 1/1, Rd Number 29, opposite Croma showroom, Namdev Koli Marg, Sion, Mumbai, Sion Koliwada, Maharashtra 400022, India</t>
  </si>
  <si>
    <t>Hardeep Punjab (Sion Koliwada)</t>
  </si>
  <si>
    <t>Om Shiv Shakti, GTB Nagar JK Bhasin Marg, Sion Koliwada, opposite Building No.1, G.T.B.Nagar, Sector V, Sion East, Antop Hill, Mumbai, Maharashtra 400037, India</t>
  </si>
  <si>
    <t>New Madras Lunch Home</t>
  </si>
  <si>
    <t>R V Building, Rd No 1, near Sion Railway Station, Sion Railway Colony, Sion West, Sion, Mumbai, Maharashtra 400022, India</t>
  </si>
  <si>
    <t>Sion Lunch Home</t>
  </si>
  <si>
    <t>11, Harak Niwas, near Railway Station, Sion Railway Colony, Sion East, Mumbai, Maharashtra 400022, India</t>
  </si>
  <si>
    <t>Cafe Vrindavan</t>
  </si>
  <si>
    <t>Shop No 22, Indra Market, opp. Sion Post Office, Sindhi Colony, Sion, Mumbai, Maharashtra 400022, India</t>
  </si>
  <si>
    <t>Food</t>
  </si>
  <si>
    <t>Shop No.7, Pratiksha Nagar Rd, near mala garden, Pratikhsha Nagar, Sion East, Sion, Mumbai, Maharashtra 400022, India</t>
  </si>
  <si>
    <t>Central Peninsula</t>
  </si>
  <si>
    <t>Shop No. 88, Near Samsung Showroom, Satyam Shivam Sundaram Building Road No 28 B, Sion Cir, Mumbai, Maharashtra 400022, India</t>
  </si>
  <si>
    <t>Peninsula</t>
  </si>
  <si>
    <t>118, Thomas Villa Opp. Cine Planet (Rupam Cinema, Sion East, Mumbai, Maharashtra 400022, India</t>
  </si>
  <si>
    <t>Hanuman Veg Restaurant</t>
  </si>
  <si>
    <t>7, Rupam Building, Sion Cir, near Movie Max Theatre, Sion East, Sion, Mumbai, Maharashtra 400022, India</t>
  </si>
  <si>
    <t>A1 Samosa</t>
  </si>
  <si>
    <t>5A-5, Rd Number 24, West, opposite to Gurukripa, Sindhi Colony, Sion, Mumbai, Maharashtra 400022, India</t>
  </si>
  <si>
    <t>New Cuffe Parade Social</t>
  </si>
  <si>
    <t>Vios Tower, Bus Depot, Sewri - Chembur Rd, off Eastern Express Highway, near Anik Nagar, Sion, Mumbai, Maharashtra 400037, India</t>
  </si>
  <si>
    <t>The Central Bistro</t>
  </si>
  <si>
    <t>Kalpak Estate, Antop Hill, Mumbai, Maharashtra 400037, India</t>
  </si>
  <si>
    <t>Messy Addaa</t>
  </si>
  <si>
    <t>Shivaji Nagar Housing Society, 19, Bhaudaji Rd, opp. Mindas Tower, W, Sion, Mumbai, Maharashtra 400022, India</t>
  </si>
  <si>
    <t>Jagdish family restaurant &amp; bar</t>
  </si>
  <si>
    <t>Plot no. 249, Kripa Niwas, Sion, Mumbai, Maharashtra 400022, India</t>
  </si>
  <si>
    <t>Thaggu cafe</t>
  </si>
  <si>
    <t>shop No 2, Gajanan Chaya Building, 3, VN Purav Marg, Samarth Nagar, Chunabhatti, Sion, Mumbai, Maharashtra 400022, India</t>
  </si>
  <si>
    <t>Sardar Paya House (Papu Payawala)</t>
  </si>
  <si>
    <t>Shop U.A.C 20, near building no. 01, Punjabi Camp, Sion Koliwada, Guru Teg Bahadur Nagar, Sion, Mumbai, Maharashtra 400037, India</t>
  </si>
  <si>
    <t>Sion Irani</t>
  </si>
  <si>
    <t>Sion West, Sion, Mumbai, Maharashtra 400022, India</t>
  </si>
  <si>
    <t>McDonald's</t>
  </si>
  <si>
    <t>SN 09, Plot No 1A, Basant Court CHS Ltd Sion, opposite Sion Railway, Station, Mumbai, Maharashtra 400603, India</t>
  </si>
  <si>
    <t>Gurukrupa Sandwich</t>
  </si>
  <si>
    <t>TV Chidambaran Marg, Sion East, Sion, Mumbai, Maharashtra 400022, India</t>
  </si>
  <si>
    <t>LevelUp The Next Gen Gaming Cafe</t>
  </si>
  <si>
    <t>Sion Bhagini Samaj, plot6/A, Rd Number 24, opp. gurukripa hotel, above Bank Of Baroda, Sion West, Sion, Mumbai, Maharashtra 400022, India</t>
  </si>
  <si>
    <t>Hotel Ganga Vihar Sion</t>
  </si>
  <si>
    <t>Indralay building, K Ozha Marg, Jain Society, Sion, Mumbai, Maharashtra 400022, India</t>
  </si>
  <si>
    <t>Oh My Tea</t>
  </si>
  <si>
    <t>Shop No. 12, Rameshwar Bhavan, Mahatma Gandhi Market, opp. Sri Shanmukhananda Chandrasekarendra Saraswathi Auditorium, Sion East, Sion, Mumbai, Maharashtra 400022, India</t>
  </si>
  <si>
    <t>Hazara Restaurant &amp; Bar</t>
  </si>
  <si>
    <t>Shop No:15, Hukumchand C, Julka Chowk, Koliwada, Guru Teg Bahadur Nagar, Sion, Mumbai, Maharashtra 400037, India</t>
  </si>
  <si>
    <t>Cafe kailas</t>
  </si>
  <si>
    <t>N S Mankikar road shop no 1 near Sion tank Mumbai 400022, Mumbai, Maharashtra 400022, India</t>
  </si>
  <si>
    <t>Chaayos Cafe at Lodha Wadala</t>
  </si>
  <si>
    <t>Ground floor, Off, Eastern freeway, near Wadala Truck terminal, Wadala, Mumbai, Maharashtra 400037, India</t>
  </si>
  <si>
    <t>Mani's Lunch Home</t>
  </si>
  <si>
    <t>Plot No 12, Near Sion Railway Station, Below Hotel Ashray International, Lohiya Nagar, Sion East, Mumbai, Maharashtra 400022, India</t>
  </si>
  <si>
    <t>Amrut Restaurant and Bar</t>
  </si>
  <si>
    <t>Dr Babasaheb Ambedkar Marg, opp. Gandhi Market, Sion Hospital Colony, Sion, Mumbai, Maharashtra 400022, India</t>
  </si>
  <si>
    <t>abCoffee Matunga</t>
  </si>
  <si>
    <t>M Parekh Marg, UDCT College, Shop No. 07, Ground Floor, Plot No. 164-166 Siddheya CHS, Nathalal Parekh Marg, Wadala, Mumbai, Maharashtra 400031, India</t>
  </si>
  <si>
    <t>OVEN PLUS BISTRO</t>
  </si>
  <si>
    <t>Anand Nagar Housing Society, Sion East, Sion, Mumbai, Maharashtra 400037, India</t>
  </si>
  <si>
    <t>Ram Ashraya</t>
  </si>
  <si>
    <t>Shop 3-6 ground floor, Jamnadas Mansion, bazar, Laxmi Narayan Ln, Matunga (C.R.), Matunga East, Mumbai, Maharashtra 400019, India</t>
  </si>
  <si>
    <t>Cafe Blue J</t>
  </si>
  <si>
    <t>Shop No 06, Devdarshan, Mogul Ln, Mahim West, Mahim, Mumbai, Maharashtra 400016, India</t>
  </si>
  <si>
    <t>Cafe Kokomo</t>
  </si>
  <si>
    <t>4, Pratap CHS Limited, Shivaji Road, Bridge, near Vakola, Santacruz East, Mumbai, Maharashtra 400055, India</t>
  </si>
  <si>
    <t>Santosh Beer Bar</t>
  </si>
  <si>
    <t>2VQ8+QWC, Hemant Manjrekar Rd, Sardar Nagar Number 1, K D Gaikwad Nagar, Sion East, Sion, Mumbai, Maharashtra 400022, India</t>
  </si>
  <si>
    <t>Shop No. 05, Mohanlal Mansion, Dr Babasaheb Ambedkar Marg, Kings Circle, Matunga East, Mumbai, Maharashtra 400019, India</t>
  </si>
  <si>
    <t>Chai Sutta Bar</t>
  </si>
  <si>
    <t>Radha Bhawan, 471, Matunga Cir, Matunga East, Mumbai, Maharashtra 400019, India</t>
  </si>
  <si>
    <t>The Forest Walas</t>
  </si>
  <si>
    <t>Shop No 8 &amp; 9, Pratiksha Nagar, Flank Rd W, opposite to Baba Ramdevji CHS, Sion Koliwada, Mumbai, Maharashtra 400022, India</t>
  </si>
  <si>
    <t>Sion Restaurant and Stores</t>
  </si>
  <si>
    <t>Sion Mansion, Shop No. 3 &amp; 4, Sion Main Rd, Sion, Mumbai, Maharashtra 400022, India</t>
  </si>
  <si>
    <t>Hotel Ramdev</t>
  </si>
  <si>
    <t>Basant Court Building, Plot No.1A, Ground Floor, Opposite Sion Railway, Station, Sion West, Mumbai, Maharashtra 400022, India</t>
  </si>
  <si>
    <t>Himalaya Restaurant</t>
  </si>
  <si>
    <t>Meghdoot, Shop No. 12, 283, Flank Rd, Sion East, Sion, Mumbai, Maharashtra 400022, India</t>
  </si>
  <si>
    <t>Street 528</t>
  </si>
  <si>
    <t>1, Owner's Colony, near Canara Bank, Anand Nagar Housing Society, Guru Teg Bahadur Nagar, Sion, Sion Koliwada, Mumbai, Maharashtra 400037, India</t>
  </si>
  <si>
    <t>Thane</t>
  </si>
  <si>
    <t>The Happyy Cup Cafe, Thane</t>
  </si>
  <si>
    <t>Shop no. 5, A Parampara, Cosmos Heritage, Manpada, Thane West, Thane, Maharashtra 400607, India</t>
  </si>
  <si>
    <t>Cafe Amigos</t>
  </si>
  <si>
    <t>12, Sunrise Shopping Complex, Behind Hiranandani Meadows, Off Ghodbunder Road, Manpada, Thane West, Thane, Maharashtra 400610, India</t>
  </si>
  <si>
    <t>Love Leaf Cafe</t>
  </si>
  <si>
    <t>The Thane Club, Mohan Koppikar Road, Teen Hath Naka Flyover, opposite Raheja Garden, Thane, Maharashtra 400601, India</t>
  </si>
  <si>
    <t>Love &amp; Latte Thane</t>
  </si>
  <si>
    <t>Shop 17&amp; 18, Ground Flr, Krishna Tower, Sita vihar Chs, Lal Bahadur Shastri Marg, Near, Teen Hath Naka Flyover, Vishnu Nagar, Thane, Maharashtra 400602, India</t>
  </si>
  <si>
    <t>Brunch Bar Cafe</t>
  </si>
  <si>
    <t>Unique Vistas, Neelkanth Grns Rd, opposite Satyam Ford Service Center, Manpada, Thane, Maharashtra 400607, India</t>
  </si>
  <si>
    <t>Chai Yaari</t>
  </si>
  <si>
    <t>Shop No:- 10, Vijay Galaxy Apartment, Waghbil Naka Flyover, Anu Nagar, Vijay Nagari, Thane West, Thane, Maharashtra 400607, India</t>
  </si>
  <si>
    <t>The Chocolate Bar</t>
  </si>
  <si>
    <t>Jambhali Naka,The Chocolate Bar, beside Bhavana Hotel, Talav Pali, Thane West, Maharashtra 400601, India</t>
  </si>
  <si>
    <t>FRUITANIC</t>
  </si>
  <si>
    <t>Kolshet, khadi, Thane, Maharashtra 400607, India</t>
  </si>
  <si>
    <t>Lake Woods Cafe (LWC) | Best Cafe in Thane | Best Restaurants in Thane | Best Restaurants Near Me | Best Cafe Near Me</t>
  </si>
  <si>
    <t>Plot No. 40, Mahesh Smruti, near Brahman Sabha Hall, opp. Talav Pali, Thane, Maharashtra 400601, India</t>
  </si>
  <si>
    <t>Coffee Culture - The Ristorante Lounge , Thane</t>
  </si>
  <si>
    <t>Shop no.14, Coffee Culture, Pokharan Rd Number 2, Swastik Garden, Thane West, Thane, Mumbai, Maharashtra 400610, India</t>
  </si>
  <si>
    <t>Samvene The Bagel Cafe (Panchpakadi, Thane)</t>
  </si>
  <si>
    <t>Meenatai Thakre Rd, opp. Sripal complex, Bhakti Mandir, Panch Pakhdi, Thane West, Thane, Maharashtra 400602, India</t>
  </si>
  <si>
    <t>Cafe Buddyâ€™s Espresso- Best Cafe in Thane</t>
  </si>
  <si>
    <t>HIRANANDANI MEADOWS, Sunrise Shopping Centre, near Hyde Park, Thane, Maharashtra 400610, India</t>
  </si>
  <si>
    <t>Cafe Holiday Thane</t>
  </si>
  <si>
    <t>Ground Floor, Centrum IT Park, Plot NO 3, SG Barve Rd, Thane West, Thane, Maharashtra 400604, India</t>
  </si>
  <si>
    <t>The Bermuda Triangle Cafe</t>
  </si>
  <si>
    <t>CHS, Shop No. 1 Brentford, Hiranandani Estate, Thane West, Thane, Maharashtra 400607, India</t>
  </si>
  <si>
    <t>Cafe Rasna Buzz Thane</t>
  </si>
  <si>
    <t>Cadbury Junction, Hans Nagar, Thane West, Thane, Maharashtra 400601, India</t>
  </si>
  <si>
    <t>Thhikana cafe</t>
  </si>
  <si>
    <t>HIRANANDANI MEADOWS, Shop no. 26, G-floor Block no. 3, Emerald Plaza, Market, opp. currae speciality clinic, Mumbai, Maharashtra 421204, India</t>
  </si>
  <si>
    <t>Kill No Kalorie</t>
  </si>
  <si>
    <t>Kulkarni CHS, Ghantali Devi Rd, near Sai Baba Mandir, Naupada, Thane West, Thane, Maharashtra 400602, India</t>
  </si>
  <si>
    <t>Aromas Cafe</t>
  </si>
  <si>
    <t>Shop No.04, The Walk High Street, Atlanta Shopping Centre Hiranandani Estate Road Hiranandani Estate, Patlipada, Thane West, Thane, Maharashtra 400607, India</t>
  </si>
  <si>
    <t>Irani Chaiko's</t>
  </si>
  <si>
    <t>Shop No. 1, Ashar Belleza, Rd Number 16, near Ashar IT park, Brodma, Neheru Nagar, Wagle Industrial Estate, Thane West, Thane, Maharashtra 400604, India</t>
  </si>
  <si>
    <t>Manis Cafe</t>
  </si>
  <si>
    <t>Veer Baji Prabhu Deshpande Rd, Naupada, Thane West, Thane, Maharashtra 400602, India</t>
  </si>
  <si>
    <t>Cafe Hawaii Kona</t>
  </si>
  <si>
    <t>Shop no 13, Sita Vihar Complex Lal Bahadur Shastri Marg, Teen Hath Naka Flyover, Thane, Maharashtra 400602, India</t>
  </si>
  <si>
    <t>Viviana Mall, Service Road, Eastern Express Hwy, Thane West, Thane, Maharashtra 400601, India</t>
  </si>
  <si>
    <t>The One Storyy Bistro</t>
  </si>
  <si>
    <t>Shop no.5, Vikas Shopping Complex, Lalbahadur Shashtri Marg, Meenatai Thakrey Chowk, near Meenatai Thakrey Chowk, Uthalsar, Thane, Maharashtra 400601, India</t>
  </si>
  <si>
    <t>Mojito Cafe</t>
  </si>
  <si>
    <t>Plot No, 253, Ghodbunder Rd, beside R Mall, Manorama Nagar, Thane West, Thane, Maharashtra 400607, India</t>
  </si>
  <si>
    <t>Blue Tokai Coffee Roasters | Acme Ozone</t>
  </si>
  <si>
    <t>Shop No 5, Ground Floor And Basement, Acme Ozone, Khewra Circle, Manpada, Thane West, Mumbai, Maharashtra, India</t>
  </si>
  <si>
    <t>Peach Tree Cafe</t>
  </si>
  <si>
    <t>HIRANANDANI MEADOWS, Emerald Plaza, Shop no.16, Block no. - 1, Thane, Maharashtra 400607, India</t>
  </si>
  <si>
    <t>D'CREPES CAFE</t>
  </si>
  <si>
    <t>Shop no.2, Avila Building, Ghodbunder Rd, next to The Walk, near HDFC Bank, Hiranandani Estate, Thane West, Thane, Maharashtra 400607, India</t>
  </si>
  <si>
    <t>Cafe Relish Meadows</t>
  </si>
  <si>
    <t>Shop 1, Celio Shopping Centre, HIRANANDANI MEADOWS, Pokharan Rd Number 2, Manpada, Thane West, Thane, Maharashtra 400610, India</t>
  </si>
  <si>
    <t>Shop no. 21, 22. Block No. 1, Emerald Plaza, HIRANANDANI MEADOWS, Gladys Alwares Rd, behind Saraswat Bank, Manpada, Thane West, Thane, Maharashtra 400610, India</t>
  </si>
  <si>
    <t>RATS Bikers CafÃ©</t>
  </si>
  <si>
    <t>RATS Pit Stop, Ram Mandir Road, off Ghodbunder Service Road, next to Kasarvadavali, Bhawani Nagar, Kasarvadavali, Thane West, Thane, Maharashtra 400615, India</t>
  </si>
  <si>
    <t>Blue Tokai Coffee Roasters | Hiranandani Estate</t>
  </si>
  <si>
    <t>Shop No S-03, Ground Floor, Quantum Building, Ghodbunder Road, Central Ave, Hiranandani Estate, Thane West, Thane, Maharashtra 400607, India</t>
  </si>
  <si>
    <t>Teapsy Cafe</t>
  </si>
  <si>
    <t>HIRANANDANI MEADOWS, Shop C6, Greenwood Complex, Apricot Road, Vidhyapith, Service Rd, near RK Motor, Thane, Maharashtra 400610, India</t>
  </si>
  <si>
    <t>CAFE DEZIRE</t>
  </si>
  <si>
    <t>Opposite Thane Jilha Sahakari Bank Mantri plot, Shivaji Path, Thane Station Rd, W, Thane, Maharashtra 400601, India</t>
  </si>
  <si>
    <t>Ground Floor, Hiranandani Estate Rd, Hiranandani Estate, Thane West, Thane, Maharashtra 400607, India</t>
  </si>
  <si>
    <t>Bean Theory Coffee</t>
  </si>
  <si>
    <t>HIRANANDANI MEADOWS, Emerald Plaza, Shop 12, Block 3, Thane West, Thane, Maharashtra 400607, India</t>
  </si>
  <si>
    <t>Frusion - Pressery &amp; Cafe</t>
  </si>
  <si>
    <t>Shop No.6, Gladys Alwares Rd, next to Dogs world India, near Khewra Circle Marg, Hill Garden, Manpada, Thane West, Thane, Maharashtra 400607, India</t>
  </si>
  <si>
    <t>Off, Eastern Express Hwy, Laxmi Nagar, Thane West, Thane, Maharashtra 400606, India</t>
  </si>
  <si>
    <t>Cafe BunTea</t>
  </si>
  <si>
    <t>Shop no.7, Unique Vistas Rd, near Mahabi, Patlipada, Thane West, Thane, Maharashtra 400607, India</t>
  </si>
  <si>
    <t>Gen z- cafe</t>
  </si>
  <si>
    <t>Shop No. 7 Ezzi Co Op Housing Society Opp Dmart Dokali, Kolshet Rd, Kailash Nagar, Thane, Maharashtra 400607, India</t>
  </si>
  <si>
    <t>Umami Cafe</t>
  </si>
  <si>
    <t>Shop 5, BUILDING-4, Cosmos Hills, Pokharan Rd Number 1, opposite Bombay dock restaurant, Upvan, Saptgiri, Thane, Maharashtra 400606, India</t>
  </si>
  <si>
    <t>Captain Cool</t>
  </si>
  <si>
    <t>Shop No.4, Giri Heaven CHS. LTD, near, Hariniwas Cir, Naupada, Thane West, Thane, Maharashtra 400602, India</t>
  </si>
  <si>
    <t>Cafe tiya (Thane)</t>
  </si>
  <si>
    <t>Shop-7, Shivai Nagar Circle, Opposite Salt n Pepper, Pokharan Rd Number 1, Vartak Nagar, Thane West, Thane, Mumbai, Maharashtra 400606, India</t>
  </si>
  <si>
    <t>Cafe Anecdote</t>
  </si>
  <si>
    <t>Shop No. 4, Mezzanine Floor, Amrapali Arcade, opp. Jasmine Tower, opposite Vasant Vihar High School &amp; Junior College, Vasant Vihar, Thane West, Thane, Maharashtra 400610, India</t>
  </si>
  <si>
    <t>Lets Chill Cafe</t>
  </si>
  <si>
    <t>Shop no 3, Sai sadan Bungalow, Wagle Estate, Shree Nagar, Thane, Maharashtra 400604, India</t>
  </si>
  <si>
    <t>Cafe India Restaurant</t>
  </si>
  <si>
    <t>Masan Wada, Azad Nagar, Thane West, Thane, Maharashtra 400601, India</t>
  </si>
  <si>
    <t>HIRANANDANI MEADOWS, Pokhran Road, beside Star Bazaar, Manpada, Thane West, Thane, Maharashtra 400609, India</t>
  </si>
  <si>
    <t>No. S/2, The Walk Mall, beside KFC, Hiranandani Estate, Thane West, Thane, Mumbai, Maharashtra 400607, India</t>
  </si>
  <si>
    <t>Thane SOCIAL</t>
  </si>
  <si>
    <t>SF-32, Second Floor, Viviana Mall, Eastern Express Hwy Tenant Space, Thane West, Thane, Maharashtra 400601, India</t>
  </si>
  <si>
    <t>Loud 9 Cafe n Lounge</t>
  </si>
  <si>
    <t>7, Uthalsar Naka, Uthalsar, Thane West, Thane, Maharashtra 400601, India</t>
  </si>
  <si>
    <t>Chaayos Cafe at The Walk</t>
  </si>
  <si>
    <t>The Walk, Hiranandani Estate, Thane West, Thane, Maharashtra 400607, India</t>
  </si>
  <si>
    <t>MUMBAI CAFE, Pure Veg</t>
  </si>
  <si>
    <t>Shop No.10, Soham Plaza, Ghodbunder Rd, nr. Manpada Flyover, Manpada Flyover, Manpada, Thane West, Thane, Maharashtra 400610, India</t>
  </si>
  <si>
    <t>Cafe kp</t>
  </si>
  <si>
    <t>shree mangal society, D-6, plot no.14, Savarkar Nagar, Thane West, Thane, Maharashtra 400606, India</t>
  </si>
  <si>
    <t>Samvene The Bagel Cafe (Hiranandani Meadows)</t>
  </si>
  <si>
    <t>Block 2, Gate No. 3, HIRANANDANI MEADOWS, Shop No. 18, Emerald Plaza, Thane West, Thane, Maharashtra 400610, India</t>
  </si>
  <si>
    <t>Chaayos Cafe - Viviana Mall, Thane</t>
  </si>
  <si>
    <t>Unit No 39, FF, Viviana Mall, Laxmi Nagar, Thane West, Thane, Maharashtra 400606, India</t>
  </si>
  <si>
    <t>abCoffee Thane Kolshet</t>
  </si>
  <si>
    <t>Shop No. 2, Jangid Heights CHS, next to Cinemax, Kapurbawdi, Thane West, Thane, Maharashtra 400601, India</t>
  </si>
  <si>
    <t>195, Dr Moose Marg, Ghantali, Thane West, Thane, Maharashtra 400602, India</t>
  </si>
  <si>
    <t>Coffee Toffee</t>
  </si>
  <si>
    <t>Chaitanya Tower, Dada Patil Marg, Dada Patil Wadi, Shivaji Nagar, Thane West, Thane, Maharashtra 400602, India</t>
  </si>
  <si>
    <t>Parsik cafe</t>
  </si>
  <si>
    <t>Shop No.02, kavesar, opp. Rosa Manhattan, Hiranandani Estate, waghbil, Thane, Maharashtra 400615, India</t>
  </si>
  <si>
    <t>Aroma Chai &amp; Snacks Cafe (Thane)</t>
  </si>
  <si>
    <t>Shop No.3, Shalimar CHS, Tulsi Chawk, Thane East, Thane, Maharashtra 400603, India</t>
  </si>
  <si>
    <t>Popularity Score</t>
  </si>
  <si>
    <t>Estimated Monthly Visitors</t>
  </si>
  <si>
    <t>Average Spend</t>
  </si>
  <si>
    <t>Estimated Revenue</t>
  </si>
  <si>
    <t>Cafe Category</t>
  </si>
  <si>
    <t>Total Cafes</t>
  </si>
  <si>
    <t>Average Rating</t>
  </si>
  <si>
    <t>Total Reviews</t>
  </si>
  <si>
    <t>Row Labels</t>
  </si>
  <si>
    <t>Grand Total</t>
  </si>
  <si>
    <t>Cafes By Area</t>
  </si>
  <si>
    <t>Avg Rating by Area</t>
  </si>
  <si>
    <t>Estimated Revenue by Area</t>
  </si>
  <si>
    <t>Revenue by Area</t>
  </si>
  <si>
    <t>Average</t>
  </si>
  <si>
    <t>Popular</t>
  </si>
  <si>
    <t>Premium</t>
  </si>
  <si>
    <t>Cafes by Area</t>
  </si>
  <si>
    <t>Cafe Category Distribution</t>
  </si>
  <si>
    <t>Sum of Popularity Score</t>
  </si>
  <si>
    <t>Top 10 Cafe</t>
  </si>
  <si>
    <t>Average Reviews per Cafe</t>
  </si>
  <si>
    <t>Average of Total Ratings</t>
  </si>
  <si>
    <t>Average Customer Rating by Area</t>
  </si>
  <si>
    <t>MUMBAI CAFE MARKET ANALYSIS DASHBOARD</t>
  </si>
  <si>
    <r>
      <rPr>
        <b/>
        <sz val="18"/>
        <color theme="1"/>
        <rFont val="Calibri"/>
        <family val="2"/>
        <scheme val="minor"/>
      </rPr>
      <t>Key Insights :</t>
    </r>
    <r>
      <rPr>
        <i/>
        <sz val="18"/>
        <color theme="1"/>
        <rFont val="Calibri"/>
        <family val="2"/>
        <scheme val="minor"/>
      </rPr>
      <t xml:space="preserve"> Mumbai's cafe market appears healthy and consistently well-rated, with an average customer rating of 4.34 across 1,200 cafes. Revenue generation varies significantly between areas, indicating differences in market activity and customer demand. The scatter plot shows a very weak relationship between ratings and review volume (R² = 0.011), suggesting that </t>
    </r>
    <r>
      <rPr>
        <i/>
        <u/>
        <sz val="18"/>
        <color theme="1"/>
        <rFont val="Calibri"/>
        <family val="2"/>
        <scheme val="minor"/>
      </rPr>
      <t>popularity is influenced by factors beyond customer ratings alone, such as location, visibility, and brand recognition.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</si>
</sst>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 #,##0.00"/>
    <numFmt numFmtId="165" formatCode="0.00,,&quot;M&quot;"/>
    <numFmt numFmtId="166" formatCode="&quot;₹&quot;0.0,,,&quot;B&quot;"/>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b/>
      <sz val="18"/>
      <color theme="1"/>
      <name val="Calibri"/>
      <family val="2"/>
      <scheme val="minor"/>
    </font>
    <font>
      <i/>
      <sz val="18"/>
      <color theme="1"/>
      <name val="Calibri"/>
      <family val="2"/>
      <scheme val="minor"/>
    </font>
    <font>
      <b/>
      <sz val="24"/>
      <color theme="0"/>
      <name val="Calibri"/>
      <family val="2"/>
      <scheme val="minor"/>
    </font>
    <font>
      <b/>
      <sz val="16"/>
      <color theme="0"/>
      <name val="Calibri"/>
      <family val="2"/>
      <scheme val="minor"/>
    </font>
    <font>
      <i/>
      <u/>
      <sz val="18"/>
      <color theme="1"/>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
      <patternFill patternType="solid">
        <fgColor theme="4" tint="0.39997558519241921"/>
        <bgColor indexed="64"/>
      </patternFill>
    </fill>
    <fill>
      <patternFill patternType="solid">
        <fgColor theme="8" tint="-0.249977111117893"/>
        <bgColor indexed="64"/>
      </patternFill>
    </fill>
    <fill>
      <patternFill patternType="solid">
        <fgColor theme="4" tint="-0.499984740745262"/>
        <bgColor indexed="64"/>
      </patternFill>
    </fill>
    <fill>
      <patternFill patternType="solid">
        <fgColor theme="7"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4" tint="-0.499984740745262"/>
      </left>
      <right/>
      <top style="thin">
        <color theme="4" tint="-0.499984740745262"/>
      </top>
      <bottom/>
      <diagonal/>
    </border>
    <border>
      <left/>
      <right style="thin">
        <color theme="4" tint="-0.499984740745262"/>
      </right>
      <top style="thin">
        <color theme="4" tint="-0.499984740745262"/>
      </top>
      <bottom/>
      <diagonal/>
    </border>
    <border>
      <left style="thin">
        <color theme="4" tint="-0.499984740745262"/>
      </left>
      <right/>
      <top/>
      <bottom/>
      <diagonal/>
    </border>
    <border>
      <left/>
      <right style="thin">
        <color theme="4" tint="-0.499984740745262"/>
      </right>
      <top/>
      <bottom/>
      <diagonal/>
    </border>
    <border>
      <left style="thin">
        <color theme="4" tint="-0.499984740745262"/>
      </left>
      <right/>
      <top/>
      <bottom style="thin">
        <color theme="4" tint="-0.499984740745262"/>
      </bottom>
      <diagonal/>
    </border>
    <border>
      <left/>
      <right/>
      <top/>
      <bottom style="thin">
        <color theme="4" tint="-0.499984740745262"/>
      </bottom>
      <diagonal/>
    </border>
    <border>
      <left/>
      <right style="thin">
        <color theme="4" tint="-0.499984740745262"/>
      </right>
      <top/>
      <bottom style="thin">
        <color theme="4" tint="-0.499984740745262"/>
      </bottom>
      <diagonal/>
    </border>
    <border>
      <left style="medium">
        <color theme="4" tint="-0.499984740745262"/>
      </left>
      <right/>
      <top style="thin">
        <color theme="4" tint="-0.499984740745262"/>
      </top>
      <bottom/>
      <diagonal/>
    </border>
    <border>
      <left/>
      <right style="medium">
        <color theme="4" tint="-0.499984740745262"/>
      </right>
      <top style="thin">
        <color theme="4" tint="-0.499984740745262"/>
      </top>
      <bottom/>
      <diagonal/>
    </border>
    <border>
      <left style="medium">
        <color theme="4" tint="-0.499984740745262"/>
      </left>
      <right/>
      <top/>
      <bottom style="thin">
        <color theme="4" tint="-0.499984740745262"/>
      </bottom>
      <diagonal/>
    </border>
    <border>
      <left/>
      <right style="medium">
        <color theme="4" tint="-0.499984740745262"/>
      </right>
      <top/>
      <bottom style="thin">
        <color theme="4" tint="-0.499984740745262"/>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4">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Alignment="1">
      <alignment horizontal="right"/>
    </xf>
    <xf numFmtId="2" fontId="0" fillId="0" borderId="0" xfId="0" applyNumberFormat="1"/>
    <xf numFmtId="164" fontId="0" fillId="0" borderId="0" xfId="0" applyNumberFormat="1"/>
    <xf numFmtId="0" fontId="16" fillId="0" borderId="0" xfId="0" applyFont="1"/>
    <xf numFmtId="0" fontId="18" fillId="0" borderId="0" xfId="0" applyFont="1"/>
    <xf numFmtId="0" fontId="0" fillId="0" borderId="0" xfId="0" applyNumberFormat="1"/>
    <xf numFmtId="0" fontId="21" fillId="34" borderId="14" xfId="0" applyFont="1" applyFill="1" applyBorder="1" applyAlignment="1">
      <alignment horizontal="center" vertical="center"/>
    </xf>
    <xf numFmtId="0" fontId="21" fillId="34" borderId="10" xfId="0" applyFont="1" applyFill="1" applyBorder="1" applyAlignment="1">
      <alignment horizontal="center" vertical="center"/>
    </xf>
    <xf numFmtId="0" fontId="21" fillId="34" borderId="15" xfId="0" applyFont="1" applyFill="1" applyBorder="1" applyAlignment="1">
      <alignment horizontal="center" vertical="center"/>
    </xf>
    <xf numFmtId="0" fontId="21" fillId="34" borderId="16" xfId="0" applyFont="1" applyFill="1" applyBorder="1" applyAlignment="1">
      <alignment horizontal="center" vertical="center"/>
    </xf>
    <xf numFmtId="0" fontId="21" fillId="34" borderId="0" xfId="0" applyFont="1" applyFill="1" applyBorder="1" applyAlignment="1">
      <alignment horizontal="center" vertical="center"/>
    </xf>
    <xf numFmtId="0" fontId="21" fillId="34" borderId="17" xfId="0" applyFont="1" applyFill="1" applyBorder="1" applyAlignment="1">
      <alignment horizontal="center" vertical="center"/>
    </xf>
    <xf numFmtId="0" fontId="21" fillId="34" borderId="18" xfId="0" applyFont="1" applyFill="1" applyBorder="1" applyAlignment="1">
      <alignment horizontal="center" vertical="center"/>
    </xf>
    <xf numFmtId="0" fontId="21" fillId="34" borderId="19" xfId="0" applyFont="1" applyFill="1" applyBorder="1" applyAlignment="1">
      <alignment horizontal="center" vertical="center"/>
    </xf>
    <xf numFmtId="0" fontId="21" fillId="34" borderId="20" xfId="0" applyFont="1" applyFill="1" applyBorder="1" applyAlignment="1">
      <alignment horizontal="center" vertical="center"/>
    </xf>
    <xf numFmtId="165" fontId="21" fillId="34" borderId="14" xfId="0" applyNumberFormat="1" applyFont="1" applyFill="1" applyBorder="1" applyAlignment="1">
      <alignment horizontal="center" vertical="center"/>
    </xf>
    <xf numFmtId="165" fontId="21" fillId="34" borderId="10" xfId="0" applyNumberFormat="1" applyFont="1" applyFill="1" applyBorder="1" applyAlignment="1">
      <alignment horizontal="center" vertical="center"/>
    </xf>
    <xf numFmtId="165" fontId="21" fillId="34" borderId="15" xfId="0" applyNumberFormat="1" applyFont="1" applyFill="1" applyBorder="1" applyAlignment="1">
      <alignment horizontal="center" vertical="center"/>
    </xf>
    <xf numFmtId="165" fontId="21" fillId="34" borderId="16" xfId="0" applyNumberFormat="1" applyFont="1" applyFill="1" applyBorder="1" applyAlignment="1">
      <alignment horizontal="center" vertical="center"/>
    </xf>
    <xf numFmtId="165" fontId="21" fillId="34" borderId="0" xfId="0" applyNumberFormat="1" applyFont="1" applyFill="1" applyBorder="1" applyAlignment="1">
      <alignment horizontal="center" vertical="center"/>
    </xf>
    <xf numFmtId="165" fontId="21" fillId="34" borderId="17" xfId="0" applyNumberFormat="1" applyFont="1" applyFill="1" applyBorder="1" applyAlignment="1">
      <alignment horizontal="center" vertical="center"/>
    </xf>
    <xf numFmtId="165" fontId="21" fillId="34" borderId="18" xfId="0" applyNumberFormat="1" applyFont="1" applyFill="1" applyBorder="1" applyAlignment="1">
      <alignment horizontal="center" vertical="center"/>
    </xf>
    <xf numFmtId="165" fontId="21" fillId="34" borderId="19" xfId="0" applyNumberFormat="1" applyFont="1" applyFill="1" applyBorder="1" applyAlignment="1">
      <alignment horizontal="center" vertical="center"/>
    </xf>
    <xf numFmtId="165" fontId="21" fillId="34" borderId="20" xfId="0" applyNumberFormat="1" applyFont="1" applyFill="1" applyBorder="1" applyAlignment="1">
      <alignment horizontal="center" vertical="center"/>
    </xf>
    <xf numFmtId="166" fontId="21" fillId="34" borderId="14" xfId="0" applyNumberFormat="1" applyFont="1" applyFill="1" applyBorder="1" applyAlignment="1">
      <alignment horizontal="center" vertical="center"/>
    </xf>
    <xf numFmtId="166" fontId="21" fillId="34" borderId="10" xfId="0" applyNumberFormat="1" applyFont="1" applyFill="1" applyBorder="1" applyAlignment="1">
      <alignment horizontal="center" vertical="center"/>
    </xf>
    <xf numFmtId="166" fontId="21" fillId="34" borderId="15" xfId="0" applyNumberFormat="1" applyFont="1" applyFill="1" applyBorder="1" applyAlignment="1">
      <alignment horizontal="center" vertical="center"/>
    </xf>
    <xf numFmtId="166" fontId="21" fillId="34" borderId="16" xfId="0" applyNumberFormat="1" applyFont="1" applyFill="1" applyBorder="1" applyAlignment="1">
      <alignment horizontal="center" vertical="center"/>
    </xf>
    <xf numFmtId="166" fontId="21" fillId="34" borderId="0" xfId="0" applyNumberFormat="1" applyFont="1" applyFill="1" applyBorder="1" applyAlignment="1">
      <alignment horizontal="center" vertical="center"/>
    </xf>
    <xf numFmtId="166" fontId="21" fillId="34" borderId="17" xfId="0" applyNumberFormat="1" applyFont="1" applyFill="1" applyBorder="1" applyAlignment="1">
      <alignment horizontal="center" vertical="center"/>
    </xf>
    <xf numFmtId="166" fontId="21" fillId="34" borderId="18" xfId="0" applyNumberFormat="1" applyFont="1" applyFill="1" applyBorder="1" applyAlignment="1">
      <alignment horizontal="center" vertical="center"/>
    </xf>
    <xf numFmtId="166" fontId="21" fillId="34" borderId="19" xfId="0" applyNumberFormat="1" applyFont="1" applyFill="1" applyBorder="1" applyAlignment="1">
      <alignment horizontal="center" vertical="center"/>
    </xf>
    <xf numFmtId="166" fontId="21" fillId="34" borderId="20" xfId="0" applyNumberFormat="1" applyFont="1" applyFill="1" applyBorder="1" applyAlignment="1">
      <alignment horizontal="center" vertical="center"/>
    </xf>
    <xf numFmtId="0" fontId="22" fillId="35" borderId="11" xfId="0" applyFont="1" applyFill="1" applyBorder="1" applyAlignment="1">
      <alignment horizontal="center"/>
    </xf>
    <xf numFmtId="0" fontId="22" fillId="35" borderId="12" xfId="0" applyFont="1" applyFill="1" applyBorder="1" applyAlignment="1">
      <alignment horizontal="center"/>
    </xf>
    <xf numFmtId="0" fontId="22" fillId="35" borderId="13" xfId="0" applyFont="1" applyFill="1" applyBorder="1" applyAlignment="1">
      <alignment horizontal="center"/>
    </xf>
    <xf numFmtId="0" fontId="0" fillId="36" borderId="14" xfId="0" applyFill="1" applyBorder="1"/>
    <xf numFmtId="0" fontId="0" fillId="36" borderId="10" xfId="0" applyFill="1" applyBorder="1"/>
    <xf numFmtId="0" fontId="21" fillId="36" borderId="21" xfId="0" applyFont="1" applyFill="1" applyBorder="1" applyAlignment="1">
      <alignment horizontal="center"/>
    </xf>
    <xf numFmtId="0" fontId="21" fillId="36" borderId="10" xfId="0" applyFont="1" applyFill="1" applyBorder="1" applyAlignment="1">
      <alignment horizontal="center"/>
    </xf>
    <xf numFmtId="0" fontId="21" fillId="36" borderId="22" xfId="0" applyFont="1" applyFill="1" applyBorder="1" applyAlignment="1">
      <alignment horizontal="center"/>
    </xf>
    <xf numFmtId="0" fontId="0" fillId="36" borderId="15" xfId="0" applyFill="1" applyBorder="1"/>
    <xf numFmtId="0" fontId="0" fillId="36" borderId="18" xfId="0" applyFill="1" applyBorder="1"/>
    <xf numFmtId="0" fontId="0" fillId="36" borderId="19" xfId="0" applyFill="1" applyBorder="1"/>
    <xf numFmtId="0" fontId="21" fillId="36" borderId="23" xfId="0" applyFont="1" applyFill="1" applyBorder="1" applyAlignment="1">
      <alignment horizontal="center"/>
    </xf>
    <xf numFmtId="0" fontId="21" fillId="36" borderId="19" xfId="0" applyFont="1" applyFill="1" applyBorder="1" applyAlignment="1">
      <alignment horizontal="center"/>
    </xf>
    <xf numFmtId="0" fontId="21" fillId="36" borderId="24" xfId="0" applyFont="1" applyFill="1" applyBorder="1" applyAlignment="1">
      <alignment horizontal="center"/>
    </xf>
    <xf numFmtId="0" fontId="0" fillId="36" borderId="20" xfId="0" applyFill="1" applyBorder="1"/>
    <xf numFmtId="0" fontId="0" fillId="33" borderId="16" xfId="0" applyFill="1" applyBorder="1"/>
    <xf numFmtId="0" fontId="0" fillId="33" borderId="0" xfId="0" applyFill="1" applyBorder="1"/>
    <xf numFmtId="0" fontId="0" fillId="33" borderId="17" xfId="0" applyFill="1" applyBorder="1"/>
    <xf numFmtId="0" fontId="18" fillId="33" borderId="16" xfId="0" applyFont="1" applyFill="1" applyBorder="1"/>
    <xf numFmtId="0" fontId="20" fillId="37" borderId="0" xfId="0" applyFont="1" applyFill="1" applyBorder="1" applyAlignment="1">
      <alignment horizontal="center" vertical="top" wrapText="1"/>
    </xf>
    <xf numFmtId="0" fontId="0" fillId="37" borderId="0" xfId="0" applyFill="1" applyBorder="1" applyAlignment="1">
      <alignment horizontal="center" vertical="top" wrapText="1"/>
    </xf>
    <xf numFmtId="0" fontId="0" fillId="33" borderId="18" xfId="0" applyFill="1" applyBorder="1"/>
    <xf numFmtId="0" fontId="0" fillId="33" borderId="19" xfId="0" applyFill="1" applyBorder="1"/>
    <xf numFmtId="0" fontId="0" fillId="33" borderId="20" xfId="0" applyFill="1" applyBorder="1"/>
    <xf numFmtId="0" fontId="0" fillId="33" borderId="14" xfId="0" applyFill="1" applyBorder="1"/>
    <xf numFmtId="0" fontId="0" fillId="33" borderId="10" xfId="0" applyFill="1" applyBorder="1"/>
    <xf numFmtId="0" fontId="0" fillId="33" borderId="15"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0" formatCode="General"/>
      <alignment horizontal="center" vertical="bottom" textRotation="0" wrapText="0" indent="0" justifyLastLine="0" shrinkToFit="0" readingOrder="0"/>
    </dxf>
    <dxf>
      <numFmt numFmtId="164" formatCode="&quot;₹&quot;\ #,##0.00"/>
    </dxf>
    <dxf>
      <numFmt numFmtId="164" formatCode="&quot;₹&quot;\ #,##0.00"/>
    </dxf>
    <dxf>
      <numFmt numFmtId="0" formatCode="General"/>
      <alignment horizontal="right" vertical="bottom" textRotation="0" wrapText="0" indent="0" justifyLastLine="0" shrinkToFit="0" readingOrder="0"/>
    </dxf>
    <dxf>
      <numFmt numFmtId="0" formatCode="General"/>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
      <alignment horizontal="righ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[Mumbai Cafe Market Analysis Dashboard.xlsx]03_Pivot_Tables!PivotTable1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'03_Pivot_Tables'!$B$3</c:f>
              <c:strCache>
                <c:ptCount val="1"/>
                <c:pt idx="0">
                  <c:v>Total</c:v>
                </c:pt>
              </c:strCache>
            </c:strRef>
          </c:tx>
          <c:spPr>
            <a:solidFill>
              <a:schemeClr val="accent1"/>
            </a:solidFill>
            <a:ln>
              <a:noFill/>
            </a:ln>
            <a:effectLst/>
          </c:spPr>
          <c:invertIfNegative val="0"/>
          <c:cat>
            <c:strRef>
              <c:f>'03_Pivot_Tables'!$A$4:$A$24</c:f>
              <c:strCache>
                <c:ptCount val="20"/>
                <c:pt idx="0">
                  <c:v>Andheri</c:v>
                </c:pt>
                <c:pt idx="1">
                  <c:v>Bandra</c:v>
                </c:pt>
                <c:pt idx="2">
                  <c:v>Borivali</c:v>
                </c:pt>
                <c:pt idx="3">
                  <c:v>Chembur</c:v>
                </c:pt>
                <c:pt idx="4">
                  <c:v>Churchgate</c:v>
                </c:pt>
                <c:pt idx="5">
                  <c:v>Colaba</c:v>
                </c:pt>
                <c:pt idx="6">
                  <c:v>Dadar</c:v>
                </c:pt>
                <c:pt idx="7">
                  <c:v>Dharavi</c:v>
                </c:pt>
                <c:pt idx="8">
                  <c:v>Ghatkopar</c:v>
                </c:pt>
                <c:pt idx="9">
                  <c:v>Goregaon</c:v>
                </c:pt>
                <c:pt idx="10">
                  <c:v>Kharghar</c:v>
                </c:pt>
                <c:pt idx="11">
                  <c:v>Kurla</c:v>
                </c:pt>
                <c:pt idx="12">
                  <c:v>Mulund</c:v>
                </c:pt>
                <c:pt idx="13">
                  <c:v>Nerul</c:v>
                </c:pt>
                <c:pt idx="14">
                  <c:v>Panvel</c:v>
                </c:pt>
                <c:pt idx="15">
                  <c:v>Powai</c:v>
                </c:pt>
                <c:pt idx="16">
                  <c:v>Sion</c:v>
                </c:pt>
                <c:pt idx="17">
                  <c:v>Thane</c:v>
                </c:pt>
                <c:pt idx="18">
                  <c:v>Vashi</c:v>
                </c:pt>
                <c:pt idx="19">
                  <c:v>Worli</c:v>
                </c:pt>
              </c:strCache>
            </c:strRef>
          </c:cat>
          <c:val>
            <c:numRef>
              <c:f>'03_Pivot_Tables'!$B$4:$B$24</c:f>
              <c:numCache>
                <c:formatCode>General</c:formatCode>
                <c:ptCount val="20"/>
                <c:pt idx="0">
                  <c:v>60</c:v>
                </c:pt>
                <c:pt idx="1">
                  <c:v>60</c:v>
                </c:pt>
                <c:pt idx="2">
                  <c:v>60</c:v>
                </c:pt>
                <c:pt idx="3">
                  <c:v>60</c:v>
                </c:pt>
                <c:pt idx="4">
                  <c:v>60</c:v>
                </c:pt>
                <c:pt idx="5">
                  <c:v>60</c:v>
                </c:pt>
                <c:pt idx="6">
                  <c:v>60</c:v>
                </c:pt>
                <c:pt idx="7">
                  <c:v>60</c:v>
                </c:pt>
                <c:pt idx="8">
                  <c:v>60</c:v>
                </c:pt>
                <c:pt idx="9">
                  <c:v>60</c:v>
                </c:pt>
                <c:pt idx="10">
                  <c:v>60</c:v>
                </c:pt>
                <c:pt idx="11">
                  <c:v>60</c:v>
                </c:pt>
                <c:pt idx="12">
                  <c:v>60</c:v>
                </c:pt>
                <c:pt idx="13">
                  <c:v>60</c:v>
                </c:pt>
                <c:pt idx="14">
                  <c:v>60</c:v>
                </c:pt>
                <c:pt idx="15">
                  <c:v>60</c:v>
                </c:pt>
                <c:pt idx="16">
                  <c:v>60</c:v>
                </c:pt>
                <c:pt idx="17">
                  <c:v>60</c:v>
                </c:pt>
                <c:pt idx="18">
                  <c:v>60</c:v>
                </c:pt>
                <c:pt idx="19">
                  <c:v>60</c:v>
                </c:pt>
              </c:numCache>
            </c:numRef>
          </c:val>
          <c:extLst>
            <c:ext xmlns:c16="http://schemas.microsoft.com/office/drawing/2014/chart" uri="{C3380CC4-5D6E-409C-BE32-E72D297353CC}">
              <c16:uniqueId val="{00000000-2764-4B7C-94A0-DE19EF404F75}"/>
            </c:ext>
          </c:extLst>
        </c:ser>
        <c:dLbls>
          <c:showLegendKey val="0"/>
          <c:showVal val="0"/>
          <c:showCatName val="0"/>
          <c:showSerName val="0"/>
          <c:showPercent val="0"/>
          <c:showBubbleSize val="0"/>
        </c:dLbls>
        <c:gapWidth val="219"/>
        <c:overlap val="-27"/>
        <c:axId val="108247503"/>
        <c:axId val="108236943"/>
      </c:barChart>
      <c:catAx>
        <c:axId val="10824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36943"/>
        <c:crosses val="autoZero"/>
        <c:auto val="1"/>
        <c:lblAlgn val="ctr"/>
        <c:lblOffset val="100"/>
        <c:noMultiLvlLbl val="0"/>
      </c:catAx>
      <c:valAx>
        <c:axId val="108236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247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[Mumbai Cafe Market Analysis Dashboard.xlsx]03_Pivot_Tables!PivotTable2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'03_Pivot_Tables'!$J$3</c:f>
              <c:strCache>
                <c:ptCount val="1"/>
                <c:pt idx="0">
                  <c:v>Total</c:v>
                </c:pt>
              </c:strCache>
            </c:strRef>
          </c:tx>
          <c:spPr>
            <a:solidFill>
              <a:schemeClr val="accent1"/>
            </a:solidFill>
            <a:ln>
              <a:noFill/>
            </a:ln>
            <a:effectLst/>
          </c:spPr>
          <c:invertIfNegative val="0"/>
          <c:cat>
            <c:strRef>
              <c:f>'03_Pivot_Tables'!$I$4:$I$24</c:f>
              <c:strCache>
                <c:ptCount val="20"/>
                <c:pt idx="0">
                  <c:v>Nerul</c:v>
                </c:pt>
                <c:pt idx="1">
                  <c:v>Kharghar</c:v>
                </c:pt>
                <c:pt idx="2">
                  <c:v>Chembur</c:v>
                </c:pt>
                <c:pt idx="3">
                  <c:v>Panvel</c:v>
                </c:pt>
                <c:pt idx="4">
                  <c:v>Thane</c:v>
                </c:pt>
                <c:pt idx="5">
                  <c:v>Mulund</c:v>
                </c:pt>
                <c:pt idx="6">
                  <c:v>Worli</c:v>
                </c:pt>
                <c:pt idx="7">
                  <c:v>Borivali</c:v>
                </c:pt>
                <c:pt idx="8">
                  <c:v>Goregaon</c:v>
                </c:pt>
                <c:pt idx="9">
                  <c:v>Dadar</c:v>
                </c:pt>
                <c:pt idx="10">
                  <c:v>Kurla</c:v>
                </c:pt>
                <c:pt idx="11">
                  <c:v>Bandra</c:v>
                </c:pt>
                <c:pt idx="12">
                  <c:v>Ghatkopar</c:v>
                </c:pt>
                <c:pt idx="13">
                  <c:v>Vashi</c:v>
                </c:pt>
                <c:pt idx="14">
                  <c:v>Andheri</c:v>
                </c:pt>
                <c:pt idx="15">
                  <c:v>Churchgate</c:v>
                </c:pt>
                <c:pt idx="16">
                  <c:v>Powai</c:v>
                </c:pt>
                <c:pt idx="17">
                  <c:v>Colaba</c:v>
                </c:pt>
                <c:pt idx="18">
                  <c:v>Sion</c:v>
                </c:pt>
                <c:pt idx="19">
                  <c:v>Dharavi</c:v>
                </c:pt>
              </c:strCache>
            </c:strRef>
          </c:cat>
          <c:val>
            <c:numRef>
              <c:f>'03_Pivot_Tables'!$J$4:$J$24</c:f>
              <c:numCache>
                <c:formatCode>0.00</c:formatCode>
                <c:ptCount val="20"/>
                <c:pt idx="0">
                  <c:v>4.4633333333333356</c:v>
                </c:pt>
                <c:pt idx="1">
                  <c:v>4.4366666666666648</c:v>
                </c:pt>
                <c:pt idx="2">
                  <c:v>4.426666666666665</c:v>
                </c:pt>
                <c:pt idx="3">
                  <c:v>4.4250000000000007</c:v>
                </c:pt>
                <c:pt idx="4">
                  <c:v>4.3899999999999988</c:v>
                </c:pt>
                <c:pt idx="5">
                  <c:v>4.370000000000001</c:v>
                </c:pt>
                <c:pt idx="6">
                  <c:v>4.3616666666666672</c:v>
                </c:pt>
                <c:pt idx="7">
                  <c:v>4.3599999999999985</c:v>
                </c:pt>
                <c:pt idx="8">
                  <c:v>4.339999999999999</c:v>
                </c:pt>
                <c:pt idx="9">
                  <c:v>4.331666666666667</c:v>
                </c:pt>
                <c:pt idx="10">
                  <c:v>4.328333333333334</c:v>
                </c:pt>
                <c:pt idx="11">
                  <c:v>4.326666666666668</c:v>
                </c:pt>
                <c:pt idx="12">
                  <c:v>4.3233333333333333</c:v>
                </c:pt>
                <c:pt idx="13">
                  <c:v>4.3050000000000015</c:v>
                </c:pt>
                <c:pt idx="14">
                  <c:v>4.3050000000000006</c:v>
                </c:pt>
                <c:pt idx="15">
                  <c:v>4.3033333333333355</c:v>
                </c:pt>
                <c:pt idx="16">
                  <c:v>4.3</c:v>
                </c:pt>
                <c:pt idx="17">
                  <c:v>4.2933333333333339</c:v>
                </c:pt>
                <c:pt idx="18">
                  <c:v>4.2283333333333344</c:v>
                </c:pt>
                <c:pt idx="19">
                  <c:v>4.1449999999999996</c:v>
                </c:pt>
              </c:numCache>
            </c:numRef>
          </c:val>
          <c:extLst>
            <c:ext xmlns:c16="http://schemas.microsoft.com/office/drawing/2014/chart" uri="{C3380CC4-5D6E-409C-BE32-E72D297353CC}">
              <c16:uniqueId val="{00000000-AFBD-41C2-AB96-058FDE2E2943}"/>
            </c:ext>
          </c:extLst>
        </c:ser>
        <c:dLbls>
          <c:showLegendKey val="0"/>
          <c:showVal val="0"/>
          <c:showCatName val="0"/>
          <c:showSerName val="0"/>
          <c:showPercent val="0"/>
          <c:showBubbleSize val="0"/>
        </c:dLbls>
        <c:gapWidth val="182"/>
        <c:axId val="30389839"/>
        <c:axId val="30390799"/>
      </c:barChart>
      <c:catAx>
        <c:axId val="30389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90799"/>
        <c:crosses val="autoZero"/>
        <c:auto val="1"/>
        <c:lblAlgn val="ctr"/>
        <c:lblOffset val="100"/>
        <c:noMultiLvlLbl val="0"/>
      </c:catAx>
      <c:valAx>
        <c:axId val="303907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38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[Mumbai Cafe Market Analysis Dashboard.xlsx]03_Pivot_Tables!PivotTable3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'03_Pivot_Tables'!$B$29</c:f>
              <c:strCache>
                <c:ptCount val="1"/>
                <c:pt idx="0">
                  <c:v>Total</c:v>
                </c:pt>
              </c:strCache>
            </c:strRef>
          </c:tx>
          <c:spPr>
            <a:solidFill>
              <a:schemeClr val="accent1"/>
            </a:solidFill>
            <a:ln>
              <a:noFill/>
            </a:ln>
            <a:effectLst/>
          </c:spPr>
          <c:invertIfNegative val="0"/>
          <c:cat>
            <c:strRef>
              <c:f>'03_Pivot_Tables'!$A$30:$A$50</c:f>
              <c:strCache>
                <c:ptCount val="20"/>
                <c:pt idx="0">
                  <c:v>Sion</c:v>
                </c:pt>
                <c:pt idx="1">
                  <c:v>Churchgate</c:v>
                </c:pt>
                <c:pt idx="2">
                  <c:v>Colaba</c:v>
                </c:pt>
                <c:pt idx="3">
                  <c:v>Powai</c:v>
                </c:pt>
                <c:pt idx="4">
                  <c:v>Dharavi</c:v>
                </c:pt>
                <c:pt idx="5">
                  <c:v>Dadar</c:v>
                </c:pt>
                <c:pt idx="6">
                  <c:v>Bandra</c:v>
                </c:pt>
                <c:pt idx="7">
                  <c:v>Worli</c:v>
                </c:pt>
                <c:pt idx="8">
                  <c:v>Andheri</c:v>
                </c:pt>
                <c:pt idx="9">
                  <c:v>Vashi</c:v>
                </c:pt>
                <c:pt idx="10">
                  <c:v>Borivali</c:v>
                </c:pt>
                <c:pt idx="11">
                  <c:v>Ghatkopar</c:v>
                </c:pt>
                <c:pt idx="12">
                  <c:v>Mulund</c:v>
                </c:pt>
                <c:pt idx="13">
                  <c:v>Chembur</c:v>
                </c:pt>
                <c:pt idx="14">
                  <c:v>Thane</c:v>
                </c:pt>
                <c:pt idx="15">
                  <c:v>Kurla</c:v>
                </c:pt>
                <c:pt idx="16">
                  <c:v>Goregaon</c:v>
                </c:pt>
                <c:pt idx="17">
                  <c:v>Kharghar</c:v>
                </c:pt>
                <c:pt idx="18">
                  <c:v>Nerul</c:v>
                </c:pt>
                <c:pt idx="19">
                  <c:v>Panvel</c:v>
                </c:pt>
              </c:strCache>
            </c:strRef>
          </c:cat>
          <c:val>
            <c:numRef>
              <c:f>'03_Pivot_Tables'!$B$30:$B$50</c:f>
              <c:numCache>
                <c:formatCode>"₹"\ #,##0.00</c:formatCode>
                <c:ptCount val="20"/>
                <c:pt idx="0">
                  <c:v>1745521250</c:v>
                </c:pt>
                <c:pt idx="1">
                  <c:v>1666333750</c:v>
                </c:pt>
                <c:pt idx="2">
                  <c:v>1563250000</c:v>
                </c:pt>
                <c:pt idx="3">
                  <c:v>1344095000</c:v>
                </c:pt>
                <c:pt idx="4">
                  <c:v>1083901250</c:v>
                </c:pt>
                <c:pt idx="5">
                  <c:v>994476250</c:v>
                </c:pt>
                <c:pt idx="6">
                  <c:v>968548750</c:v>
                </c:pt>
                <c:pt idx="7">
                  <c:v>859413750</c:v>
                </c:pt>
                <c:pt idx="8">
                  <c:v>776888750</c:v>
                </c:pt>
                <c:pt idx="9">
                  <c:v>761547500</c:v>
                </c:pt>
                <c:pt idx="10">
                  <c:v>673027500</c:v>
                </c:pt>
                <c:pt idx="11">
                  <c:v>545926250</c:v>
                </c:pt>
                <c:pt idx="12">
                  <c:v>522402500</c:v>
                </c:pt>
                <c:pt idx="13">
                  <c:v>511295000</c:v>
                </c:pt>
                <c:pt idx="14">
                  <c:v>450703750</c:v>
                </c:pt>
                <c:pt idx="15">
                  <c:v>386860000</c:v>
                </c:pt>
                <c:pt idx="16">
                  <c:v>383850000</c:v>
                </c:pt>
                <c:pt idx="17">
                  <c:v>375917500</c:v>
                </c:pt>
                <c:pt idx="18">
                  <c:v>312101250</c:v>
                </c:pt>
                <c:pt idx="19">
                  <c:v>219107500</c:v>
                </c:pt>
              </c:numCache>
            </c:numRef>
          </c:val>
          <c:extLst>
            <c:ext xmlns:c16="http://schemas.microsoft.com/office/drawing/2014/chart" uri="{C3380CC4-5D6E-409C-BE32-E72D297353CC}">
              <c16:uniqueId val="{00000000-4F61-4F10-873D-C1364748CE69}"/>
            </c:ext>
          </c:extLst>
        </c:ser>
        <c:dLbls>
          <c:showLegendKey val="0"/>
          <c:showVal val="0"/>
          <c:showCatName val="0"/>
          <c:showSerName val="0"/>
          <c:showPercent val="0"/>
          <c:showBubbleSize val="0"/>
        </c:dLbls>
        <c:gapWidth val="219"/>
        <c:overlap val="-27"/>
        <c:axId val="147354863"/>
        <c:axId val="147355823"/>
      </c:barChart>
      <c:catAx>
        <c:axId val="14735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55823"/>
        <c:crosses val="autoZero"/>
        <c:auto val="1"/>
        <c:lblAlgn val="ctr"/>
        <c:lblOffset val="100"/>
        <c:noMultiLvlLbl val="0"/>
      </c:catAx>
      <c:valAx>
        <c:axId val="147355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5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[Mumbai Cafe Market Analysis Dashboard.xlsx]03_Pivot_Tables!PivotTable4</c:name>
    <c:fmtId val="0"/>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'03_Pivot_Tables'!$J$29</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826-48D1-8A38-EF355F6675B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826-48D1-8A38-EF355F6675B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826-48D1-8A38-EF355F6675B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'03_Pivot_Tables'!$I$30:$I$33</c:f>
              <c:strCache>
                <c:ptCount val="3"/>
                <c:pt idx="0">
                  <c:v>Average</c:v>
                </c:pt>
                <c:pt idx="1">
                  <c:v>Popular</c:v>
                </c:pt>
                <c:pt idx="2">
                  <c:v>Premium</c:v>
                </c:pt>
              </c:strCache>
            </c:strRef>
          </c:cat>
          <c:val>
            <c:numRef>
              <c:f>'03_Pivot_Tables'!$J$30:$J$33</c:f>
              <c:numCache>
                <c:formatCode>General</c:formatCode>
                <c:ptCount val="3"/>
                <c:pt idx="0">
                  <c:v>118</c:v>
                </c:pt>
                <c:pt idx="1">
                  <c:v>677</c:v>
                </c:pt>
                <c:pt idx="2">
                  <c:v>405</c:v>
                </c:pt>
              </c:numCache>
            </c:numRef>
          </c:val>
          <c:extLst>
            <c:ext xmlns:c16="http://schemas.microsoft.com/office/drawing/2014/chart" uri="{C3380CC4-5D6E-409C-BE32-E72D297353CC}">
              <c16:uniqueId val="{00000000-1E53-416E-84D0-4EAA82F61E1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[Mumbai Cafe Market Analysis Dashboard.xlsx]03_Pivot_Tables!PivotTable5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'03_Pivot_Tables'!$J$42</c:f>
              <c:strCache>
                <c:ptCount val="1"/>
                <c:pt idx="0">
                  <c:v>Total</c:v>
                </c:pt>
              </c:strCache>
            </c:strRef>
          </c:tx>
          <c:spPr>
            <a:solidFill>
              <a:schemeClr val="accent1"/>
            </a:solidFill>
            <a:ln>
              <a:noFill/>
            </a:ln>
            <a:effectLst/>
          </c:spPr>
          <c:invertIfNegative val="0"/>
          <c:cat>
            <c:strRef>
              <c:f>'03_Pivot_Tables'!$I$43:$I$53</c:f>
              <c:strCache>
                <c:ptCount val="10"/>
                <c:pt idx="0">
                  <c:v>Bademiya</c:v>
                </c:pt>
                <c:pt idx="1">
                  <c:v>Cafe MadrasÂ®ï¸</c:v>
                </c:pt>
                <c:pt idx="2">
                  <c:v>Grandmama's Cafe, Dadar East</c:v>
                </c:pt>
                <c:pt idx="3">
                  <c:v>Gurukripa</c:v>
                </c:pt>
                <c:pt idx="4">
                  <c:v>Leopold Cafe</c:v>
                </c:pt>
                <c:pt idx="5">
                  <c:v>Pizza By The Bay</c:v>
                </c:pt>
                <c:pt idx="6">
                  <c:v>Prithvi Cafe</c:v>
                </c:pt>
                <c:pt idx="7">
                  <c:v>Ram Ashraya</c:v>
                </c:pt>
                <c:pt idx="8">
                  <c:v>Starbucks</c:v>
                </c:pt>
                <c:pt idx="9">
                  <c:v>Third Wave Coffee</c:v>
                </c:pt>
              </c:strCache>
            </c:strRef>
          </c:cat>
          <c:val>
            <c:numRef>
              <c:f>'03_Pivot_Tables'!$J$43:$J$53</c:f>
              <c:numCache>
                <c:formatCode>General</c:formatCode>
                <c:ptCount val="10"/>
                <c:pt idx="0">
                  <c:v>89824.900000000009</c:v>
                </c:pt>
                <c:pt idx="1">
                  <c:v>324720.00000000006</c:v>
                </c:pt>
                <c:pt idx="2">
                  <c:v>138694.79999999999</c:v>
                </c:pt>
                <c:pt idx="3">
                  <c:v>343262</c:v>
                </c:pt>
                <c:pt idx="4">
                  <c:v>251764.80000000002</c:v>
                </c:pt>
                <c:pt idx="5">
                  <c:v>107860.20000000001</c:v>
                </c:pt>
                <c:pt idx="6">
                  <c:v>80942.400000000009</c:v>
                </c:pt>
                <c:pt idx="7">
                  <c:v>142137.60000000001</c:v>
                </c:pt>
                <c:pt idx="8">
                  <c:v>246743.2</c:v>
                </c:pt>
                <c:pt idx="9">
                  <c:v>106389.89999999998</c:v>
                </c:pt>
              </c:numCache>
            </c:numRef>
          </c:val>
          <c:extLst>
            <c:ext xmlns:c16="http://schemas.microsoft.com/office/drawing/2014/chart" uri="{C3380CC4-5D6E-409C-BE32-E72D297353CC}">
              <c16:uniqueId val="{00000000-1527-405B-AD40-CE35E3130F55}"/>
            </c:ext>
          </c:extLst>
        </c:ser>
        <c:dLbls>
          <c:showLegendKey val="0"/>
          <c:showVal val="0"/>
          <c:showCatName val="0"/>
          <c:showSerName val="0"/>
          <c:showPercent val="0"/>
          <c:showBubbleSize val="0"/>
        </c:dLbls>
        <c:gapWidth val="182"/>
        <c:axId val="147348623"/>
        <c:axId val="147356303"/>
      </c:barChart>
      <c:catAx>
        <c:axId val="14734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56303"/>
        <c:crosses val="autoZero"/>
        <c:auto val="1"/>
        <c:lblAlgn val="ctr"/>
        <c:lblOffset val="100"/>
        <c:noMultiLvlLbl val="0"/>
      </c:catAx>
      <c:valAx>
        <c:axId val="147356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4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[Mumbai Cafe Market Analysis Dashboard.xlsx]03_Pivot_Tables!PivotTable6</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'03_Pivot_Tables'!$B$57</c:f>
              <c:strCache>
                <c:ptCount val="1"/>
                <c:pt idx="0">
                  <c:v>Total</c:v>
                </c:pt>
              </c:strCache>
            </c:strRef>
          </c:tx>
          <c:spPr>
            <a:solidFill>
              <a:schemeClr val="accent1"/>
            </a:solidFill>
            <a:ln>
              <a:noFill/>
            </a:ln>
            <a:effectLst/>
          </c:spPr>
          <c:invertIfNegative val="0"/>
          <c:cat>
            <c:strRef>
              <c:f>'03_Pivot_Tables'!$A$58:$A$78</c:f>
              <c:strCache>
                <c:ptCount val="20"/>
                <c:pt idx="0">
                  <c:v>Andheri</c:v>
                </c:pt>
                <c:pt idx="1">
                  <c:v>Bandra</c:v>
                </c:pt>
                <c:pt idx="2">
                  <c:v>Borivali</c:v>
                </c:pt>
                <c:pt idx="3">
                  <c:v>Chembur</c:v>
                </c:pt>
                <c:pt idx="4">
                  <c:v>Churchgate</c:v>
                </c:pt>
                <c:pt idx="5">
                  <c:v>Colaba</c:v>
                </c:pt>
                <c:pt idx="6">
                  <c:v>Dadar</c:v>
                </c:pt>
                <c:pt idx="7">
                  <c:v>Dharavi</c:v>
                </c:pt>
                <c:pt idx="8">
                  <c:v>Ghatkopar</c:v>
                </c:pt>
                <c:pt idx="9">
                  <c:v>Goregaon</c:v>
                </c:pt>
                <c:pt idx="10">
                  <c:v>Kharghar</c:v>
                </c:pt>
                <c:pt idx="11">
                  <c:v>Kurla</c:v>
                </c:pt>
                <c:pt idx="12">
                  <c:v>Mulund</c:v>
                </c:pt>
                <c:pt idx="13">
                  <c:v>Nerul</c:v>
                </c:pt>
                <c:pt idx="14">
                  <c:v>Panvel</c:v>
                </c:pt>
                <c:pt idx="15">
                  <c:v>Powai</c:v>
                </c:pt>
                <c:pt idx="16">
                  <c:v>Sion</c:v>
                </c:pt>
                <c:pt idx="17">
                  <c:v>Thane</c:v>
                </c:pt>
                <c:pt idx="18">
                  <c:v>Vashi</c:v>
                </c:pt>
                <c:pt idx="19">
                  <c:v>Worli</c:v>
                </c:pt>
              </c:strCache>
            </c:strRef>
          </c:cat>
          <c:val>
            <c:numRef>
              <c:f>'03_Pivot_Tables'!$B$58:$B$78</c:f>
              <c:numCache>
                <c:formatCode>0.00</c:formatCode>
                <c:ptCount val="20"/>
                <c:pt idx="0">
                  <c:v>1320.5833333333333</c:v>
                </c:pt>
                <c:pt idx="1">
                  <c:v>1736.0166666666667</c:v>
                </c:pt>
                <c:pt idx="2">
                  <c:v>1169.5999999999999</c:v>
                </c:pt>
                <c:pt idx="3">
                  <c:v>870.9</c:v>
                </c:pt>
                <c:pt idx="4">
                  <c:v>2927.4833333333331</c:v>
                </c:pt>
                <c:pt idx="5">
                  <c:v>2862.2333333333331</c:v>
                </c:pt>
                <c:pt idx="6">
                  <c:v>1739.8833333333334</c:v>
                </c:pt>
                <c:pt idx="7">
                  <c:v>1903.9166666666667</c:v>
                </c:pt>
                <c:pt idx="8">
                  <c:v>992.2166666666667</c:v>
                </c:pt>
                <c:pt idx="9">
                  <c:v>689.86666666666667</c:v>
                </c:pt>
                <c:pt idx="10">
                  <c:v>652.23333333333335</c:v>
                </c:pt>
                <c:pt idx="11">
                  <c:v>694.5</c:v>
                </c:pt>
                <c:pt idx="12">
                  <c:v>932.9</c:v>
                </c:pt>
                <c:pt idx="13">
                  <c:v>519.38333333333333</c:v>
                </c:pt>
                <c:pt idx="14">
                  <c:v>388.2</c:v>
                </c:pt>
                <c:pt idx="15">
                  <c:v>2295.8333333333335</c:v>
                </c:pt>
                <c:pt idx="16">
                  <c:v>3038.8833333333332</c:v>
                </c:pt>
                <c:pt idx="17">
                  <c:v>790.58333333333337</c:v>
                </c:pt>
                <c:pt idx="18">
                  <c:v>1382</c:v>
                </c:pt>
                <c:pt idx="19">
                  <c:v>1501.5166666666667</c:v>
                </c:pt>
              </c:numCache>
            </c:numRef>
          </c:val>
          <c:extLst>
            <c:ext xmlns:c16="http://schemas.microsoft.com/office/drawing/2014/chart" uri="{C3380CC4-5D6E-409C-BE32-E72D297353CC}">
              <c16:uniqueId val="{00000000-47FD-4CA8-A8AC-3ACA35A05616}"/>
            </c:ext>
          </c:extLst>
        </c:ser>
        <c:dLbls>
          <c:showLegendKey val="0"/>
          <c:showVal val="0"/>
          <c:showCatName val="0"/>
          <c:showSerName val="0"/>
          <c:showPercent val="0"/>
          <c:showBubbleSize val="0"/>
        </c:dLbls>
        <c:gapWidth val="182"/>
        <c:axId val="301677519"/>
        <c:axId val="301661679"/>
      </c:barChart>
      <c:catAx>
        <c:axId val="3016775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61679"/>
        <c:crosses val="autoZero"/>
        <c:auto val="1"/>
        <c:lblAlgn val="ctr"/>
        <c:lblOffset val="100"/>
        <c:noMultiLvlLbl val="0"/>
      </c:catAx>
      <c:valAx>
        <c:axId val="30166167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67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[Mumbai Cafe Market Analysis Dashboard.xlsx]03_Pivot_Tables!PivotTable2</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Average Customer Rating by Area</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345174624739869"/>
          <c:y val="0.16959958349280599"/>
          <c:w val="0.77347511515361822"/>
          <c:h val="0.74718611008996594"/>
        </c:manualLayout>
      </c:layout>
      <c:barChart>
        <c:barDir val="bar"/>
        <c:grouping val="clustered"/>
        <c:varyColors val="0"/>
        <c:ser>
          <c:idx val="0"/>
          <c:order val="0"/>
          <c:tx>
            <c:strRef>
              <c:f>'03_Pivot_Tables'!$J$3</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'03_Pivot_Tables'!$I$4:$I$24</c:f>
              <c:strCache>
                <c:ptCount val="20"/>
                <c:pt idx="0">
                  <c:v>Nerul</c:v>
                </c:pt>
                <c:pt idx="1">
                  <c:v>Kharghar</c:v>
                </c:pt>
                <c:pt idx="2">
                  <c:v>Chembur</c:v>
                </c:pt>
                <c:pt idx="3">
                  <c:v>Panvel</c:v>
                </c:pt>
                <c:pt idx="4">
                  <c:v>Thane</c:v>
                </c:pt>
                <c:pt idx="5">
                  <c:v>Mulund</c:v>
                </c:pt>
                <c:pt idx="6">
                  <c:v>Worli</c:v>
                </c:pt>
                <c:pt idx="7">
                  <c:v>Borivali</c:v>
                </c:pt>
                <c:pt idx="8">
                  <c:v>Goregaon</c:v>
                </c:pt>
                <c:pt idx="9">
                  <c:v>Dadar</c:v>
                </c:pt>
                <c:pt idx="10">
                  <c:v>Kurla</c:v>
                </c:pt>
                <c:pt idx="11">
                  <c:v>Bandra</c:v>
                </c:pt>
                <c:pt idx="12">
                  <c:v>Ghatkopar</c:v>
                </c:pt>
                <c:pt idx="13">
                  <c:v>Vashi</c:v>
                </c:pt>
                <c:pt idx="14">
                  <c:v>Andheri</c:v>
                </c:pt>
                <c:pt idx="15">
                  <c:v>Churchgate</c:v>
                </c:pt>
                <c:pt idx="16">
                  <c:v>Powai</c:v>
                </c:pt>
                <c:pt idx="17">
                  <c:v>Colaba</c:v>
                </c:pt>
                <c:pt idx="18">
                  <c:v>Sion</c:v>
                </c:pt>
                <c:pt idx="19">
                  <c:v>Dharavi</c:v>
                </c:pt>
              </c:strCache>
            </c:strRef>
          </c:cat>
          <c:val>
            <c:numRef>
              <c:f>'03_Pivot_Tables'!$J$4:$J$24</c:f>
              <c:numCache>
                <c:formatCode>0.00</c:formatCode>
                <c:ptCount val="20"/>
                <c:pt idx="0">
                  <c:v>4.4633333333333356</c:v>
                </c:pt>
                <c:pt idx="1">
                  <c:v>4.4366666666666648</c:v>
                </c:pt>
                <c:pt idx="2">
                  <c:v>4.426666666666665</c:v>
                </c:pt>
                <c:pt idx="3">
                  <c:v>4.4250000000000007</c:v>
                </c:pt>
                <c:pt idx="4">
                  <c:v>4.3899999999999988</c:v>
                </c:pt>
                <c:pt idx="5">
                  <c:v>4.370000000000001</c:v>
                </c:pt>
                <c:pt idx="6">
                  <c:v>4.3616666666666672</c:v>
                </c:pt>
                <c:pt idx="7">
                  <c:v>4.3599999999999985</c:v>
                </c:pt>
                <c:pt idx="8">
                  <c:v>4.339999999999999</c:v>
                </c:pt>
                <c:pt idx="9">
                  <c:v>4.331666666666667</c:v>
                </c:pt>
                <c:pt idx="10">
                  <c:v>4.328333333333334</c:v>
                </c:pt>
                <c:pt idx="11">
                  <c:v>4.326666666666668</c:v>
                </c:pt>
                <c:pt idx="12">
                  <c:v>4.3233333333333333</c:v>
                </c:pt>
                <c:pt idx="13">
                  <c:v>4.3050000000000015</c:v>
                </c:pt>
                <c:pt idx="14">
                  <c:v>4.3050000000000006</c:v>
                </c:pt>
                <c:pt idx="15">
                  <c:v>4.3033333333333355</c:v>
                </c:pt>
                <c:pt idx="16">
                  <c:v>4.3</c:v>
                </c:pt>
                <c:pt idx="17">
                  <c:v>4.2933333333333339</c:v>
                </c:pt>
                <c:pt idx="18">
                  <c:v>4.2283333333333344</c:v>
                </c:pt>
                <c:pt idx="19">
                  <c:v>4.1449999999999996</c:v>
                </c:pt>
              </c:numCache>
            </c:numRef>
          </c:val>
          <c:extLst>
            <c:ext xmlns:c16="http://schemas.microsoft.com/office/drawing/2014/chart" uri="{C3380CC4-5D6E-409C-BE32-E72D297353CC}">
              <c16:uniqueId val="{00000000-AF9C-438B-9B22-A6BF1B9C049C}"/>
            </c:ext>
          </c:extLst>
        </c:ser>
        <c:dLbls>
          <c:showLegendKey val="0"/>
          <c:showVal val="0"/>
          <c:showCatName val="0"/>
          <c:showSerName val="0"/>
          <c:showPercent val="0"/>
          <c:showBubbleSize val="0"/>
        </c:dLbls>
        <c:gapWidth val="100"/>
        <c:axId val="30389839"/>
        <c:axId val="30390799"/>
      </c:barChart>
      <c:catAx>
        <c:axId val="30389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390799"/>
        <c:crosses val="autoZero"/>
        <c:auto val="1"/>
        <c:lblAlgn val="ctr"/>
        <c:lblOffset val="100"/>
        <c:noMultiLvlLbl val="0"/>
      </c:catAx>
      <c:valAx>
        <c:axId val="303907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30389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[Mumbai Cafe Market Analysis Dashboard.xlsx]03_Pivot_Tables!PivotTable3</c:name>
    <c:fmtId val="3"/>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Top Revenue Generating Areas (₹ Billions)</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'03_Pivot_Tables'!$B$29</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'03_Pivot_Tables'!$A$30:$A$50</c:f>
              <c:strCache>
                <c:ptCount val="20"/>
                <c:pt idx="0">
                  <c:v>Sion</c:v>
                </c:pt>
                <c:pt idx="1">
                  <c:v>Churchgate</c:v>
                </c:pt>
                <c:pt idx="2">
                  <c:v>Colaba</c:v>
                </c:pt>
                <c:pt idx="3">
                  <c:v>Powai</c:v>
                </c:pt>
                <c:pt idx="4">
                  <c:v>Dharavi</c:v>
                </c:pt>
                <c:pt idx="5">
                  <c:v>Dadar</c:v>
                </c:pt>
                <c:pt idx="6">
                  <c:v>Bandra</c:v>
                </c:pt>
                <c:pt idx="7">
                  <c:v>Worli</c:v>
                </c:pt>
                <c:pt idx="8">
                  <c:v>Andheri</c:v>
                </c:pt>
                <c:pt idx="9">
                  <c:v>Vashi</c:v>
                </c:pt>
                <c:pt idx="10">
                  <c:v>Borivali</c:v>
                </c:pt>
                <c:pt idx="11">
                  <c:v>Ghatkopar</c:v>
                </c:pt>
                <c:pt idx="12">
                  <c:v>Mulund</c:v>
                </c:pt>
                <c:pt idx="13">
                  <c:v>Chembur</c:v>
                </c:pt>
                <c:pt idx="14">
                  <c:v>Thane</c:v>
                </c:pt>
                <c:pt idx="15">
                  <c:v>Kurla</c:v>
                </c:pt>
                <c:pt idx="16">
                  <c:v>Goregaon</c:v>
                </c:pt>
                <c:pt idx="17">
                  <c:v>Kharghar</c:v>
                </c:pt>
                <c:pt idx="18">
                  <c:v>Nerul</c:v>
                </c:pt>
                <c:pt idx="19">
                  <c:v>Panvel</c:v>
                </c:pt>
              </c:strCache>
            </c:strRef>
          </c:cat>
          <c:val>
            <c:numRef>
              <c:f>'03_Pivot_Tables'!$B$30:$B$50</c:f>
              <c:numCache>
                <c:formatCode>"₹"\ #,##0.00</c:formatCode>
                <c:ptCount val="20"/>
                <c:pt idx="0">
                  <c:v>1745521250</c:v>
                </c:pt>
                <c:pt idx="1">
                  <c:v>1666333750</c:v>
                </c:pt>
                <c:pt idx="2">
                  <c:v>1563250000</c:v>
                </c:pt>
                <c:pt idx="3">
                  <c:v>1344095000</c:v>
                </c:pt>
                <c:pt idx="4">
                  <c:v>1083901250</c:v>
                </c:pt>
                <c:pt idx="5">
                  <c:v>994476250</c:v>
                </c:pt>
                <c:pt idx="6">
                  <c:v>968548750</c:v>
                </c:pt>
                <c:pt idx="7">
                  <c:v>859413750</c:v>
                </c:pt>
                <c:pt idx="8">
                  <c:v>776888750</c:v>
                </c:pt>
                <c:pt idx="9">
                  <c:v>761547500</c:v>
                </c:pt>
                <c:pt idx="10">
                  <c:v>673027500</c:v>
                </c:pt>
                <c:pt idx="11">
                  <c:v>545926250</c:v>
                </c:pt>
                <c:pt idx="12">
                  <c:v>522402500</c:v>
                </c:pt>
                <c:pt idx="13">
                  <c:v>511295000</c:v>
                </c:pt>
                <c:pt idx="14">
                  <c:v>450703750</c:v>
                </c:pt>
                <c:pt idx="15">
                  <c:v>386860000</c:v>
                </c:pt>
                <c:pt idx="16">
                  <c:v>383850000</c:v>
                </c:pt>
                <c:pt idx="17">
                  <c:v>375917500</c:v>
                </c:pt>
                <c:pt idx="18">
                  <c:v>312101250</c:v>
                </c:pt>
                <c:pt idx="19">
                  <c:v>219107500</c:v>
                </c:pt>
              </c:numCache>
            </c:numRef>
          </c:val>
          <c:extLst>
            <c:ext xmlns:c16="http://schemas.microsoft.com/office/drawing/2014/chart" uri="{C3380CC4-5D6E-409C-BE32-E72D297353CC}">
              <c16:uniqueId val="{00000000-C4D9-419C-AA1B-8B5FEA4DDA00}"/>
            </c:ext>
          </c:extLst>
        </c:ser>
        <c:dLbls>
          <c:showLegendKey val="0"/>
          <c:showVal val="0"/>
          <c:showCatName val="0"/>
          <c:showSerName val="0"/>
          <c:showPercent val="0"/>
          <c:showBubbleSize val="0"/>
        </c:dLbls>
        <c:gapWidth val="100"/>
        <c:overlap val="-24"/>
        <c:axId val="147354863"/>
        <c:axId val="147355823"/>
      </c:barChart>
      <c:catAx>
        <c:axId val="147354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7355823"/>
        <c:crosses val="autoZero"/>
        <c:auto val="1"/>
        <c:lblAlgn val="ctr"/>
        <c:lblOffset val="100"/>
        <c:noMultiLvlLbl val="0"/>
      </c:catAx>
      <c:valAx>
        <c:axId val="1473558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7354863"/>
        <c:crosses val="autoZero"/>
        <c:crossBetween val="between"/>
        <c:dispUnits>
          <c:builtInUnit val="billions"/>
          <c:dispUnitsLbl>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[Mumbai Cafe Market Analysis Dashboard.xlsx]03_Pivot_Tables!PivotTable5</c:name>
    <c:fmtId val="5"/>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IN"/>
              <a:t>Top 10 Cafes by Popularity Score</a:t>
            </a:r>
            <a:endParaRPr lang="en-US"/>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symbol val="circle"/>
          <c:size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'03_Pivot_Tables'!$J$42</c:f>
              <c:strCache>
                <c:ptCount val="1"/>
                <c:pt idx="0">
                  <c:v>Total</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invertIfNegative val="0"/>
          <c:cat>
            <c:strRef>
              <c:f>'03_Pivot_Tables'!$I$43:$I$53</c:f>
              <c:strCache>
                <c:ptCount val="10"/>
                <c:pt idx="0">
                  <c:v>Bademiya</c:v>
                </c:pt>
                <c:pt idx="1">
                  <c:v>Cafe MadrasÂ®ï¸</c:v>
                </c:pt>
                <c:pt idx="2">
                  <c:v>Grandmama's Cafe, Dadar East</c:v>
                </c:pt>
                <c:pt idx="3">
                  <c:v>Gurukripa</c:v>
                </c:pt>
                <c:pt idx="4">
                  <c:v>Leopold Cafe</c:v>
                </c:pt>
                <c:pt idx="5">
                  <c:v>Pizza By The Bay</c:v>
                </c:pt>
                <c:pt idx="6">
                  <c:v>Prithvi Cafe</c:v>
                </c:pt>
                <c:pt idx="7">
                  <c:v>Ram Ashraya</c:v>
                </c:pt>
                <c:pt idx="8">
                  <c:v>Starbucks</c:v>
                </c:pt>
                <c:pt idx="9">
                  <c:v>Third Wave Coffee</c:v>
                </c:pt>
              </c:strCache>
            </c:strRef>
          </c:cat>
          <c:val>
            <c:numRef>
              <c:f>'03_Pivot_Tables'!$J$43:$J$53</c:f>
              <c:numCache>
                <c:formatCode>General</c:formatCode>
                <c:ptCount val="10"/>
                <c:pt idx="0">
                  <c:v>89824.900000000009</c:v>
                </c:pt>
                <c:pt idx="1">
                  <c:v>324720.00000000006</c:v>
                </c:pt>
                <c:pt idx="2">
                  <c:v>138694.79999999999</c:v>
                </c:pt>
                <c:pt idx="3">
                  <c:v>343262</c:v>
                </c:pt>
                <c:pt idx="4">
                  <c:v>251764.80000000002</c:v>
                </c:pt>
                <c:pt idx="5">
                  <c:v>107860.20000000001</c:v>
                </c:pt>
                <c:pt idx="6">
                  <c:v>80942.400000000009</c:v>
                </c:pt>
                <c:pt idx="7">
                  <c:v>142137.60000000001</c:v>
                </c:pt>
                <c:pt idx="8">
                  <c:v>246743.2</c:v>
                </c:pt>
                <c:pt idx="9">
                  <c:v>106389.89999999998</c:v>
                </c:pt>
              </c:numCache>
            </c:numRef>
          </c:val>
          <c:extLst>
            <c:ext xmlns:c16="http://schemas.microsoft.com/office/drawing/2014/chart" uri="{C3380CC4-5D6E-409C-BE32-E72D297353CC}">
              <c16:uniqueId val="{00000000-25F3-4E99-BE5F-C24A79E583C6}"/>
            </c:ext>
          </c:extLst>
        </c:ser>
        <c:dLbls>
          <c:showLegendKey val="0"/>
          <c:showVal val="0"/>
          <c:showCatName val="0"/>
          <c:showSerName val="0"/>
          <c:showPercent val="0"/>
          <c:showBubbleSize val="0"/>
        </c:dLbls>
        <c:gapWidth val="100"/>
        <c:axId val="147348623"/>
        <c:axId val="147356303"/>
      </c:barChart>
      <c:catAx>
        <c:axId val="1473486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7356303"/>
        <c:crosses val="autoZero"/>
        <c:auto val="1"/>
        <c:lblAlgn val="ctr"/>
        <c:lblOffset val="100"/>
        <c:noMultiLvlLbl val="0"/>
      </c:catAx>
      <c:valAx>
        <c:axId val="1473563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473486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[Mumbai Cafe Market Analysis Dashboard.xlsx]03_Pivot_Tables!PivotTable4</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Cafe Category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'03_Pivot_Tables'!$J$29</c:f>
              <c:strCache>
                <c:ptCount val="1"/>
                <c:pt idx="0">
                  <c:v>Total</c:v>
                </c:pt>
              </c:strCache>
            </c:strRef>
          </c:tx>
          <c:dPt>
            <c:idx val="0"/>
            <c:bubble3D val="0"/>
            <c:spPr>
              <a:solidFill>
                <a:schemeClr val="accent1">
                  <a:shade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308-4DB8-8A37-9C1C28335C47}"/>
              </c:ext>
            </c:extLst>
          </c:dPt>
          <c:dPt>
            <c:idx val="1"/>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308-4DB8-8A37-9C1C28335C47}"/>
              </c:ext>
            </c:extLst>
          </c:dPt>
          <c:dPt>
            <c:idx val="2"/>
            <c:bubble3D val="0"/>
            <c:spPr>
              <a:solidFill>
                <a:schemeClr val="accent1">
                  <a:tint val="6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308-4DB8-8A37-9C1C28335C4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'03_Pivot_Tables'!$I$30:$I$33</c:f>
              <c:strCache>
                <c:ptCount val="3"/>
                <c:pt idx="0">
                  <c:v>Average</c:v>
                </c:pt>
                <c:pt idx="1">
                  <c:v>Popular</c:v>
                </c:pt>
                <c:pt idx="2">
                  <c:v>Premium</c:v>
                </c:pt>
              </c:strCache>
            </c:strRef>
          </c:cat>
          <c:val>
            <c:numRef>
              <c:f>'03_Pivot_Tables'!$J$30:$J$33</c:f>
              <c:numCache>
                <c:formatCode>General</c:formatCode>
                <c:ptCount val="3"/>
                <c:pt idx="0">
                  <c:v>118</c:v>
                </c:pt>
                <c:pt idx="1">
                  <c:v>677</c:v>
                </c:pt>
                <c:pt idx="2">
                  <c:v>405</c:v>
                </c:pt>
              </c:numCache>
            </c:numRef>
          </c:val>
          <c:extLst>
            <c:ext xmlns:c16="http://schemas.microsoft.com/office/drawing/2014/chart" uri="{C3380CC4-5D6E-409C-BE32-E72D297353CC}">
              <c16:uniqueId val="{00000006-5308-4DB8-8A37-9C1C28335C4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Popularity vs Customer Satisfaction</a:t>
            </a: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lotArea>
      <c:layout>
        <c:manualLayout>
          <c:layoutTarget val="inner"/>
          <c:xMode val="edge"/>
          <c:yMode val="edge"/>
          <c:x val="0.12015716624112742"/>
          <c:y val="0.21365153600554287"/>
          <c:w val="0.82360995183997876"/>
          <c:h val="0.61887774228896864"/>
        </c:manualLayout>
      </c:layout>
      <c:scatterChart>
        <c:scatterStyle val="lineMarker"/>
        <c:varyColors val="0"/>
        <c:ser>
          <c:idx val="0"/>
          <c:order val="0"/>
          <c:tx>
            <c:strRef>
              <c:f>'02_Working_Dataset'!$D$1</c:f>
              <c:strCache>
                <c:ptCount val="1"/>
                <c:pt idx="0">
                  <c:v>Total Ratings</c:v>
                </c:pt>
              </c:strCache>
            </c:strRef>
          </c:tx>
          <c:spPr>
            <a:ln w="25400" cap="rnd">
              <a:noFill/>
              <a:round/>
            </a:ln>
            <a:effectLst/>
          </c:spPr>
          <c:marker>
            <c:symbol val="circle"/>
            <c:size val="6"/>
            <c:spPr>
              <a:solidFill>
                <a:schemeClr val="lt1"/>
              </a:solidFill>
              <a:ln w="38100">
                <a:solidFill>
                  <a:schemeClr val="accent1">
                    <a:alpha val="60000"/>
                  </a:schemeClr>
                </a:solidFill>
              </a:ln>
              <a:effectLst/>
            </c:spPr>
          </c:marker>
          <c:trendline>
            <c:spPr>
              <a:ln w="15875" cap="rnd">
                <a:solidFill>
                  <a:schemeClr val="accent1"/>
                </a:solidFill>
              </a:ln>
              <a:effectLst/>
            </c:spPr>
            <c:trendlineType val="linear"/>
            <c:dispRSqr val="1"/>
            <c:dispEq val="0"/>
            <c:trendlineLbl>
              <c:layout>
                <c:manualLayout>
                  <c:x val="-0.20416183028928894"/>
                  <c:y val="-4.728641892409134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'02_Working_Dataset'!$C$2:$C$1201</c:f>
              <c:numCache>
                <c:formatCode>General</c:formatCode>
                <c:ptCount val="1200"/>
                <c:pt idx="0">
                  <c:v>4.2</c:v>
                </c:pt>
                <c:pt idx="1">
                  <c:v>4.2</c:v>
                </c:pt>
                <c:pt idx="2">
                  <c:v>4.2</c:v>
                </c:pt>
                <c:pt idx="3">
                  <c:v>4.3</c:v>
                </c:pt>
                <c:pt idx="4">
                  <c:v>4.4000000000000004</c:v>
                </c:pt>
                <c:pt idx="5">
                  <c:v>4.4000000000000004</c:v>
                </c:pt>
                <c:pt idx="6">
                  <c:v>4.3</c:v>
                </c:pt>
                <c:pt idx="7">
                  <c:v>4.2</c:v>
                </c:pt>
                <c:pt idx="8">
                  <c:v>4.4000000000000004</c:v>
                </c:pt>
                <c:pt idx="9">
                  <c:v>4.3</c:v>
                </c:pt>
                <c:pt idx="10">
                  <c:v>4.3</c:v>
                </c:pt>
                <c:pt idx="11">
                  <c:v>4.2</c:v>
                </c:pt>
                <c:pt idx="12">
                  <c:v>4.3</c:v>
                </c:pt>
                <c:pt idx="13">
                  <c:v>4.4000000000000004</c:v>
                </c:pt>
                <c:pt idx="14">
                  <c:v>3.9</c:v>
                </c:pt>
                <c:pt idx="15">
                  <c:v>3.9</c:v>
                </c:pt>
                <c:pt idx="16">
                  <c:v>4.3</c:v>
                </c:pt>
                <c:pt idx="17">
                  <c:v>4.5999999999999996</c:v>
                </c:pt>
                <c:pt idx="18">
                  <c:v>4.3</c:v>
                </c:pt>
                <c:pt idx="19">
                  <c:v>4.3</c:v>
                </c:pt>
                <c:pt idx="20">
                  <c:v>4.8</c:v>
                </c:pt>
                <c:pt idx="21">
                  <c:v>4.4000000000000004</c:v>
                </c:pt>
                <c:pt idx="22">
                  <c:v>4.4000000000000004</c:v>
                </c:pt>
                <c:pt idx="23">
                  <c:v>4.3</c:v>
                </c:pt>
                <c:pt idx="24">
                  <c:v>4.5</c:v>
                </c:pt>
                <c:pt idx="25">
                  <c:v>4</c:v>
                </c:pt>
                <c:pt idx="26">
                  <c:v>4.5999999999999996</c:v>
                </c:pt>
                <c:pt idx="27">
                  <c:v>4</c:v>
                </c:pt>
                <c:pt idx="28">
                  <c:v>4.4000000000000004</c:v>
                </c:pt>
                <c:pt idx="29">
                  <c:v>4.5</c:v>
                </c:pt>
                <c:pt idx="30">
                  <c:v>4.5</c:v>
                </c:pt>
                <c:pt idx="31">
                  <c:v>4.0999999999999996</c:v>
                </c:pt>
                <c:pt idx="32">
                  <c:v>4.4000000000000004</c:v>
                </c:pt>
                <c:pt idx="33">
                  <c:v>4.4000000000000004</c:v>
                </c:pt>
                <c:pt idx="34">
                  <c:v>4.4000000000000004</c:v>
                </c:pt>
                <c:pt idx="35">
                  <c:v>3.9</c:v>
                </c:pt>
                <c:pt idx="36">
                  <c:v>4.0999999999999996</c:v>
                </c:pt>
                <c:pt idx="37">
                  <c:v>4.5</c:v>
                </c:pt>
                <c:pt idx="38">
                  <c:v>4.3</c:v>
                </c:pt>
                <c:pt idx="39">
                  <c:v>3.9</c:v>
                </c:pt>
                <c:pt idx="40">
                  <c:v>3.9</c:v>
                </c:pt>
                <c:pt idx="41">
                  <c:v>3.7</c:v>
                </c:pt>
                <c:pt idx="42">
                  <c:v>4.0999999999999996</c:v>
                </c:pt>
                <c:pt idx="43">
                  <c:v>4.4000000000000004</c:v>
                </c:pt>
                <c:pt idx="44">
                  <c:v>4.3</c:v>
                </c:pt>
                <c:pt idx="45">
                  <c:v>4.3</c:v>
                </c:pt>
                <c:pt idx="46">
                  <c:v>4.4000000000000004</c:v>
                </c:pt>
                <c:pt idx="47">
                  <c:v>4.4000000000000004</c:v>
                </c:pt>
                <c:pt idx="48">
                  <c:v>4.4000000000000004</c:v>
                </c:pt>
                <c:pt idx="49">
                  <c:v>4.0999999999999996</c:v>
                </c:pt>
                <c:pt idx="50">
                  <c:v>4</c:v>
                </c:pt>
                <c:pt idx="51">
                  <c:v>4.5</c:v>
                </c:pt>
                <c:pt idx="52">
                  <c:v>4.5999999999999996</c:v>
                </c:pt>
                <c:pt idx="53">
                  <c:v>5</c:v>
                </c:pt>
                <c:pt idx="54">
                  <c:v>4.4000000000000004</c:v>
                </c:pt>
                <c:pt idx="55">
                  <c:v>4.5</c:v>
                </c:pt>
                <c:pt idx="56">
                  <c:v>3.6</c:v>
                </c:pt>
                <c:pt idx="57">
                  <c:v>4.3</c:v>
                </c:pt>
                <c:pt idx="58">
                  <c:v>4.5</c:v>
                </c:pt>
                <c:pt idx="59">
                  <c:v>4.4000000000000004</c:v>
                </c:pt>
                <c:pt idx="60">
                  <c:v>4.4000000000000004</c:v>
                </c:pt>
                <c:pt idx="61">
                  <c:v>4.4000000000000004</c:v>
                </c:pt>
                <c:pt idx="62">
                  <c:v>4.5</c:v>
                </c:pt>
                <c:pt idx="63">
                  <c:v>4</c:v>
                </c:pt>
                <c:pt idx="64">
                  <c:v>4.0999999999999996</c:v>
                </c:pt>
                <c:pt idx="65">
                  <c:v>4.5</c:v>
                </c:pt>
                <c:pt idx="66">
                  <c:v>4.3</c:v>
                </c:pt>
                <c:pt idx="67">
                  <c:v>3.8</c:v>
                </c:pt>
                <c:pt idx="68">
                  <c:v>4.3</c:v>
                </c:pt>
                <c:pt idx="69">
                  <c:v>4.0999999999999996</c:v>
                </c:pt>
                <c:pt idx="70">
                  <c:v>4.3</c:v>
                </c:pt>
                <c:pt idx="71">
                  <c:v>4.4000000000000004</c:v>
                </c:pt>
                <c:pt idx="72">
                  <c:v>4.0999999999999996</c:v>
                </c:pt>
                <c:pt idx="73">
                  <c:v>4.2</c:v>
                </c:pt>
                <c:pt idx="74">
                  <c:v>4.0999999999999996</c:v>
                </c:pt>
                <c:pt idx="75">
                  <c:v>3.9</c:v>
                </c:pt>
                <c:pt idx="76">
                  <c:v>4.4000000000000004</c:v>
                </c:pt>
                <c:pt idx="77">
                  <c:v>4.5999999999999996</c:v>
                </c:pt>
                <c:pt idx="78">
                  <c:v>4.3</c:v>
                </c:pt>
                <c:pt idx="79">
                  <c:v>4.4000000000000004</c:v>
                </c:pt>
                <c:pt idx="80">
                  <c:v>4.4000000000000004</c:v>
                </c:pt>
                <c:pt idx="81">
                  <c:v>4</c:v>
                </c:pt>
                <c:pt idx="82">
                  <c:v>4.2</c:v>
                </c:pt>
                <c:pt idx="83">
                  <c:v>4.0999999999999996</c:v>
                </c:pt>
                <c:pt idx="84">
                  <c:v>4.2</c:v>
                </c:pt>
                <c:pt idx="85">
                  <c:v>4.2</c:v>
                </c:pt>
                <c:pt idx="86">
                  <c:v>4.3</c:v>
                </c:pt>
                <c:pt idx="87">
                  <c:v>4.2</c:v>
                </c:pt>
                <c:pt idx="88">
                  <c:v>4</c:v>
                </c:pt>
                <c:pt idx="89">
                  <c:v>4.5999999999999996</c:v>
                </c:pt>
                <c:pt idx="90">
                  <c:v>4.3</c:v>
                </c:pt>
                <c:pt idx="91">
                  <c:v>4.3</c:v>
                </c:pt>
                <c:pt idx="92">
                  <c:v>4.0999999999999996</c:v>
                </c:pt>
                <c:pt idx="93">
                  <c:v>4.2</c:v>
                </c:pt>
                <c:pt idx="94">
                  <c:v>4.2</c:v>
                </c:pt>
                <c:pt idx="95">
                  <c:v>4.3</c:v>
                </c:pt>
                <c:pt idx="96">
                  <c:v>3.9</c:v>
                </c:pt>
                <c:pt idx="97">
                  <c:v>4.8</c:v>
                </c:pt>
                <c:pt idx="98">
                  <c:v>4.4000000000000004</c:v>
                </c:pt>
                <c:pt idx="99">
                  <c:v>4.4000000000000004</c:v>
                </c:pt>
                <c:pt idx="100">
                  <c:v>4.4000000000000004</c:v>
                </c:pt>
                <c:pt idx="101">
                  <c:v>4.4000000000000004</c:v>
                </c:pt>
                <c:pt idx="102">
                  <c:v>4.2</c:v>
                </c:pt>
                <c:pt idx="103">
                  <c:v>4.8</c:v>
                </c:pt>
                <c:pt idx="104">
                  <c:v>4</c:v>
                </c:pt>
                <c:pt idx="105">
                  <c:v>4.9000000000000004</c:v>
                </c:pt>
                <c:pt idx="106">
                  <c:v>4.4000000000000004</c:v>
                </c:pt>
                <c:pt idx="107">
                  <c:v>4.5999999999999996</c:v>
                </c:pt>
                <c:pt idx="108">
                  <c:v>4.3</c:v>
                </c:pt>
                <c:pt idx="109">
                  <c:v>4.3</c:v>
                </c:pt>
                <c:pt idx="110">
                  <c:v>4.5999999999999996</c:v>
                </c:pt>
                <c:pt idx="111">
                  <c:v>4.5999999999999996</c:v>
                </c:pt>
                <c:pt idx="112">
                  <c:v>4</c:v>
                </c:pt>
                <c:pt idx="113">
                  <c:v>4.4000000000000004</c:v>
                </c:pt>
                <c:pt idx="114">
                  <c:v>4.8</c:v>
                </c:pt>
                <c:pt idx="115">
                  <c:v>4.4000000000000004</c:v>
                </c:pt>
                <c:pt idx="116">
                  <c:v>4.2</c:v>
                </c:pt>
                <c:pt idx="117">
                  <c:v>4.4000000000000004</c:v>
                </c:pt>
                <c:pt idx="118">
                  <c:v>4.0999999999999996</c:v>
                </c:pt>
                <c:pt idx="119">
                  <c:v>4.2</c:v>
                </c:pt>
                <c:pt idx="120">
                  <c:v>4.0999999999999996</c:v>
                </c:pt>
                <c:pt idx="121">
                  <c:v>4</c:v>
                </c:pt>
                <c:pt idx="122">
                  <c:v>4.2</c:v>
                </c:pt>
                <c:pt idx="123">
                  <c:v>4.5999999999999996</c:v>
                </c:pt>
                <c:pt idx="124">
                  <c:v>4.2</c:v>
                </c:pt>
                <c:pt idx="125">
                  <c:v>4</c:v>
                </c:pt>
                <c:pt idx="126">
                  <c:v>4.7</c:v>
                </c:pt>
                <c:pt idx="127">
                  <c:v>4.3</c:v>
                </c:pt>
                <c:pt idx="128">
                  <c:v>4</c:v>
                </c:pt>
                <c:pt idx="129">
                  <c:v>4.8</c:v>
                </c:pt>
                <c:pt idx="130">
                  <c:v>3.9</c:v>
                </c:pt>
                <c:pt idx="131">
                  <c:v>4.5</c:v>
                </c:pt>
                <c:pt idx="132">
                  <c:v>4.5</c:v>
                </c:pt>
                <c:pt idx="133">
                  <c:v>4.5</c:v>
                </c:pt>
                <c:pt idx="134">
                  <c:v>4.8</c:v>
                </c:pt>
                <c:pt idx="135">
                  <c:v>4.4000000000000004</c:v>
                </c:pt>
                <c:pt idx="136">
                  <c:v>4.0999999999999996</c:v>
                </c:pt>
                <c:pt idx="137">
                  <c:v>3.9</c:v>
                </c:pt>
                <c:pt idx="138">
                  <c:v>4.7</c:v>
                </c:pt>
                <c:pt idx="139">
                  <c:v>4.5</c:v>
                </c:pt>
                <c:pt idx="140">
                  <c:v>4.4000000000000004</c:v>
                </c:pt>
                <c:pt idx="141">
                  <c:v>4.8</c:v>
                </c:pt>
                <c:pt idx="142">
                  <c:v>4.2</c:v>
                </c:pt>
                <c:pt idx="143">
                  <c:v>4.7</c:v>
                </c:pt>
                <c:pt idx="144">
                  <c:v>4.0999999999999996</c:v>
                </c:pt>
                <c:pt idx="145">
                  <c:v>4.3</c:v>
                </c:pt>
                <c:pt idx="146">
                  <c:v>4.5999999999999996</c:v>
                </c:pt>
                <c:pt idx="147">
                  <c:v>4.4000000000000004</c:v>
                </c:pt>
                <c:pt idx="148">
                  <c:v>4.0999999999999996</c:v>
                </c:pt>
                <c:pt idx="149">
                  <c:v>4</c:v>
                </c:pt>
                <c:pt idx="150">
                  <c:v>3.9</c:v>
                </c:pt>
                <c:pt idx="151">
                  <c:v>4.2</c:v>
                </c:pt>
                <c:pt idx="152">
                  <c:v>3.9</c:v>
                </c:pt>
                <c:pt idx="153">
                  <c:v>4.7</c:v>
                </c:pt>
                <c:pt idx="154">
                  <c:v>4.4000000000000004</c:v>
                </c:pt>
                <c:pt idx="155">
                  <c:v>4.4000000000000004</c:v>
                </c:pt>
                <c:pt idx="156">
                  <c:v>4.5999999999999996</c:v>
                </c:pt>
                <c:pt idx="157">
                  <c:v>4.4000000000000004</c:v>
                </c:pt>
                <c:pt idx="158">
                  <c:v>4.0999999999999996</c:v>
                </c:pt>
                <c:pt idx="159">
                  <c:v>4.4000000000000004</c:v>
                </c:pt>
                <c:pt idx="160">
                  <c:v>4.3</c:v>
                </c:pt>
                <c:pt idx="161">
                  <c:v>4.5999999999999996</c:v>
                </c:pt>
                <c:pt idx="162">
                  <c:v>4.2</c:v>
                </c:pt>
                <c:pt idx="163">
                  <c:v>4.4000000000000004</c:v>
                </c:pt>
                <c:pt idx="164">
                  <c:v>4.2</c:v>
                </c:pt>
                <c:pt idx="165">
                  <c:v>4.3</c:v>
                </c:pt>
                <c:pt idx="166">
                  <c:v>4.5</c:v>
                </c:pt>
                <c:pt idx="167">
                  <c:v>4.3</c:v>
                </c:pt>
                <c:pt idx="168">
                  <c:v>4.9000000000000004</c:v>
                </c:pt>
                <c:pt idx="169">
                  <c:v>4.7</c:v>
                </c:pt>
                <c:pt idx="170">
                  <c:v>3.9</c:v>
                </c:pt>
                <c:pt idx="171">
                  <c:v>3.5</c:v>
                </c:pt>
                <c:pt idx="172">
                  <c:v>4.8</c:v>
                </c:pt>
                <c:pt idx="173">
                  <c:v>3.9</c:v>
                </c:pt>
                <c:pt idx="174">
                  <c:v>4.3</c:v>
                </c:pt>
                <c:pt idx="175">
                  <c:v>4.2</c:v>
                </c:pt>
                <c:pt idx="176">
                  <c:v>4.0999999999999996</c:v>
                </c:pt>
                <c:pt idx="177">
                  <c:v>4.4000000000000004</c:v>
                </c:pt>
                <c:pt idx="178">
                  <c:v>4.9000000000000004</c:v>
                </c:pt>
                <c:pt idx="179">
                  <c:v>4.2</c:v>
                </c:pt>
                <c:pt idx="180">
                  <c:v>3.9</c:v>
                </c:pt>
                <c:pt idx="181">
                  <c:v>4.2</c:v>
                </c:pt>
                <c:pt idx="182">
                  <c:v>4.0999999999999996</c:v>
                </c:pt>
                <c:pt idx="183">
                  <c:v>4.9000000000000004</c:v>
                </c:pt>
                <c:pt idx="184">
                  <c:v>4.2</c:v>
                </c:pt>
                <c:pt idx="185">
                  <c:v>4.5999999999999996</c:v>
                </c:pt>
                <c:pt idx="186">
                  <c:v>4.3</c:v>
                </c:pt>
                <c:pt idx="187">
                  <c:v>4.9000000000000004</c:v>
                </c:pt>
                <c:pt idx="188">
                  <c:v>4.3</c:v>
                </c:pt>
                <c:pt idx="189">
                  <c:v>4.4000000000000004</c:v>
                </c:pt>
                <c:pt idx="190">
                  <c:v>4.4000000000000004</c:v>
                </c:pt>
                <c:pt idx="191">
                  <c:v>4.3</c:v>
                </c:pt>
                <c:pt idx="192">
                  <c:v>4.3</c:v>
                </c:pt>
                <c:pt idx="193">
                  <c:v>4.5</c:v>
                </c:pt>
                <c:pt idx="194">
                  <c:v>4.5999999999999996</c:v>
                </c:pt>
                <c:pt idx="195">
                  <c:v>4.7</c:v>
                </c:pt>
                <c:pt idx="196">
                  <c:v>4.4000000000000004</c:v>
                </c:pt>
                <c:pt idx="197">
                  <c:v>4.4000000000000004</c:v>
                </c:pt>
                <c:pt idx="198">
                  <c:v>4.4000000000000004</c:v>
                </c:pt>
                <c:pt idx="199">
                  <c:v>4.8</c:v>
                </c:pt>
                <c:pt idx="200">
                  <c:v>4.7</c:v>
                </c:pt>
                <c:pt idx="201">
                  <c:v>4.4000000000000004</c:v>
                </c:pt>
                <c:pt idx="202">
                  <c:v>4.3</c:v>
                </c:pt>
                <c:pt idx="203">
                  <c:v>3.8</c:v>
                </c:pt>
                <c:pt idx="204">
                  <c:v>4.5</c:v>
                </c:pt>
                <c:pt idx="205">
                  <c:v>4.4000000000000004</c:v>
                </c:pt>
                <c:pt idx="206">
                  <c:v>4.5999999999999996</c:v>
                </c:pt>
                <c:pt idx="207">
                  <c:v>4.5999999999999996</c:v>
                </c:pt>
                <c:pt idx="208">
                  <c:v>4.3</c:v>
                </c:pt>
                <c:pt idx="209">
                  <c:v>4.2</c:v>
                </c:pt>
                <c:pt idx="210">
                  <c:v>4.4000000000000004</c:v>
                </c:pt>
                <c:pt idx="211">
                  <c:v>4.0999999999999996</c:v>
                </c:pt>
                <c:pt idx="212">
                  <c:v>4.4000000000000004</c:v>
                </c:pt>
                <c:pt idx="213">
                  <c:v>4.0999999999999996</c:v>
                </c:pt>
                <c:pt idx="214">
                  <c:v>4.8</c:v>
                </c:pt>
                <c:pt idx="215">
                  <c:v>4.3</c:v>
                </c:pt>
                <c:pt idx="216">
                  <c:v>4.2</c:v>
                </c:pt>
                <c:pt idx="217">
                  <c:v>4.3</c:v>
                </c:pt>
                <c:pt idx="218">
                  <c:v>4.2</c:v>
                </c:pt>
                <c:pt idx="219">
                  <c:v>4.5</c:v>
                </c:pt>
                <c:pt idx="220">
                  <c:v>4.5999999999999996</c:v>
                </c:pt>
                <c:pt idx="221">
                  <c:v>4.3</c:v>
                </c:pt>
                <c:pt idx="222">
                  <c:v>4.2</c:v>
                </c:pt>
                <c:pt idx="223">
                  <c:v>4.4000000000000004</c:v>
                </c:pt>
                <c:pt idx="224">
                  <c:v>3.8</c:v>
                </c:pt>
                <c:pt idx="225">
                  <c:v>3.9</c:v>
                </c:pt>
                <c:pt idx="226">
                  <c:v>4.3</c:v>
                </c:pt>
                <c:pt idx="227">
                  <c:v>4.2</c:v>
                </c:pt>
                <c:pt idx="228">
                  <c:v>4.5</c:v>
                </c:pt>
                <c:pt idx="229">
                  <c:v>4.2</c:v>
                </c:pt>
                <c:pt idx="230">
                  <c:v>4.4000000000000004</c:v>
                </c:pt>
                <c:pt idx="231">
                  <c:v>4.5</c:v>
                </c:pt>
                <c:pt idx="232">
                  <c:v>4.2</c:v>
                </c:pt>
                <c:pt idx="233">
                  <c:v>4.4000000000000004</c:v>
                </c:pt>
                <c:pt idx="234">
                  <c:v>4.5</c:v>
                </c:pt>
                <c:pt idx="235">
                  <c:v>4.5</c:v>
                </c:pt>
                <c:pt idx="236">
                  <c:v>4.0999999999999996</c:v>
                </c:pt>
                <c:pt idx="237">
                  <c:v>4.4000000000000004</c:v>
                </c:pt>
                <c:pt idx="238">
                  <c:v>4.3</c:v>
                </c:pt>
                <c:pt idx="239">
                  <c:v>4.3</c:v>
                </c:pt>
                <c:pt idx="240">
                  <c:v>4.5</c:v>
                </c:pt>
                <c:pt idx="241">
                  <c:v>4.4000000000000004</c:v>
                </c:pt>
                <c:pt idx="242">
                  <c:v>4.3</c:v>
                </c:pt>
                <c:pt idx="243">
                  <c:v>4.4000000000000004</c:v>
                </c:pt>
                <c:pt idx="244">
                  <c:v>4.2</c:v>
                </c:pt>
                <c:pt idx="245">
                  <c:v>4</c:v>
                </c:pt>
                <c:pt idx="246">
                  <c:v>4.4000000000000004</c:v>
                </c:pt>
                <c:pt idx="247">
                  <c:v>4.2</c:v>
                </c:pt>
                <c:pt idx="248">
                  <c:v>4.4000000000000004</c:v>
                </c:pt>
                <c:pt idx="249">
                  <c:v>4.3</c:v>
                </c:pt>
                <c:pt idx="250">
                  <c:v>4.4000000000000004</c:v>
                </c:pt>
                <c:pt idx="251">
                  <c:v>4.4000000000000004</c:v>
                </c:pt>
                <c:pt idx="252">
                  <c:v>4.5</c:v>
                </c:pt>
                <c:pt idx="253">
                  <c:v>4.4000000000000004</c:v>
                </c:pt>
                <c:pt idx="254">
                  <c:v>4</c:v>
                </c:pt>
                <c:pt idx="255">
                  <c:v>4.3</c:v>
                </c:pt>
                <c:pt idx="256">
                  <c:v>4.4000000000000004</c:v>
                </c:pt>
                <c:pt idx="257">
                  <c:v>4.2</c:v>
                </c:pt>
                <c:pt idx="258">
                  <c:v>4.3</c:v>
                </c:pt>
                <c:pt idx="259">
                  <c:v>4.8</c:v>
                </c:pt>
                <c:pt idx="260">
                  <c:v>4.2</c:v>
                </c:pt>
                <c:pt idx="261">
                  <c:v>4.2</c:v>
                </c:pt>
                <c:pt idx="262">
                  <c:v>4.5999999999999996</c:v>
                </c:pt>
                <c:pt idx="263">
                  <c:v>4.3</c:v>
                </c:pt>
                <c:pt idx="264">
                  <c:v>4.0999999999999996</c:v>
                </c:pt>
                <c:pt idx="265">
                  <c:v>4.5</c:v>
                </c:pt>
                <c:pt idx="266">
                  <c:v>4.4000000000000004</c:v>
                </c:pt>
                <c:pt idx="267">
                  <c:v>4.4000000000000004</c:v>
                </c:pt>
                <c:pt idx="268">
                  <c:v>4.5</c:v>
                </c:pt>
                <c:pt idx="269">
                  <c:v>4.0999999999999996</c:v>
                </c:pt>
                <c:pt idx="270">
                  <c:v>3.9</c:v>
                </c:pt>
                <c:pt idx="271">
                  <c:v>4.2</c:v>
                </c:pt>
                <c:pt idx="272">
                  <c:v>4.0999999999999996</c:v>
                </c:pt>
                <c:pt idx="273">
                  <c:v>4.5</c:v>
                </c:pt>
                <c:pt idx="274">
                  <c:v>4.5</c:v>
                </c:pt>
                <c:pt idx="275">
                  <c:v>4.3</c:v>
                </c:pt>
                <c:pt idx="276">
                  <c:v>4.3</c:v>
                </c:pt>
                <c:pt idx="277">
                  <c:v>4.3</c:v>
                </c:pt>
                <c:pt idx="278">
                  <c:v>4.7</c:v>
                </c:pt>
                <c:pt idx="279">
                  <c:v>4.5</c:v>
                </c:pt>
                <c:pt idx="280">
                  <c:v>4.5999999999999996</c:v>
                </c:pt>
                <c:pt idx="281">
                  <c:v>3.9</c:v>
                </c:pt>
                <c:pt idx="282">
                  <c:v>4.5999999999999996</c:v>
                </c:pt>
                <c:pt idx="283">
                  <c:v>4.4000000000000004</c:v>
                </c:pt>
                <c:pt idx="284">
                  <c:v>4.3</c:v>
                </c:pt>
                <c:pt idx="285">
                  <c:v>4.3</c:v>
                </c:pt>
                <c:pt idx="286">
                  <c:v>4.2</c:v>
                </c:pt>
                <c:pt idx="287">
                  <c:v>4.3</c:v>
                </c:pt>
                <c:pt idx="288">
                  <c:v>4.3</c:v>
                </c:pt>
                <c:pt idx="289">
                  <c:v>4.2</c:v>
                </c:pt>
                <c:pt idx="290">
                  <c:v>4</c:v>
                </c:pt>
                <c:pt idx="291">
                  <c:v>4.5</c:v>
                </c:pt>
                <c:pt idx="292">
                  <c:v>4.0999999999999996</c:v>
                </c:pt>
                <c:pt idx="293">
                  <c:v>4.3</c:v>
                </c:pt>
                <c:pt idx="294">
                  <c:v>4.3</c:v>
                </c:pt>
                <c:pt idx="295">
                  <c:v>4.4000000000000004</c:v>
                </c:pt>
                <c:pt idx="296">
                  <c:v>4.4000000000000004</c:v>
                </c:pt>
                <c:pt idx="297">
                  <c:v>4.3</c:v>
                </c:pt>
                <c:pt idx="298">
                  <c:v>4.9000000000000004</c:v>
                </c:pt>
                <c:pt idx="299">
                  <c:v>3.9</c:v>
                </c:pt>
                <c:pt idx="300">
                  <c:v>4.3</c:v>
                </c:pt>
                <c:pt idx="301">
                  <c:v>4.2</c:v>
                </c:pt>
                <c:pt idx="302">
                  <c:v>4.5999999999999996</c:v>
                </c:pt>
                <c:pt idx="303">
                  <c:v>4.5999999999999996</c:v>
                </c:pt>
                <c:pt idx="304">
                  <c:v>4.3</c:v>
                </c:pt>
                <c:pt idx="305">
                  <c:v>4.2</c:v>
                </c:pt>
                <c:pt idx="306">
                  <c:v>4.3</c:v>
                </c:pt>
                <c:pt idx="307">
                  <c:v>3.9</c:v>
                </c:pt>
                <c:pt idx="308">
                  <c:v>4.3</c:v>
                </c:pt>
                <c:pt idx="309">
                  <c:v>4.3</c:v>
                </c:pt>
                <c:pt idx="310">
                  <c:v>4.2</c:v>
                </c:pt>
                <c:pt idx="311">
                  <c:v>4.3</c:v>
                </c:pt>
                <c:pt idx="312">
                  <c:v>4.3</c:v>
                </c:pt>
                <c:pt idx="313">
                  <c:v>4.7</c:v>
                </c:pt>
                <c:pt idx="314">
                  <c:v>4.5</c:v>
                </c:pt>
                <c:pt idx="315">
                  <c:v>4.7</c:v>
                </c:pt>
                <c:pt idx="316">
                  <c:v>4.4000000000000004</c:v>
                </c:pt>
                <c:pt idx="317">
                  <c:v>4.0999999999999996</c:v>
                </c:pt>
                <c:pt idx="318">
                  <c:v>4.2</c:v>
                </c:pt>
                <c:pt idx="319">
                  <c:v>4.7</c:v>
                </c:pt>
                <c:pt idx="320">
                  <c:v>4.0999999999999996</c:v>
                </c:pt>
                <c:pt idx="321">
                  <c:v>4.3</c:v>
                </c:pt>
                <c:pt idx="322">
                  <c:v>4.7</c:v>
                </c:pt>
                <c:pt idx="323">
                  <c:v>4.0999999999999996</c:v>
                </c:pt>
                <c:pt idx="324">
                  <c:v>4.5999999999999996</c:v>
                </c:pt>
                <c:pt idx="325">
                  <c:v>4.7</c:v>
                </c:pt>
                <c:pt idx="326">
                  <c:v>4.5999999999999996</c:v>
                </c:pt>
                <c:pt idx="327">
                  <c:v>3.9</c:v>
                </c:pt>
                <c:pt idx="328">
                  <c:v>4.5999999999999996</c:v>
                </c:pt>
                <c:pt idx="329">
                  <c:v>4.7</c:v>
                </c:pt>
                <c:pt idx="330">
                  <c:v>4.4000000000000004</c:v>
                </c:pt>
                <c:pt idx="331">
                  <c:v>4.0999999999999996</c:v>
                </c:pt>
                <c:pt idx="332">
                  <c:v>4.5</c:v>
                </c:pt>
                <c:pt idx="333">
                  <c:v>4.2</c:v>
                </c:pt>
                <c:pt idx="334">
                  <c:v>4.3</c:v>
                </c:pt>
                <c:pt idx="335">
                  <c:v>4.0999999999999996</c:v>
                </c:pt>
                <c:pt idx="336">
                  <c:v>4.2</c:v>
                </c:pt>
                <c:pt idx="337">
                  <c:v>4.9000000000000004</c:v>
                </c:pt>
                <c:pt idx="338">
                  <c:v>4.5999999999999996</c:v>
                </c:pt>
                <c:pt idx="339">
                  <c:v>4.4000000000000004</c:v>
                </c:pt>
                <c:pt idx="340">
                  <c:v>3.9</c:v>
                </c:pt>
                <c:pt idx="341">
                  <c:v>4.0999999999999996</c:v>
                </c:pt>
                <c:pt idx="342">
                  <c:v>3.9</c:v>
                </c:pt>
                <c:pt idx="343">
                  <c:v>4.0999999999999996</c:v>
                </c:pt>
                <c:pt idx="344">
                  <c:v>4.3</c:v>
                </c:pt>
                <c:pt idx="345">
                  <c:v>4.0999999999999996</c:v>
                </c:pt>
                <c:pt idx="346">
                  <c:v>3.9</c:v>
                </c:pt>
                <c:pt idx="347">
                  <c:v>3.8</c:v>
                </c:pt>
                <c:pt idx="348">
                  <c:v>4</c:v>
                </c:pt>
                <c:pt idx="349">
                  <c:v>3.8</c:v>
                </c:pt>
                <c:pt idx="350">
                  <c:v>4.3</c:v>
                </c:pt>
                <c:pt idx="351">
                  <c:v>3.9</c:v>
                </c:pt>
                <c:pt idx="352">
                  <c:v>4</c:v>
                </c:pt>
                <c:pt idx="353">
                  <c:v>4.7</c:v>
                </c:pt>
                <c:pt idx="354">
                  <c:v>4.0999999999999996</c:v>
                </c:pt>
                <c:pt idx="355">
                  <c:v>4.5</c:v>
                </c:pt>
                <c:pt idx="356">
                  <c:v>4.9000000000000004</c:v>
                </c:pt>
                <c:pt idx="357">
                  <c:v>4</c:v>
                </c:pt>
                <c:pt idx="358">
                  <c:v>4.7</c:v>
                </c:pt>
                <c:pt idx="359">
                  <c:v>4.2</c:v>
                </c:pt>
                <c:pt idx="360">
                  <c:v>4.3</c:v>
                </c:pt>
                <c:pt idx="361">
                  <c:v>4.5999999999999996</c:v>
                </c:pt>
                <c:pt idx="362">
                  <c:v>4.5999999999999996</c:v>
                </c:pt>
                <c:pt idx="363">
                  <c:v>4.2</c:v>
                </c:pt>
                <c:pt idx="364">
                  <c:v>4.3</c:v>
                </c:pt>
                <c:pt idx="365">
                  <c:v>4.5999999999999996</c:v>
                </c:pt>
                <c:pt idx="366">
                  <c:v>4.7</c:v>
                </c:pt>
                <c:pt idx="367">
                  <c:v>4.5</c:v>
                </c:pt>
                <c:pt idx="368">
                  <c:v>4.7</c:v>
                </c:pt>
                <c:pt idx="369">
                  <c:v>3.8</c:v>
                </c:pt>
                <c:pt idx="370">
                  <c:v>4.8</c:v>
                </c:pt>
                <c:pt idx="371">
                  <c:v>4.3</c:v>
                </c:pt>
                <c:pt idx="372">
                  <c:v>4.0999999999999996</c:v>
                </c:pt>
                <c:pt idx="373">
                  <c:v>4.2</c:v>
                </c:pt>
                <c:pt idx="374">
                  <c:v>4.5</c:v>
                </c:pt>
                <c:pt idx="375">
                  <c:v>5</c:v>
                </c:pt>
                <c:pt idx="376">
                  <c:v>4</c:v>
                </c:pt>
                <c:pt idx="377">
                  <c:v>4.2</c:v>
                </c:pt>
                <c:pt idx="378">
                  <c:v>4.3</c:v>
                </c:pt>
                <c:pt idx="379">
                  <c:v>3.6</c:v>
                </c:pt>
                <c:pt idx="380">
                  <c:v>4.0999999999999996</c:v>
                </c:pt>
                <c:pt idx="381">
                  <c:v>4.0999999999999996</c:v>
                </c:pt>
                <c:pt idx="382">
                  <c:v>4.0999999999999996</c:v>
                </c:pt>
                <c:pt idx="383">
                  <c:v>4.3</c:v>
                </c:pt>
                <c:pt idx="384">
                  <c:v>4.7</c:v>
                </c:pt>
                <c:pt idx="385">
                  <c:v>4.2</c:v>
                </c:pt>
                <c:pt idx="386">
                  <c:v>4.5999999999999996</c:v>
                </c:pt>
                <c:pt idx="387">
                  <c:v>4.0999999999999996</c:v>
                </c:pt>
                <c:pt idx="388">
                  <c:v>4.0999999999999996</c:v>
                </c:pt>
                <c:pt idx="389">
                  <c:v>4.7</c:v>
                </c:pt>
                <c:pt idx="390">
                  <c:v>4.5999999999999996</c:v>
                </c:pt>
                <c:pt idx="391">
                  <c:v>4.5</c:v>
                </c:pt>
                <c:pt idx="392">
                  <c:v>4.0999999999999996</c:v>
                </c:pt>
                <c:pt idx="393">
                  <c:v>4.3</c:v>
                </c:pt>
                <c:pt idx="394">
                  <c:v>4.5999999999999996</c:v>
                </c:pt>
                <c:pt idx="395">
                  <c:v>4.2</c:v>
                </c:pt>
                <c:pt idx="396">
                  <c:v>4.5</c:v>
                </c:pt>
                <c:pt idx="397">
                  <c:v>4.2</c:v>
                </c:pt>
                <c:pt idx="398">
                  <c:v>3.6</c:v>
                </c:pt>
                <c:pt idx="399">
                  <c:v>4.0999999999999996</c:v>
                </c:pt>
                <c:pt idx="400">
                  <c:v>4.8</c:v>
                </c:pt>
                <c:pt idx="401">
                  <c:v>5</c:v>
                </c:pt>
                <c:pt idx="402">
                  <c:v>4</c:v>
                </c:pt>
                <c:pt idx="403">
                  <c:v>4.5</c:v>
                </c:pt>
                <c:pt idx="404">
                  <c:v>4.7</c:v>
                </c:pt>
                <c:pt idx="405">
                  <c:v>4.8</c:v>
                </c:pt>
                <c:pt idx="406">
                  <c:v>4.5</c:v>
                </c:pt>
                <c:pt idx="407">
                  <c:v>4.2</c:v>
                </c:pt>
                <c:pt idx="408">
                  <c:v>4.7</c:v>
                </c:pt>
                <c:pt idx="409">
                  <c:v>4</c:v>
                </c:pt>
                <c:pt idx="410">
                  <c:v>4.3</c:v>
                </c:pt>
                <c:pt idx="411">
                  <c:v>4.8</c:v>
                </c:pt>
                <c:pt idx="412">
                  <c:v>4.0999999999999996</c:v>
                </c:pt>
                <c:pt idx="413">
                  <c:v>4.3</c:v>
                </c:pt>
                <c:pt idx="414">
                  <c:v>2.9</c:v>
                </c:pt>
                <c:pt idx="415">
                  <c:v>4.2</c:v>
                </c:pt>
                <c:pt idx="416">
                  <c:v>3.9</c:v>
                </c:pt>
                <c:pt idx="417">
                  <c:v>4.9000000000000004</c:v>
                </c:pt>
                <c:pt idx="418">
                  <c:v>4.4000000000000004</c:v>
                </c:pt>
                <c:pt idx="419">
                  <c:v>4.4000000000000004</c:v>
                </c:pt>
                <c:pt idx="420">
                  <c:v>4.2</c:v>
                </c:pt>
                <c:pt idx="421">
                  <c:v>4.8</c:v>
                </c:pt>
                <c:pt idx="422">
                  <c:v>4.3</c:v>
                </c:pt>
                <c:pt idx="423">
                  <c:v>4.5999999999999996</c:v>
                </c:pt>
                <c:pt idx="424">
                  <c:v>4</c:v>
                </c:pt>
                <c:pt idx="425">
                  <c:v>4.8</c:v>
                </c:pt>
                <c:pt idx="426">
                  <c:v>4.4000000000000004</c:v>
                </c:pt>
                <c:pt idx="427">
                  <c:v>4.2</c:v>
                </c:pt>
                <c:pt idx="428">
                  <c:v>4.2</c:v>
                </c:pt>
                <c:pt idx="429">
                  <c:v>4</c:v>
                </c:pt>
                <c:pt idx="430">
                  <c:v>4</c:v>
                </c:pt>
                <c:pt idx="431">
                  <c:v>4.4000000000000004</c:v>
                </c:pt>
                <c:pt idx="432">
                  <c:v>4.2</c:v>
                </c:pt>
                <c:pt idx="433">
                  <c:v>4</c:v>
                </c:pt>
                <c:pt idx="434">
                  <c:v>4.4000000000000004</c:v>
                </c:pt>
                <c:pt idx="435">
                  <c:v>4.7</c:v>
                </c:pt>
                <c:pt idx="436">
                  <c:v>4.0999999999999996</c:v>
                </c:pt>
                <c:pt idx="437">
                  <c:v>4.2</c:v>
                </c:pt>
                <c:pt idx="438">
                  <c:v>4.4000000000000004</c:v>
                </c:pt>
                <c:pt idx="439">
                  <c:v>4.4000000000000004</c:v>
                </c:pt>
                <c:pt idx="440">
                  <c:v>4.8</c:v>
                </c:pt>
                <c:pt idx="441">
                  <c:v>4.2</c:v>
                </c:pt>
                <c:pt idx="442">
                  <c:v>4.0999999999999996</c:v>
                </c:pt>
                <c:pt idx="443">
                  <c:v>4.3</c:v>
                </c:pt>
                <c:pt idx="444">
                  <c:v>4.9000000000000004</c:v>
                </c:pt>
                <c:pt idx="445">
                  <c:v>4.7</c:v>
                </c:pt>
                <c:pt idx="446">
                  <c:v>4.0999999999999996</c:v>
                </c:pt>
                <c:pt idx="447">
                  <c:v>4.5</c:v>
                </c:pt>
                <c:pt idx="448">
                  <c:v>4.5999999999999996</c:v>
                </c:pt>
                <c:pt idx="449">
                  <c:v>4.0999999999999996</c:v>
                </c:pt>
                <c:pt idx="450">
                  <c:v>4.5</c:v>
                </c:pt>
                <c:pt idx="451">
                  <c:v>4.8</c:v>
                </c:pt>
                <c:pt idx="452">
                  <c:v>4</c:v>
                </c:pt>
                <c:pt idx="453">
                  <c:v>4.7</c:v>
                </c:pt>
                <c:pt idx="454">
                  <c:v>4.2</c:v>
                </c:pt>
                <c:pt idx="455">
                  <c:v>4.0999999999999996</c:v>
                </c:pt>
                <c:pt idx="456">
                  <c:v>4.2</c:v>
                </c:pt>
                <c:pt idx="457">
                  <c:v>4.4000000000000004</c:v>
                </c:pt>
                <c:pt idx="458">
                  <c:v>4.4000000000000004</c:v>
                </c:pt>
                <c:pt idx="459">
                  <c:v>4.2</c:v>
                </c:pt>
                <c:pt idx="460">
                  <c:v>4</c:v>
                </c:pt>
                <c:pt idx="461">
                  <c:v>4.9000000000000004</c:v>
                </c:pt>
                <c:pt idx="462">
                  <c:v>5</c:v>
                </c:pt>
                <c:pt idx="463">
                  <c:v>3.8</c:v>
                </c:pt>
                <c:pt idx="464">
                  <c:v>4.2</c:v>
                </c:pt>
                <c:pt idx="465">
                  <c:v>3.7</c:v>
                </c:pt>
                <c:pt idx="466">
                  <c:v>4.2</c:v>
                </c:pt>
                <c:pt idx="467">
                  <c:v>4.4000000000000004</c:v>
                </c:pt>
                <c:pt idx="468">
                  <c:v>4.0999999999999996</c:v>
                </c:pt>
                <c:pt idx="469">
                  <c:v>4.5999999999999996</c:v>
                </c:pt>
                <c:pt idx="470">
                  <c:v>4.2</c:v>
                </c:pt>
                <c:pt idx="471">
                  <c:v>4.4000000000000004</c:v>
                </c:pt>
                <c:pt idx="472">
                  <c:v>4.8</c:v>
                </c:pt>
                <c:pt idx="473">
                  <c:v>4.0999999999999996</c:v>
                </c:pt>
                <c:pt idx="474">
                  <c:v>4.2</c:v>
                </c:pt>
                <c:pt idx="475">
                  <c:v>4.5</c:v>
                </c:pt>
                <c:pt idx="476">
                  <c:v>4.5999999999999996</c:v>
                </c:pt>
                <c:pt idx="477">
                  <c:v>4.2</c:v>
                </c:pt>
                <c:pt idx="478">
                  <c:v>4.9000000000000004</c:v>
                </c:pt>
                <c:pt idx="479">
                  <c:v>4.7</c:v>
                </c:pt>
                <c:pt idx="480">
                  <c:v>4.0999999999999996</c:v>
                </c:pt>
                <c:pt idx="481">
                  <c:v>4.5</c:v>
                </c:pt>
                <c:pt idx="482">
                  <c:v>4.9000000000000004</c:v>
                </c:pt>
                <c:pt idx="483">
                  <c:v>4.9000000000000004</c:v>
                </c:pt>
                <c:pt idx="484">
                  <c:v>4.2</c:v>
                </c:pt>
                <c:pt idx="485">
                  <c:v>4.9000000000000004</c:v>
                </c:pt>
                <c:pt idx="486">
                  <c:v>4</c:v>
                </c:pt>
                <c:pt idx="487">
                  <c:v>4.2</c:v>
                </c:pt>
                <c:pt idx="488">
                  <c:v>4.2</c:v>
                </c:pt>
                <c:pt idx="489">
                  <c:v>4.5</c:v>
                </c:pt>
                <c:pt idx="490">
                  <c:v>4.4000000000000004</c:v>
                </c:pt>
                <c:pt idx="491">
                  <c:v>4.2</c:v>
                </c:pt>
                <c:pt idx="492">
                  <c:v>4.8</c:v>
                </c:pt>
                <c:pt idx="493">
                  <c:v>4.2</c:v>
                </c:pt>
                <c:pt idx="494">
                  <c:v>4.3</c:v>
                </c:pt>
                <c:pt idx="495">
                  <c:v>4.7</c:v>
                </c:pt>
                <c:pt idx="496">
                  <c:v>4.0999999999999996</c:v>
                </c:pt>
                <c:pt idx="497">
                  <c:v>3.9</c:v>
                </c:pt>
                <c:pt idx="498">
                  <c:v>4.9000000000000004</c:v>
                </c:pt>
                <c:pt idx="499">
                  <c:v>4.4000000000000004</c:v>
                </c:pt>
                <c:pt idx="500">
                  <c:v>4.3</c:v>
                </c:pt>
                <c:pt idx="501">
                  <c:v>4.2</c:v>
                </c:pt>
                <c:pt idx="502">
                  <c:v>4.9000000000000004</c:v>
                </c:pt>
                <c:pt idx="503">
                  <c:v>5</c:v>
                </c:pt>
                <c:pt idx="504">
                  <c:v>3.9</c:v>
                </c:pt>
                <c:pt idx="505">
                  <c:v>4.3</c:v>
                </c:pt>
                <c:pt idx="506">
                  <c:v>4.7</c:v>
                </c:pt>
                <c:pt idx="507">
                  <c:v>4.8</c:v>
                </c:pt>
                <c:pt idx="508">
                  <c:v>4.0999999999999996</c:v>
                </c:pt>
                <c:pt idx="509">
                  <c:v>4.5</c:v>
                </c:pt>
                <c:pt idx="510">
                  <c:v>3.8</c:v>
                </c:pt>
                <c:pt idx="511">
                  <c:v>4.2</c:v>
                </c:pt>
                <c:pt idx="512">
                  <c:v>4.0999999999999996</c:v>
                </c:pt>
                <c:pt idx="513">
                  <c:v>4.3</c:v>
                </c:pt>
                <c:pt idx="514">
                  <c:v>4.4000000000000004</c:v>
                </c:pt>
                <c:pt idx="515">
                  <c:v>4.0999999999999996</c:v>
                </c:pt>
                <c:pt idx="516">
                  <c:v>0</c:v>
                </c:pt>
                <c:pt idx="517">
                  <c:v>4.4000000000000004</c:v>
                </c:pt>
                <c:pt idx="518">
                  <c:v>5</c:v>
                </c:pt>
                <c:pt idx="519">
                  <c:v>4.8</c:v>
                </c:pt>
                <c:pt idx="520">
                  <c:v>5</c:v>
                </c:pt>
                <c:pt idx="521">
                  <c:v>5</c:v>
                </c:pt>
                <c:pt idx="522">
                  <c:v>4.2</c:v>
                </c:pt>
                <c:pt idx="523">
                  <c:v>3.8</c:v>
                </c:pt>
                <c:pt idx="524">
                  <c:v>5</c:v>
                </c:pt>
                <c:pt idx="525">
                  <c:v>4.4000000000000004</c:v>
                </c:pt>
                <c:pt idx="526">
                  <c:v>4.2</c:v>
                </c:pt>
                <c:pt idx="527">
                  <c:v>3.8</c:v>
                </c:pt>
                <c:pt idx="528">
                  <c:v>4.7</c:v>
                </c:pt>
                <c:pt idx="529">
                  <c:v>3.7</c:v>
                </c:pt>
                <c:pt idx="530">
                  <c:v>4.0999999999999996</c:v>
                </c:pt>
                <c:pt idx="531">
                  <c:v>3.7</c:v>
                </c:pt>
                <c:pt idx="532">
                  <c:v>4.9000000000000004</c:v>
                </c:pt>
                <c:pt idx="533">
                  <c:v>4.7</c:v>
                </c:pt>
                <c:pt idx="534">
                  <c:v>4.2</c:v>
                </c:pt>
                <c:pt idx="535">
                  <c:v>4.8</c:v>
                </c:pt>
                <c:pt idx="536">
                  <c:v>4.3</c:v>
                </c:pt>
                <c:pt idx="537">
                  <c:v>4.8</c:v>
                </c:pt>
                <c:pt idx="538">
                  <c:v>4</c:v>
                </c:pt>
                <c:pt idx="539">
                  <c:v>4.3</c:v>
                </c:pt>
                <c:pt idx="540">
                  <c:v>4.3</c:v>
                </c:pt>
                <c:pt idx="541">
                  <c:v>4.7</c:v>
                </c:pt>
                <c:pt idx="542">
                  <c:v>3.9</c:v>
                </c:pt>
                <c:pt idx="543">
                  <c:v>4.2</c:v>
                </c:pt>
                <c:pt idx="544">
                  <c:v>4.0999999999999996</c:v>
                </c:pt>
                <c:pt idx="545">
                  <c:v>4.8</c:v>
                </c:pt>
                <c:pt idx="546">
                  <c:v>4</c:v>
                </c:pt>
                <c:pt idx="547">
                  <c:v>3.9</c:v>
                </c:pt>
                <c:pt idx="548">
                  <c:v>4.5</c:v>
                </c:pt>
                <c:pt idx="549">
                  <c:v>4.4000000000000004</c:v>
                </c:pt>
                <c:pt idx="550">
                  <c:v>4</c:v>
                </c:pt>
                <c:pt idx="551">
                  <c:v>4.8</c:v>
                </c:pt>
                <c:pt idx="552">
                  <c:v>4.5</c:v>
                </c:pt>
                <c:pt idx="553">
                  <c:v>4.3</c:v>
                </c:pt>
                <c:pt idx="554">
                  <c:v>4.8</c:v>
                </c:pt>
                <c:pt idx="555">
                  <c:v>4.2</c:v>
                </c:pt>
                <c:pt idx="556">
                  <c:v>4.5999999999999996</c:v>
                </c:pt>
                <c:pt idx="557">
                  <c:v>4.3</c:v>
                </c:pt>
                <c:pt idx="558">
                  <c:v>3.8</c:v>
                </c:pt>
                <c:pt idx="559">
                  <c:v>4</c:v>
                </c:pt>
                <c:pt idx="560">
                  <c:v>3.8</c:v>
                </c:pt>
                <c:pt idx="561">
                  <c:v>4.2</c:v>
                </c:pt>
                <c:pt idx="562">
                  <c:v>4.7</c:v>
                </c:pt>
                <c:pt idx="563">
                  <c:v>4.5</c:v>
                </c:pt>
                <c:pt idx="564">
                  <c:v>4.2</c:v>
                </c:pt>
                <c:pt idx="565">
                  <c:v>4.7</c:v>
                </c:pt>
                <c:pt idx="566">
                  <c:v>4.9000000000000004</c:v>
                </c:pt>
                <c:pt idx="567">
                  <c:v>4.4000000000000004</c:v>
                </c:pt>
                <c:pt idx="568">
                  <c:v>4.3</c:v>
                </c:pt>
                <c:pt idx="569">
                  <c:v>4.0999999999999996</c:v>
                </c:pt>
                <c:pt idx="570">
                  <c:v>4</c:v>
                </c:pt>
                <c:pt idx="571">
                  <c:v>4.4000000000000004</c:v>
                </c:pt>
                <c:pt idx="572">
                  <c:v>4</c:v>
                </c:pt>
                <c:pt idx="573">
                  <c:v>4.2</c:v>
                </c:pt>
                <c:pt idx="574">
                  <c:v>4.5</c:v>
                </c:pt>
                <c:pt idx="575">
                  <c:v>4.7</c:v>
                </c:pt>
                <c:pt idx="576">
                  <c:v>4.9000000000000004</c:v>
                </c:pt>
                <c:pt idx="577">
                  <c:v>4</c:v>
                </c:pt>
                <c:pt idx="578">
                  <c:v>3.6</c:v>
                </c:pt>
                <c:pt idx="579">
                  <c:v>4.3</c:v>
                </c:pt>
                <c:pt idx="580">
                  <c:v>4.4000000000000004</c:v>
                </c:pt>
                <c:pt idx="581">
                  <c:v>4.5999999999999996</c:v>
                </c:pt>
                <c:pt idx="582">
                  <c:v>4.4000000000000004</c:v>
                </c:pt>
                <c:pt idx="583">
                  <c:v>3.6</c:v>
                </c:pt>
                <c:pt idx="584">
                  <c:v>4.5999999999999996</c:v>
                </c:pt>
                <c:pt idx="585">
                  <c:v>4.7</c:v>
                </c:pt>
                <c:pt idx="586">
                  <c:v>4.2</c:v>
                </c:pt>
                <c:pt idx="587">
                  <c:v>3.8</c:v>
                </c:pt>
                <c:pt idx="588">
                  <c:v>4.3</c:v>
                </c:pt>
                <c:pt idx="589">
                  <c:v>4.0999999999999996</c:v>
                </c:pt>
                <c:pt idx="590">
                  <c:v>4.0999999999999996</c:v>
                </c:pt>
                <c:pt idx="591">
                  <c:v>4.5</c:v>
                </c:pt>
                <c:pt idx="592">
                  <c:v>4.3</c:v>
                </c:pt>
                <c:pt idx="593">
                  <c:v>4.0999999999999996</c:v>
                </c:pt>
                <c:pt idx="594">
                  <c:v>4.0999999999999996</c:v>
                </c:pt>
                <c:pt idx="595">
                  <c:v>4.7</c:v>
                </c:pt>
                <c:pt idx="596">
                  <c:v>4.3</c:v>
                </c:pt>
                <c:pt idx="597">
                  <c:v>4.9000000000000004</c:v>
                </c:pt>
                <c:pt idx="598">
                  <c:v>4.2</c:v>
                </c:pt>
                <c:pt idx="599">
                  <c:v>5</c:v>
                </c:pt>
                <c:pt idx="600">
                  <c:v>4.3</c:v>
                </c:pt>
                <c:pt idx="601">
                  <c:v>4</c:v>
                </c:pt>
                <c:pt idx="602">
                  <c:v>4.4000000000000004</c:v>
                </c:pt>
                <c:pt idx="603">
                  <c:v>4.3</c:v>
                </c:pt>
                <c:pt idx="604">
                  <c:v>4.8</c:v>
                </c:pt>
                <c:pt idx="605">
                  <c:v>4.3</c:v>
                </c:pt>
                <c:pt idx="606">
                  <c:v>4.5999999999999996</c:v>
                </c:pt>
                <c:pt idx="607">
                  <c:v>4.3</c:v>
                </c:pt>
                <c:pt idx="608">
                  <c:v>4</c:v>
                </c:pt>
                <c:pt idx="609">
                  <c:v>4.4000000000000004</c:v>
                </c:pt>
                <c:pt idx="610">
                  <c:v>4.0999999999999996</c:v>
                </c:pt>
                <c:pt idx="611">
                  <c:v>4.5999999999999996</c:v>
                </c:pt>
                <c:pt idx="612">
                  <c:v>4.4000000000000004</c:v>
                </c:pt>
                <c:pt idx="613">
                  <c:v>4.2</c:v>
                </c:pt>
                <c:pt idx="614">
                  <c:v>4.3</c:v>
                </c:pt>
                <c:pt idx="615">
                  <c:v>4.5</c:v>
                </c:pt>
                <c:pt idx="616">
                  <c:v>4.3</c:v>
                </c:pt>
                <c:pt idx="617">
                  <c:v>4.5</c:v>
                </c:pt>
                <c:pt idx="618">
                  <c:v>4.5999999999999996</c:v>
                </c:pt>
                <c:pt idx="619">
                  <c:v>4.4000000000000004</c:v>
                </c:pt>
                <c:pt idx="620">
                  <c:v>4.7</c:v>
                </c:pt>
                <c:pt idx="621">
                  <c:v>4.3</c:v>
                </c:pt>
                <c:pt idx="622">
                  <c:v>4.2</c:v>
                </c:pt>
                <c:pt idx="623">
                  <c:v>4.7</c:v>
                </c:pt>
                <c:pt idx="624">
                  <c:v>4.3</c:v>
                </c:pt>
                <c:pt idx="625">
                  <c:v>4.0999999999999996</c:v>
                </c:pt>
                <c:pt idx="626">
                  <c:v>4.0999999999999996</c:v>
                </c:pt>
                <c:pt idx="627">
                  <c:v>4.2</c:v>
                </c:pt>
                <c:pt idx="628">
                  <c:v>4.5999999999999996</c:v>
                </c:pt>
                <c:pt idx="629">
                  <c:v>4.3</c:v>
                </c:pt>
                <c:pt idx="630">
                  <c:v>4</c:v>
                </c:pt>
                <c:pt idx="631">
                  <c:v>4.3</c:v>
                </c:pt>
                <c:pt idx="632">
                  <c:v>4.4000000000000004</c:v>
                </c:pt>
                <c:pt idx="633">
                  <c:v>3.9</c:v>
                </c:pt>
                <c:pt idx="634">
                  <c:v>4</c:v>
                </c:pt>
                <c:pt idx="635">
                  <c:v>4.2</c:v>
                </c:pt>
                <c:pt idx="636">
                  <c:v>3.9</c:v>
                </c:pt>
                <c:pt idx="637">
                  <c:v>5</c:v>
                </c:pt>
                <c:pt idx="638">
                  <c:v>4.7</c:v>
                </c:pt>
                <c:pt idx="639">
                  <c:v>4.2</c:v>
                </c:pt>
                <c:pt idx="640">
                  <c:v>4.9000000000000004</c:v>
                </c:pt>
                <c:pt idx="641">
                  <c:v>3.8</c:v>
                </c:pt>
                <c:pt idx="642">
                  <c:v>4.3</c:v>
                </c:pt>
                <c:pt idx="643">
                  <c:v>4.2</c:v>
                </c:pt>
                <c:pt idx="644">
                  <c:v>4.7</c:v>
                </c:pt>
                <c:pt idx="645">
                  <c:v>4.4000000000000004</c:v>
                </c:pt>
                <c:pt idx="646">
                  <c:v>4.4000000000000004</c:v>
                </c:pt>
                <c:pt idx="647">
                  <c:v>4.8</c:v>
                </c:pt>
                <c:pt idx="648">
                  <c:v>4.8</c:v>
                </c:pt>
                <c:pt idx="649">
                  <c:v>4.5</c:v>
                </c:pt>
                <c:pt idx="650">
                  <c:v>4.5</c:v>
                </c:pt>
                <c:pt idx="651">
                  <c:v>4.0999999999999996</c:v>
                </c:pt>
                <c:pt idx="652">
                  <c:v>4.4000000000000004</c:v>
                </c:pt>
                <c:pt idx="653">
                  <c:v>4.9000000000000004</c:v>
                </c:pt>
                <c:pt idx="654">
                  <c:v>4.8</c:v>
                </c:pt>
                <c:pt idx="655">
                  <c:v>3.5</c:v>
                </c:pt>
                <c:pt idx="656">
                  <c:v>4.9000000000000004</c:v>
                </c:pt>
                <c:pt idx="657">
                  <c:v>5</c:v>
                </c:pt>
                <c:pt idx="658">
                  <c:v>3.8</c:v>
                </c:pt>
                <c:pt idx="659">
                  <c:v>4.0999999999999996</c:v>
                </c:pt>
                <c:pt idx="660">
                  <c:v>4.4000000000000004</c:v>
                </c:pt>
                <c:pt idx="661">
                  <c:v>4.4000000000000004</c:v>
                </c:pt>
                <c:pt idx="662">
                  <c:v>4.2</c:v>
                </c:pt>
                <c:pt idx="663">
                  <c:v>4.0999999999999996</c:v>
                </c:pt>
                <c:pt idx="664">
                  <c:v>4.4000000000000004</c:v>
                </c:pt>
                <c:pt idx="665">
                  <c:v>3.9</c:v>
                </c:pt>
                <c:pt idx="666">
                  <c:v>4</c:v>
                </c:pt>
                <c:pt idx="667">
                  <c:v>4.5</c:v>
                </c:pt>
                <c:pt idx="668">
                  <c:v>4.0999999999999996</c:v>
                </c:pt>
                <c:pt idx="669">
                  <c:v>4.9000000000000004</c:v>
                </c:pt>
                <c:pt idx="670">
                  <c:v>4.5999999999999996</c:v>
                </c:pt>
                <c:pt idx="671">
                  <c:v>4.5</c:v>
                </c:pt>
                <c:pt idx="672">
                  <c:v>4.7</c:v>
                </c:pt>
                <c:pt idx="673">
                  <c:v>4.5</c:v>
                </c:pt>
                <c:pt idx="674">
                  <c:v>4.3</c:v>
                </c:pt>
                <c:pt idx="675">
                  <c:v>4.0999999999999996</c:v>
                </c:pt>
                <c:pt idx="676">
                  <c:v>4.8</c:v>
                </c:pt>
                <c:pt idx="677">
                  <c:v>4.3</c:v>
                </c:pt>
                <c:pt idx="678">
                  <c:v>4.8</c:v>
                </c:pt>
                <c:pt idx="679">
                  <c:v>4.5</c:v>
                </c:pt>
                <c:pt idx="680">
                  <c:v>4</c:v>
                </c:pt>
                <c:pt idx="681">
                  <c:v>4.0999999999999996</c:v>
                </c:pt>
                <c:pt idx="682">
                  <c:v>3.8</c:v>
                </c:pt>
                <c:pt idx="683">
                  <c:v>4.4000000000000004</c:v>
                </c:pt>
                <c:pt idx="684">
                  <c:v>4.0999999999999996</c:v>
                </c:pt>
                <c:pt idx="685">
                  <c:v>4.9000000000000004</c:v>
                </c:pt>
                <c:pt idx="686">
                  <c:v>4.0999999999999996</c:v>
                </c:pt>
                <c:pt idx="687">
                  <c:v>4.2</c:v>
                </c:pt>
                <c:pt idx="688">
                  <c:v>4.0999999999999996</c:v>
                </c:pt>
                <c:pt idx="689">
                  <c:v>4.3</c:v>
                </c:pt>
                <c:pt idx="690">
                  <c:v>4.3</c:v>
                </c:pt>
                <c:pt idx="691">
                  <c:v>4.3</c:v>
                </c:pt>
                <c:pt idx="692">
                  <c:v>4.8</c:v>
                </c:pt>
                <c:pt idx="693">
                  <c:v>4</c:v>
                </c:pt>
                <c:pt idx="694">
                  <c:v>4.4000000000000004</c:v>
                </c:pt>
                <c:pt idx="695">
                  <c:v>4.5</c:v>
                </c:pt>
                <c:pt idx="696">
                  <c:v>4.5999999999999996</c:v>
                </c:pt>
                <c:pt idx="697">
                  <c:v>4.5</c:v>
                </c:pt>
                <c:pt idx="698">
                  <c:v>4.5</c:v>
                </c:pt>
                <c:pt idx="699">
                  <c:v>3</c:v>
                </c:pt>
                <c:pt idx="700">
                  <c:v>4.2</c:v>
                </c:pt>
                <c:pt idx="701">
                  <c:v>3.9</c:v>
                </c:pt>
                <c:pt idx="702">
                  <c:v>4.3</c:v>
                </c:pt>
                <c:pt idx="703">
                  <c:v>4.3</c:v>
                </c:pt>
                <c:pt idx="704">
                  <c:v>4.4000000000000004</c:v>
                </c:pt>
                <c:pt idx="705">
                  <c:v>4.3</c:v>
                </c:pt>
                <c:pt idx="706">
                  <c:v>4.5999999999999996</c:v>
                </c:pt>
                <c:pt idx="707">
                  <c:v>4.7</c:v>
                </c:pt>
                <c:pt idx="708">
                  <c:v>4</c:v>
                </c:pt>
                <c:pt idx="709">
                  <c:v>4.4000000000000004</c:v>
                </c:pt>
                <c:pt idx="710">
                  <c:v>3.7</c:v>
                </c:pt>
                <c:pt idx="711">
                  <c:v>4.2</c:v>
                </c:pt>
                <c:pt idx="712">
                  <c:v>4.0999999999999996</c:v>
                </c:pt>
                <c:pt idx="713">
                  <c:v>4.3</c:v>
                </c:pt>
                <c:pt idx="714">
                  <c:v>3.8</c:v>
                </c:pt>
                <c:pt idx="715">
                  <c:v>4.9000000000000004</c:v>
                </c:pt>
                <c:pt idx="716">
                  <c:v>4.3</c:v>
                </c:pt>
                <c:pt idx="717">
                  <c:v>4.5</c:v>
                </c:pt>
                <c:pt idx="718">
                  <c:v>4.3</c:v>
                </c:pt>
                <c:pt idx="719">
                  <c:v>4.2</c:v>
                </c:pt>
                <c:pt idx="720">
                  <c:v>4.0999999999999996</c:v>
                </c:pt>
                <c:pt idx="721">
                  <c:v>4.5999999999999996</c:v>
                </c:pt>
                <c:pt idx="722">
                  <c:v>4.9000000000000004</c:v>
                </c:pt>
                <c:pt idx="723">
                  <c:v>4.2</c:v>
                </c:pt>
                <c:pt idx="724">
                  <c:v>5</c:v>
                </c:pt>
                <c:pt idx="725">
                  <c:v>4.5</c:v>
                </c:pt>
                <c:pt idx="726">
                  <c:v>4.8</c:v>
                </c:pt>
                <c:pt idx="727">
                  <c:v>4.4000000000000004</c:v>
                </c:pt>
                <c:pt idx="728">
                  <c:v>4.8</c:v>
                </c:pt>
                <c:pt idx="729">
                  <c:v>4.8</c:v>
                </c:pt>
                <c:pt idx="730">
                  <c:v>4.5999999999999996</c:v>
                </c:pt>
                <c:pt idx="731">
                  <c:v>4</c:v>
                </c:pt>
                <c:pt idx="732">
                  <c:v>4.8</c:v>
                </c:pt>
                <c:pt idx="733">
                  <c:v>4.5</c:v>
                </c:pt>
                <c:pt idx="734">
                  <c:v>4.7</c:v>
                </c:pt>
                <c:pt idx="735">
                  <c:v>4.2</c:v>
                </c:pt>
                <c:pt idx="736">
                  <c:v>4.8</c:v>
                </c:pt>
                <c:pt idx="737">
                  <c:v>4.9000000000000004</c:v>
                </c:pt>
                <c:pt idx="738">
                  <c:v>4.5999999999999996</c:v>
                </c:pt>
                <c:pt idx="739">
                  <c:v>4</c:v>
                </c:pt>
                <c:pt idx="740">
                  <c:v>4.5999999999999996</c:v>
                </c:pt>
                <c:pt idx="741">
                  <c:v>4.4000000000000004</c:v>
                </c:pt>
                <c:pt idx="742">
                  <c:v>4.4000000000000004</c:v>
                </c:pt>
                <c:pt idx="743">
                  <c:v>4.2</c:v>
                </c:pt>
                <c:pt idx="744">
                  <c:v>4.4000000000000004</c:v>
                </c:pt>
                <c:pt idx="745">
                  <c:v>4.4000000000000004</c:v>
                </c:pt>
                <c:pt idx="746">
                  <c:v>4.2</c:v>
                </c:pt>
                <c:pt idx="747">
                  <c:v>4.9000000000000004</c:v>
                </c:pt>
                <c:pt idx="748">
                  <c:v>4.2</c:v>
                </c:pt>
                <c:pt idx="749">
                  <c:v>3.7</c:v>
                </c:pt>
                <c:pt idx="750">
                  <c:v>4.4000000000000004</c:v>
                </c:pt>
                <c:pt idx="751">
                  <c:v>4.4000000000000004</c:v>
                </c:pt>
                <c:pt idx="752">
                  <c:v>4.2</c:v>
                </c:pt>
                <c:pt idx="753">
                  <c:v>4.4000000000000004</c:v>
                </c:pt>
                <c:pt idx="754">
                  <c:v>4.3</c:v>
                </c:pt>
                <c:pt idx="755">
                  <c:v>4.9000000000000004</c:v>
                </c:pt>
                <c:pt idx="756">
                  <c:v>3.9</c:v>
                </c:pt>
                <c:pt idx="757">
                  <c:v>4.3</c:v>
                </c:pt>
                <c:pt idx="758">
                  <c:v>4.3</c:v>
                </c:pt>
                <c:pt idx="759">
                  <c:v>4.8</c:v>
                </c:pt>
                <c:pt idx="760">
                  <c:v>4.3</c:v>
                </c:pt>
                <c:pt idx="761">
                  <c:v>4.8</c:v>
                </c:pt>
                <c:pt idx="762">
                  <c:v>4.7</c:v>
                </c:pt>
                <c:pt idx="763">
                  <c:v>4.2</c:v>
                </c:pt>
                <c:pt idx="764">
                  <c:v>4.8</c:v>
                </c:pt>
                <c:pt idx="765">
                  <c:v>4.5</c:v>
                </c:pt>
                <c:pt idx="766">
                  <c:v>4.4000000000000004</c:v>
                </c:pt>
                <c:pt idx="767">
                  <c:v>4.4000000000000004</c:v>
                </c:pt>
                <c:pt idx="768">
                  <c:v>4.5999999999999996</c:v>
                </c:pt>
                <c:pt idx="769">
                  <c:v>3.6</c:v>
                </c:pt>
                <c:pt idx="770">
                  <c:v>4.8</c:v>
                </c:pt>
                <c:pt idx="771">
                  <c:v>4.2</c:v>
                </c:pt>
                <c:pt idx="772">
                  <c:v>4.2</c:v>
                </c:pt>
                <c:pt idx="773">
                  <c:v>4.5</c:v>
                </c:pt>
                <c:pt idx="774">
                  <c:v>4.5999999999999996</c:v>
                </c:pt>
                <c:pt idx="775">
                  <c:v>4.8</c:v>
                </c:pt>
                <c:pt idx="776">
                  <c:v>4.8</c:v>
                </c:pt>
                <c:pt idx="777">
                  <c:v>4.4000000000000004</c:v>
                </c:pt>
                <c:pt idx="778">
                  <c:v>4.5999999999999996</c:v>
                </c:pt>
                <c:pt idx="779">
                  <c:v>4.0999999999999996</c:v>
                </c:pt>
                <c:pt idx="780">
                  <c:v>4.3</c:v>
                </c:pt>
                <c:pt idx="781">
                  <c:v>4.0999999999999996</c:v>
                </c:pt>
                <c:pt idx="782">
                  <c:v>4.2</c:v>
                </c:pt>
                <c:pt idx="783">
                  <c:v>4.8</c:v>
                </c:pt>
                <c:pt idx="784">
                  <c:v>3.9</c:v>
                </c:pt>
                <c:pt idx="785">
                  <c:v>4.2</c:v>
                </c:pt>
                <c:pt idx="786">
                  <c:v>4.5999999999999996</c:v>
                </c:pt>
                <c:pt idx="787">
                  <c:v>4.0999999999999996</c:v>
                </c:pt>
                <c:pt idx="788">
                  <c:v>4.3</c:v>
                </c:pt>
                <c:pt idx="789">
                  <c:v>4.4000000000000004</c:v>
                </c:pt>
                <c:pt idx="790">
                  <c:v>4.9000000000000004</c:v>
                </c:pt>
                <c:pt idx="791">
                  <c:v>4.8</c:v>
                </c:pt>
                <c:pt idx="792">
                  <c:v>3.9</c:v>
                </c:pt>
                <c:pt idx="793">
                  <c:v>4.3</c:v>
                </c:pt>
                <c:pt idx="794">
                  <c:v>4.5</c:v>
                </c:pt>
                <c:pt idx="795">
                  <c:v>4.5</c:v>
                </c:pt>
                <c:pt idx="796">
                  <c:v>4.5999999999999996</c:v>
                </c:pt>
                <c:pt idx="797">
                  <c:v>4.4000000000000004</c:v>
                </c:pt>
                <c:pt idx="798">
                  <c:v>4</c:v>
                </c:pt>
                <c:pt idx="799">
                  <c:v>3.9</c:v>
                </c:pt>
                <c:pt idx="800">
                  <c:v>3.9</c:v>
                </c:pt>
                <c:pt idx="801">
                  <c:v>4.9000000000000004</c:v>
                </c:pt>
                <c:pt idx="802">
                  <c:v>4.5</c:v>
                </c:pt>
                <c:pt idx="803">
                  <c:v>4.5999999999999996</c:v>
                </c:pt>
                <c:pt idx="804">
                  <c:v>4.9000000000000004</c:v>
                </c:pt>
                <c:pt idx="805">
                  <c:v>5</c:v>
                </c:pt>
                <c:pt idx="806">
                  <c:v>5</c:v>
                </c:pt>
                <c:pt idx="807">
                  <c:v>4.0999999999999996</c:v>
                </c:pt>
                <c:pt idx="808">
                  <c:v>4</c:v>
                </c:pt>
                <c:pt idx="809">
                  <c:v>4.7</c:v>
                </c:pt>
                <c:pt idx="810">
                  <c:v>4.8</c:v>
                </c:pt>
                <c:pt idx="811">
                  <c:v>4.5999999999999996</c:v>
                </c:pt>
                <c:pt idx="812">
                  <c:v>4.8</c:v>
                </c:pt>
                <c:pt idx="813">
                  <c:v>4.4000000000000004</c:v>
                </c:pt>
                <c:pt idx="814">
                  <c:v>5</c:v>
                </c:pt>
                <c:pt idx="815">
                  <c:v>4.5999999999999996</c:v>
                </c:pt>
                <c:pt idx="816">
                  <c:v>4</c:v>
                </c:pt>
                <c:pt idx="817">
                  <c:v>5</c:v>
                </c:pt>
                <c:pt idx="818">
                  <c:v>4.0999999999999996</c:v>
                </c:pt>
                <c:pt idx="819">
                  <c:v>4.9000000000000004</c:v>
                </c:pt>
                <c:pt idx="820">
                  <c:v>4.3</c:v>
                </c:pt>
                <c:pt idx="821">
                  <c:v>4.5999999999999996</c:v>
                </c:pt>
                <c:pt idx="822">
                  <c:v>4.5999999999999996</c:v>
                </c:pt>
                <c:pt idx="823">
                  <c:v>4.2</c:v>
                </c:pt>
                <c:pt idx="824">
                  <c:v>4.9000000000000004</c:v>
                </c:pt>
                <c:pt idx="825">
                  <c:v>4.9000000000000004</c:v>
                </c:pt>
                <c:pt idx="826">
                  <c:v>4.9000000000000004</c:v>
                </c:pt>
                <c:pt idx="827">
                  <c:v>4.0999999999999996</c:v>
                </c:pt>
                <c:pt idx="828">
                  <c:v>4.4000000000000004</c:v>
                </c:pt>
                <c:pt idx="829">
                  <c:v>4.3</c:v>
                </c:pt>
                <c:pt idx="830">
                  <c:v>4.9000000000000004</c:v>
                </c:pt>
                <c:pt idx="831">
                  <c:v>4.2</c:v>
                </c:pt>
                <c:pt idx="832">
                  <c:v>3.8</c:v>
                </c:pt>
                <c:pt idx="833">
                  <c:v>3.4</c:v>
                </c:pt>
                <c:pt idx="834">
                  <c:v>4.0999999999999996</c:v>
                </c:pt>
                <c:pt idx="835">
                  <c:v>4.5999999999999996</c:v>
                </c:pt>
                <c:pt idx="836">
                  <c:v>4.5</c:v>
                </c:pt>
                <c:pt idx="837">
                  <c:v>4</c:v>
                </c:pt>
                <c:pt idx="838">
                  <c:v>4.3</c:v>
                </c:pt>
                <c:pt idx="839">
                  <c:v>4</c:v>
                </c:pt>
                <c:pt idx="840">
                  <c:v>4.5999999999999996</c:v>
                </c:pt>
                <c:pt idx="841">
                  <c:v>4.3</c:v>
                </c:pt>
                <c:pt idx="842">
                  <c:v>4.5999999999999996</c:v>
                </c:pt>
                <c:pt idx="843">
                  <c:v>4.3</c:v>
                </c:pt>
                <c:pt idx="844">
                  <c:v>4.7</c:v>
                </c:pt>
                <c:pt idx="845">
                  <c:v>4.7</c:v>
                </c:pt>
                <c:pt idx="846">
                  <c:v>4.0999999999999996</c:v>
                </c:pt>
                <c:pt idx="847">
                  <c:v>4.7</c:v>
                </c:pt>
                <c:pt idx="848">
                  <c:v>4.5999999999999996</c:v>
                </c:pt>
                <c:pt idx="849">
                  <c:v>4</c:v>
                </c:pt>
                <c:pt idx="850">
                  <c:v>4.5999999999999996</c:v>
                </c:pt>
                <c:pt idx="851">
                  <c:v>4.4000000000000004</c:v>
                </c:pt>
                <c:pt idx="852">
                  <c:v>4.5999999999999996</c:v>
                </c:pt>
                <c:pt idx="853">
                  <c:v>4.7</c:v>
                </c:pt>
                <c:pt idx="854">
                  <c:v>4.7</c:v>
                </c:pt>
                <c:pt idx="855">
                  <c:v>4.9000000000000004</c:v>
                </c:pt>
                <c:pt idx="856">
                  <c:v>4.9000000000000004</c:v>
                </c:pt>
                <c:pt idx="857">
                  <c:v>4</c:v>
                </c:pt>
                <c:pt idx="858">
                  <c:v>4.4000000000000004</c:v>
                </c:pt>
                <c:pt idx="859">
                  <c:v>4.4000000000000004</c:v>
                </c:pt>
                <c:pt idx="860">
                  <c:v>4.3</c:v>
                </c:pt>
                <c:pt idx="861">
                  <c:v>4.3</c:v>
                </c:pt>
                <c:pt idx="862">
                  <c:v>4.4000000000000004</c:v>
                </c:pt>
                <c:pt idx="863">
                  <c:v>4.4000000000000004</c:v>
                </c:pt>
                <c:pt idx="864">
                  <c:v>4.3</c:v>
                </c:pt>
                <c:pt idx="865">
                  <c:v>4</c:v>
                </c:pt>
                <c:pt idx="866">
                  <c:v>4.2</c:v>
                </c:pt>
                <c:pt idx="867">
                  <c:v>4.0999999999999996</c:v>
                </c:pt>
                <c:pt idx="868">
                  <c:v>4.3</c:v>
                </c:pt>
                <c:pt idx="869">
                  <c:v>4.8</c:v>
                </c:pt>
                <c:pt idx="870">
                  <c:v>4.5999999999999996</c:v>
                </c:pt>
                <c:pt idx="871">
                  <c:v>4.2</c:v>
                </c:pt>
                <c:pt idx="872">
                  <c:v>4.5999999999999996</c:v>
                </c:pt>
                <c:pt idx="873">
                  <c:v>4.7</c:v>
                </c:pt>
                <c:pt idx="874">
                  <c:v>4.4000000000000004</c:v>
                </c:pt>
                <c:pt idx="875">
                  <c:v>4.4000000000000004</c:v>
                </c:pt>
                <c:pt idx="876">
                  <c:v>3.2</c:v>
                </c:pt>
                <c:pt idx="877">
                  <c:v>4.9000000000000004</c:v>
                </c:pt>
                <c:pt idx="878">
                  <c:v>4.9000000000000004</c:v>
                </c:pt>
                <c:pt idx="879">
                  <c:v>4.4000000000000004</c:v>
                </c:pt>
                <c:pt idx="880">
                  <c:v>4.7</c:v>
                </c:pt>
                <c:pt idx="881">
                  <c:v>4.7</c:v>
                </c:pt>
                <c:pt idx="882">
                  <c:v>4.2</c:v>
                </c:pt>
                <c:pt idx="883">
                  <c:v>4.5</c:v>
                </c:pt>
                <c:pt idx="884">
                  <c:v>4.5999999999999996</c:v>
                </c:pt>
                <c:pt idx="885">
                  <c:v>4.5999999999999996</c:v>
                </c:pt>
                <c:pt idx="886">
                  <c:v>4.2</c:v>
                </c:pt>
                <c:pt idx="887">
                  <c:v>4.7</c:v>
                </c:pt>
                <c:pt idx="888">
                  <c:v>4.2</c:v>
                </c:pt>
                <c:pt idx="889">
                  <c:v>4.5999999999999996</c:v>
                </c:pt>
                <c:pt idx="890">
                  <c:v>4.2</c:v>
                </c:pt>
                <c:pt idx="891">
                  <c:v>4.7</c:v>
                </c:pt>
                <c:pt idx="892">
                  <c:v>4.0999999999999996</c:v>
                </c:pt>
                <c:pt idx="893">
                  <c:v>4.2</c:v>
                </c:pt>
                <c:pt idx="894">
                  <c:v>4.0999999999999996</c:v>
                </c:pt>
                <c:pt idx="895">
                  <c:v>4.2</c:v>
                </c:pt>
                <c:pt idx="896">
                  <c:v>4.0999999999999996</c:v>
                </c:pt>
                <c:pt idx="897">
                  <c:v>4</c:v>
                </c:pt>
                <c:pt idx="898">
                  <c:v>5</c:v>
                </c:pt>
                <c:pt idx="899">
                  <c:v>5</c:v>
                </c:pt>
                <c:pt idx="900">
                  <c:v>4.4000000000000004</c:v>
                </c:pt>
                <c:pt idx="901">
                  <c:v>4.7</c:v>
                </c:pt>
                <c:pt idx="902">
                  <c:v>4.4000000000000004</c:v>
                </c:pt>
                <c:pt idx="903">
                  <c:v>4.5</c:v>
                </c:pt>
                <c:pt idx="904">
                  <c:v>3.9</c:v>
                </c:pt>
                <c:pt idx="905">
                  <c:v>4.4000000000000004</c:v>
                </c:pt>
                <c:pt idx="906">
                  <c:v>4.4000000000000004</c:v>
                </c:pt>
                <c:pt idx="907">
                  <c:v>4</c:v>
                </c:pt>
                <c:pt idx="908">
                  <c:v>4.9000000000000004</c:v>
                </c:pt>
                <c:pt idx="909">
                  <c:v>4.2</c:v>
                </c:pt>
                <c:pt idx="910">
                  <c:v>3.9</c:v>
                </c:pt>
                <c:pt idx="911">
                  <c:v>3.8</c:v>
                </c:pt>
                <c:pt idx="912">
                  <c:v>4.0999999999999996</c:v>
                </c:pt>
                <c:pt idx="913">
                  <c:v>4.3</c:v>
                </c:pt>
                <c:pt idx="914">
                  <c:v>4.3</c:v>
                </c:pt>
                <c:pt idx="915">
                  <c:v>3.8</c:v>
                </c:pt>
                <c:pt idx="916">
                  <c:v>4.3</c:v>
                </c:pt>
                <c:pt idx="917">
                  <c:v>4.4000000000000004</c:v>
                </c:pt>
                <c:pt idx="918">
                  <c:v>3.9</c:v>
                </c:pt>
                <c:pt idx="919">
                  <c:v>3.9</c:v>
                </c:pt>
                <c:pt idx="920">
                  <c:v>4.0999999999999996</c:v>
                </c:pt>
                <c:pt idx="921">
                  <c:v>4</c:v>
                </c:pt>
                <c:pt idx="922">
                  <c:v>3.8</c:v>
                </c:pt>
                <c:pt idx="923">
                  <c:v>4.2</c:v>
                </c:pt>
                <c:pt idx="924">
                  <c:v>4.2</c:v>
                </c:pt>
                <c:pt idx="925">
                  <c:v>4.2</c:v>
                </c:pt>
                <c:pt idx="926">
                  <c:v>4.0999999999999996</c:v>
                </c:pt>
                <c:pt idx="927">
                  <c:v>3.9</c:v>
                </c:pt>
                <c:pt idx="928">
                  <c:v>3.8</c:v>
                </c:pt>
                <c:pt idx="929">
                  <c:v>3.4</c:v>
                </c:pt>
                <c:pt idx="930">
                  <c:v>4.0999999999999996</c:v>
                </c:pt>
                <c:pt idx="931">
                  <c:v>3.5</c:v>
                </c:pt>
                <c:pt idx="932">
                  <c:v>4.2</c:v>
                </c:pt>
                <c:pt idx="933">
                  <c:v>4</c:v>
                </c:pt>
                <c:pt idx="934">
                  <c:v>4.3</c:v>
                </c:pt>
                <c:pt idx="935">
                  <c:v>4</c:v>
                </c:pt>
                <c:pt idx="936">
                  <c:v>4</c:v>
                </c:pt>
                <c:pt idx="937">
                  <c:v>4.5</c:v>
                </c:pt>
                <c:pt idx="938">
                  <c:v>3.9</c:v>
                </c:pt>
                <c:pt idx="939">
                  <c:v>5</c:v>
                </c:pt>
                <c:pt idx="940">
                  <c:v>3.8</c:v>
                </c:pt>
                <c:pt idx="941">
                  <c:v>3.7</c:v>
                </c:pt>
                <c:pt idx="942">
                  <c:v>4.8</c:v>
                </c:pt>
                <c:pt idx="943">
                  <c:v>3.7</c:v>
                </c:pt>
                <c:pt idx="944">
                  <c:v>4.3</c:v>
                </c:pt>
                <c:pt idx="945">
                  <c:v>5</c:v>
                </c:pt>
                <c:pt idx="946">
                  <c:v>4</c:v>
                </c:pt>
                <c:pt idx="947">
                  <c:v>4.2</c:v>
                </c:pt>
                <c:pt idx="948">
                  <c:v>4.7</c:v>
                </c:pt>
                <c:pt idx="949">
                  <c:v>4.2</c:v>
                </c:pt>
                <c:pt idx="950">
                  <c:v>4.2</c:v>
                </c:pt>
                <c:pt idx="951">
                  <c:v>4.5</c:v>
                </c:pt>
                <c:pt idx="952">
                  <c:v>3.2</c:v>
                </c:pt>
                <c:pt idx="953">
                  <c:v>3.4</c:v>
                </c:pt>
                <c:pt idx="954">
                  <c:v>3.8</c:v>
                </c:pt>
                <c:pt idx="955">
                  <c:v>4.5</c:v>
                </c:pt>
                <c:pt idx="956">
                  <c:v>3.9</c:v>
                </c:pt>
                <c:pt idx="957">
                  <c:v>5</c:v>
                </c:pt>
                <c:pt idx="958">
                  <c:v>3.6</c:v>
                </c:pt>
                <c:pt idx="959">
                  <c:v>4.5</c:v>
                </c:pt>
                <c:pt idx="960">
                  <c:v>4.3</c:v>
                </c:pt>
                <c:pt idx="961">
                  <c:v>4.4000000000000004</c:v>
                </c:pt>
                <c:pt idx="962">
                  <c:v>4.2</c:v>
                </c:pt>
                <c:pt idx="963">
                  <c:v>4</c:v>
                </c:pt>
                <c:pt idx="964">
                  <c:v>4.7</c:v>
                </c:pt>
                <c:pt idx="965">
                  <c:v>4.7</c:v>
                </c:pt>
                <c:pt idx="966">
                  <c:v>4.2</c:v>
                </c:pt>
                <c:pt idx="967">
                  <c:v>3.8</c:v>
                </c:pt>
                <c:pt idx="968">
                  <c:v>4.5</c:v>
                </c:pt>
                <c:pt idx="969">
                  <c:v>4.5</c:v>
                </c:pt>
                <c:pt idx="970">
                  <c:v>4.8</c:v>
                </c:pt>
                <c:pt idx="971">
                  <c:v>4.0999999999999996</c:v>
                </c:pt>
                <c:pt idx="972">
                  <c:v>4</c:v>
                </c:pt>
                <c:pt idx="973">
                  <c:v>4.2</c:v>
                </c:pt>
                <c:pt idx="974">
                  <c:v>4.2</c:v>
                </c:pt>
                <c:pt idx="975">
                  <c:v>4.4000000000000004</c:v>
                </c:pt>
                <c:pt idx="976">
                  <c:v>4.0999999999999996</c:v>
                </c:pt>
                <c:pt idx="977">
                  <c:v>4.5999999999999996</c:v>
                </c:pt>
                <c:pt idx="978">
                  <c:v>4.4000000000000004</c:v>
                </c:pt>
                <c:pt idx="979">
                  <c:v>4.4000000000000004</c:v>
                </c:pt>
                <c:pt idx="980">
                  <c:v>4.5999999999999996</c:v>
                </c:pt>
                <c:pt idx="981">
                  <c:v>4</c:v>
                </c:pt>
                <c:pt idx="982">
                  <c:v>4.4000000000000004</c:v>
                </c:pt>
                <c:pt idx="983">
                  <c:v>4.4000000000000004</c:v>
                </c:pt>
                <c:pt idx="984">
                  <c:v>4.2</c:v>
                </c:pt>
                <c:pt idx="985">
                  <c:v>4.3</c:v>
                </c:pt>
                <c:pt idx="986">
                  <c:v>4.2</c:v>
                </c:pt>
                <c:pt idx="987">
                  <c:v>4.5999999999999996</c:v>
                </c:pt>
                <c:pt idx="988">
                  <c:v>4.2</c:v>
                </c:pt>
                <c:pt idx="989">
                  <c:v>4.2</c:v>
                </c:pt>
                <c:pt idx="990">
                  <c:v>3.9</c:v>
                </c:pt>
                <c:pt idx="991">
                  <c:v>4.5</c:v>
                </c:pt>
                <c:pt idx="992">
                  <c:v>4.5999999999999996</c:v>
                </c:pt>
                <c:pt idx="993">
                  <c:v>3.9</c:v>
                </c:pt>
                <c:pt idx="994">
                  <c:v>4.4000000000000004</c:v>
                </c:pt>
                <c:pt idx="995">
                  <c:v>4.3</c:v>
                </c:pt>
                <c:pt idx="996">
                  <c:v>4.2</c:v>
                </c:pt>
                <c:pt idx="997">
                  <c:v>4.5999999999999996</c:v>
                </c:pt>
                <c:pt idx="998">
                  <c:v>4.2</c:v>
                </c:pt>
                <c:pt idx="999">
                  <c:v>4</c:v>
                </c:pt>
                <c:pt idx="1000">
                  <c:v>4.5999999999999996</c:v>
                </c:pt>
                <c:pt idx="1001">
                  <c:v>4.3</c:v>
                </c:pt>
                <c:pt idx="1002">
                  <c:v>4.8</c:v>
                </c:pt>
                <c:pt idx="1003">
                  <c:v>4.5</c:v>
                </c:pt>
                <c:pt idx="1004">
                  <c:v>4.5999999999999996</c:v>
                </c:pt>
                <c:pt idx="1005">
                  <c:v>3.9</c:v>
                </c:pt>
                <c:pt idx="1006">
                  <c:v>4.5999999999999996</c:v>
                </c:pt>
                <c:pt idx="1007">
                  <c:v>4.0999999999999996</c:v>
                </c:pt>
                <c:pt idx="1008">
                  <c:v>4</c:v>
                </c:pt>
                <c:pt idx="1009">
                  <c:v>4.4000000000000004</c:v>
                </c:pt>
                <c:pt idx="1010">
                  <c:v>4.5</c:v>
                </c:pt>
                <c:pt idx="1011">
                  <c:v>4.2</c:v>
                </c:pt>
                <c:pt idx="1012">
                  <c:v>4.3</c:v>
                </c:pt>
                <c:pt idx="1013">
                  <c:v>3.4</c:v>
                </c:pt>
                <c:pt idx="1014">
                  <c:v>3.5</c:v>
                </c:pt>
                <c:pt idx="1015">
                  <c:v>4.2</c:v>
                </c:pt>
                <c:pt idx="1016">
                  <c:v>4.5</c:v>
                </c:pt>
                <c:pt idx="1017">
                  <c:v>4.2</c:v>
                </c:pt>
                <c:pt idx="1018">
                  <c:v>4.9000000000000004</c:v>
                </c:pt>
                <c:pt idx="1019">
                  <c:v>4.3</c:v>
                </c:pt>
                <c:pt idx="1020">
                  <c:v>4.4000000000000004</c:v>
                </c:pt>
                <c:pt idx="1021">
                  <c:v>4.2</c:v>
                </c:pt>
                <c:pt idx="1022">
                  <c:v>4.2</c:v>
                </c:pt>
                <c:pt idx="1023">
                  <c:v>4.3</c:v>
                </c:pt>
                <c:pt idx="1024">
                  <c:v>4.9000000000000004</c:v>
                </c:pt>
                <c:pt idx="1025">
                  <c:v>4</c:v>
                </c:pt>
                <c:pt idx="1026">
                  <c:v>4.4000000000000004</c:v>
                </c:pt>
                <c:pt idx="1027">
                  <c:v>4.2</c:v>
                </c:pt>
                <c:pt idx="1028">
                  <c:v>4.5999999999999996</c:v>
                </c:pt>
                <c:pt idx="1029">
                  <c:v>4.5</c:v>
                </c:pt>
                <c:pt idx="1030">
                  <c:v>4.2</c:v>
                </c:pt>
                <c:pt idx="1031">
                  <c:v>4.9000000000000004</c:v>
                </c:pt>
                <c:pt idx="1032">
                  <c:v>4.7</c:v>
                </c:pt>
                <c:pt idx="1033">
                  <c:v>4.5</c:v>
                </c:pt>
                <c:pt idx="1034">
                  <c:v>4.5999999999999996</c:v>
                </c:pt>
                <c:pt idx="1035">
                  <c:v>4.2</c:v>
                </c:pt>
                <c:pt idx="1036">
                  <c:v>4.0999999999999996</c:v>
                </c:pt>
                <c:pt idx="1037">
                  <c:v>4.0999999999999996</c:v>
                </c:pt>
                <c:pt idx="1038">
                  <c:v>4.9000000000000004</c:v>
                </c:pt>
                <c:pt idx="1039">
                  <c:v>4.2</c:v>
                </c:pt>
                <c:pt idx="1040">
                  <c:v>4.7</c:v>
                </c:pt>
                <c:pt idx="1041">
                  <c:v>4</c:v>
                </c:pt>
                <c:pt idx="1042">
                  <c:v>4.2</c:v>
                </c:pt>
                <c:pt idx="1043">
                  <c:v>4.5999999999999996</c:v>
                </c:pt>
                <c:pt idx="1044">
                  <c:v>4.3</c:v>
                </c:pt>
                <c:pt idx="1045">
                  <c:v>4.7</c:v>
                </c:pt>
                <c:pt idx="1046">
                  <c:v>4.8</c:v>
                </c:pt>
                <c:pt idx="1047">
                  <c:v>5</c:v>
                </c:pt>
                <c:pt idx="1048">
                  <c:v>4</c:v>
                </c:pt>
                <c:pt idx="1049">
                  <c:v>4.9000000000000004</c:v>
                </c:pt>
                <c:pt idx="1050">
                  <c:v>3.5</c:v>
                </c:pt>
                <c:pt idx="1051">
                  <c:v>4.3</c:v>
                </c:pt>
                <c:pt idx="1052">
                  <c:v>4.7</c:v>
                </c:pt>
                <c:pt idx="1053">
                  <c:v>4.4000000000000004</c:v>
                </c:pt>
                <c:pt idx="1054">
                  <c:v>4.4000000000000004</c:v>
                </c:pt>
                <c:pt idx="1055">
                  <c:v>4.5</c:v>
                </c:pt>
                <c:pt idx="1056">
                  <c:v>4.2</c:v>
                </c:pt>
                <c:pt idx="1057">
                  <c:v>3.7</c:v>
                </c:pt>
                <c:pt idx="1058">
                  <c:v>4.5999999999999996</c:v>
                </c:pt>
                <c:pt idx="1059">
                  <c:v>4.3</c:v>
                </c:pt>
                <c:pt idx="1060">
                  <c:v>4.5999999999999996</c:v>
                </c:pt>
                <c:pt idx="1061">
                  <c:v>4.0999999999999996</c:v>
                </c:pt>
                <c:pt idx="1062">
                  <c:v>4.2</c:v>
                </c:pt>
                <c:pt idx="1063">
                  <c:v>4.5999999999999996</c:v>
                </c:pt>
                <c:pt idx="1064">
                  <c:v>4</c:v>
                </c:pt>
                <c:pt idx="1065">
                  <c:v>3.5</c:v>
                </c:pt>
                <c:pt idx="1066">
                  <c:v>4.0999999999999996</c:v>
                </c:pt>
                <c:pt idx="1067">
                  <c:v>4.5</c:v>
                </c:pt>
                <c:pt idx="1068">
                  <c:v>4.7</c:v>
                </c:pt>
                <c:pt idx="1069">
                  <c:v>4.8</c:v>
                </c:pt>
                <c:pt idx="1070">
                  <c:v>4.9000000000000004</c:v>
                </c:pt>
                <c:pt idx="1071">
                  <c:v>4.2</c:v>
                </c:pt>
                <c:pt idx="1072">
                  <c:v>5</c:v>
                </c:pt>
                <c:pt idx="1073">
                  <c:v>4.0999999999999996</c:v>
                </c:pt>
                <c:pt idx="1074">
                  <c:v>5</c:v>
                </c:pt>
                <c:pt idx="1075">
                  <c:v>5</c:v>
                </c:pt>
                <c:pt idx="1076">
                  <c:v>4.0999999999999996</c:v>
                </c:pt>
                <c:pt idx="1077">
                  <c:v>5</c:v>
                </c:pt>
                <c:pt idx="1078">
                  <c:v>4.4000000000000004</c:v>
                </c:pt>
                <c:pt idx="1079">
                  <c:v>4.9000000000000004</c:v>
                </c:pt>
                <c:pt idx="1080">
                  <c:v>4.4000000000000004</c:v>
                </c:pt>
                <c:pt idx="1081">
                  <c:v>4.8</c:v>
                </c:pt>
                <c:pt idx="1082">
                  <c:v>4.3</c:v>
                </c:pt>
                <c:pt idx="1083">
                  <c:v>4.3</c:v>
                </c:pt>
                <c:pt idx="1084">
                  <c:v>4.4000000000000004</c:v>
                </c:pt>
                <c:pt idx="1085">
                  <c:v>4.2</c:v>
                </c:pt>
                <c:pt idx="1086">
                  <c:v>4</c:v>
                </c:pt>
                <c:pt idx="1087">
                  <c:v>4.0999999999999996</c:v>
                </c:pt>
                <c:pt idx="1088">
                  <c:v>4.0999999999999996</c:v>
                </c:pt>
                <c:pt idx="1089">
                  <c:v>4.2</c:v>
                </c:pt>
                <c:pt idx="1090">
                  <c:v>4.3</c:v>
                </c:pt>
                <c:pt idx="1091">
                  <c:v>4.2</c:v>
                </c:pt>
                <c:pt idx="1092">
                  <c:v>4</c:v>
                </c:pt>
                <c:pt idx="1093">
                  <c:v>4.7</c:v>
                </c:pt>
                <c:pt idx="1094">
                  <c:v>4.2</c:v>
                </c:pt>
                <c:pt idx="1095">
                  <c:v>4</c:v>
                </c:pt>
                <c:pt idx="1096">
                  <c:v>4.2</c:v>
                </c:pt>
                <c:pt idx="1097">
                  <c:v>3.9</c:v>
                </c:pt>
                <c:pt idx="1098">
                  <c:v>4.4000000000000004</c:v>
                </c:pt>
                <c:pt idx="1099">
                  <c:v>4.0999999999999996</c:v>
                </c:pt>
                <c:pt idx="1100">
                  <c:v>3.9</c:v>
                </c:pt>
                <c:pt idx="1101">
                  <c:v>3.5</c:v>
                </c:pt>
                <c:pt idx="1102">
                  <c:v>4</c:v>
                </c:pt>
                <c:pt idx="1103">
                  <c:v>4.4000000000000004</c:v>
                </c:pt>
                <c:pt idx="1104">
                  <c:v>4.0999999999999996</c:v>
                </c:pt>
                <c:pt idx="1105">
                  <c:v>4</c:v>
                </c:pt>
                <c:pt idx="1106">
                  <c:v>4.4000000000000004</c:v>
                </c:pt>
                <c:pt idx="1107">
                  <c:v>4.3</c:v>
                </c:pt>
                <c:pt idx="1108">
                  <c:v>3.8</c:v>
                </c:pt>
                <c:pt idx="1109">
                  <c:v>4.2</c:v>
                </c:pt>
                <c:pt idx="1110">
                  <c:v>4.2</c:v>
                </c:pt>
                <c:pt idx="1111">
                  <c:v>4.3</c:v>
                </c:pt>
                <c:pt idx="1112">
                  <c:v>4.0999999999999996</c:v>
                </c:pt>
                <c:pt idx="1113">
                  <c:v>5</c:v>
                </c:pt>
                <c:pt idx="1114">
                  <c:v>3.9</c:v>
                </c:pt>
                <c:pt idx="1115">
                  <c:v>4.9000000000000004</c:v>
                </c:pt>
                <c:pt idx="1116">
                  <c:v>3.8</c:v>
                </c:pt>
                <c:pt idx="1117">
                  <c:v>5</c:v>
                </c:pt>
                <c:pt idx="1118">
                  <c:v>4.9000000000000004</c:v>
                </c:pt>
                <c:pt idx="1119">
                  <c:v>4.5</c:v>
                </c:pt>
                <c:pt idx="1120">
                  <c:v>4.0999999999999996</c:v>
                </c:pt>
                <c:pt idx="1121">
                  <c:v>4.3</c:v>
                </c:pt>
                <c:pt idx="1122">
                  <c:v>4</c:v>
                </c:pt>
                <c:pt idx="1123">
                  <c:v>4.5999999999999996</c:v>
                </c:pt>
                <c:pt idx="1124">
                  <c:v>4.2</c:v>
                </c:pt>
                <c:pt idx="1125">
                  <c:v>4.4000000000000004</c:v>
                </c:pt>
                <c:pt idx="1126">
                  <c:v>4.9000000000000004</c:v>
                </c:pt>
                <c:pt idx="1127">
                  <c:v>4.7</c:v>
                </c:pt>
                <c:pt idx="1128">
                  <c:v>4.2</c:v>
                </c:pt>
                <c:pt idx="1129">
                  <c:v>3.9</c:v>
                </c:pt>
                <c:pt idx="1130">
                  <c:v>4.2</c:v>
                </c:pt>
                <c:pt idx="1131">
                  <c:v>3.4</c:v>
                </c:pt>
                <c:pt idx="1132">
                  <c:v>4.2</c:v>
                </c:pt>
                <c:pt idx="1133">
                  <c:v>4.5</c:v>
                </c:pt>
                <c:pt idx="1134">
                  <c:v>4.3</c:v>
                </c:pt>
                <c:pt idx="1135">
                  <c:v>4</c:v>
                </c:pt>
                <c:pt idx="1136">
                  <c:v>3.8</c:v>
                </c:pt>
                <c:pt idx="1137">
                  <c:v>3.8</c:v>
                </c:pt>
                <c:pt idx="1138">
                  <c:v>4.0999999999999996</c:v>
                </c:pt>
                <c:pt idx="1139">
                  <c:v>4.0999999999999996</c:v>
                </c:pt>
                <c:pt idx="1140">
                  <c:v>4.7</c:v>
                </c:pt>
                <c:pt idx="1141">
                  <c:v>4.3</c:v>
                </c:pt>
                <c:pt idx="1142">
                  <c:v>3.7</c:v>
                </c:pt>
                <c:pt idx="1143">
                  <c:v>4</c:v>
                </c:pt>
                <c:pt idx="1144">
                  <c:v>4.0999999999999996</c:v>
                </c:pt>
                <c:pt idx="1145">
                  <c:v>4.5</c:v>
                </c:pt>
                <c:pt idx="1146">
                  <c:v>4.2</c:v>
                </c:pt>
                <c:pt idx="1147">
                  <c:v>4.4000000000000004</c:v>
                </c:pt>
                <c:pt idx="1148">
                  <c:v>3.9</c:v>
                </c:pt>
                <c:pt idx="1149">
                  <c:v>4.3</c:v>
                </c:pt>
                <c:pt idx="1150">
                  <c:v>4.3</c:v>
                </c:pt>
                <c:pt idx="1151">
                  <c:v>4.8</c:v>
                </c:pt>
                <c:pt idx="1152">
                  <c:v>4</c:v>
                </c:pt>
                <c:pt idx="1153">
                  <c:v>4.4000000000000004</c:v>
                </c:pt>
                <c:pt idx="1154">
                  <c:v>4.5999999999999996</c:v>
                </c:pt>
                <c:pt idx="1155">
                  <c:v>4.5</c:v>
                </c:pt>
                <c:pt idx="1156">
                  <c:v>4.8</c:v>
                </c:pt>
                <c:pt idx="1157">
                  <c:v>4</c:v>
                </c:pt>
                <c:pt idx="1158">
                  <c:v>4.3</c:v>
                </c:pt>
                <c:pt idx="1159">
                  <c:v>4.5999999999999996</c:v>
                </c:pt>
                <c:pt idx="1160">
                  <c:v>4.0999999999999996</c:v>
                </c:pt>
                <c:pt idx="1161">
                  <c:v>4.5999999999999996</c:v>
                </c:pt>
                <c:pt idx="1162">
                  <c:v>4.8</c:v>
                </c:pt>
                <c:pt idx="1163">
                  <c:v>4.5</c:v>
                </c:pt>
                <c:pt idx="1164">
                  <c:v>4.4000000000000004</c:v>
                </c:pt>
                <c:pt idx="1165">
                  <c:v>4.7</c:v>
                </c:pt>
                <c:pt idx="1166">
                  <c:v>4.8</c:v>
                </c:pt>
                <c:pt idx="1167">
                  <c:v>4.4000000000000004</c:v>
                </c:pt>
                <c:pt idx="1168">
                  <c:v>4.3</c:v>
                </c:pt>
                <c:pt idx="1169">
                  <c:v>4.4000000000000004</c:v>
                </c:pt>
                <c:pt idx="1170">
                  <c:v>4.7</c:v>
                </c:pt>
                <c:pt idx="1171">
                  <c:v>4.4000000000000004</c:v>
                </c:pt>
                <c:pt idx="1172">
                  <c:v>4.5</c:v>
                </c:pt>
                <c:pt idx="1173">
                  <c:v>4.5999999999999996</c:v>
                </c:pt>
                <c:pt idx="1174">
                  <c:v>4.4000000000000004</c:v>
                </c:pt>
                <c:pt idx="1175">
                  <c:v>4.5999999999999996</c:v>
                </c:pt>
                <c:pt idx="1176">
                  <c:v>4.4000000000000004</c:v>
                </c:pt>
                <c:pt idx="1177">
                  <c:v>3.8</c:v>
                </c:pt>
                <c:pt idx="1178">
                  <c:v>4.3</c:v>
                </c:pt>
                <c:pt idx="1179">
                  <c:v>4.3</c:v>
                </c:pt>
                <c:pt idx="1180">
                  <c:v>5</c:v>
                </c:pt>
                <c:pt idx="1181">
                  <c:v>4.5999999999999996</c:v>
                </c:pt>
                <c:pt idx="1182">
                  <c:v>4.5999999999999996</c:v>
                </c:pt>
                <c:pt idx="1183">
                  <c:v>4.5</c:v>
                </c:pt>
                <c:pt idx="1184">
                  <c:v>4.5999999999999996</c:v>
                </c:pt>
                <c:pt idx="1185">
                  <c:v>4.0999999999999996</c:v>
                </c:pt>
                <c:pt idx="1186">
                  <c:v>4</c:v>
                </c:pt>
                <c:pt idx="1187">
                  <c:v>4.9000000000000004</c:v>
                </c:pt>
                <c:pt idx="1188">
                  <c:v>3.8</c:v>
                </c:pt>
                <c:pt idx="1189">
                  <c:v>4.0999999999999996</c:v>
                </c:pt>
                <c:pt idx="1190">
                  <c:v>4.2</c:v>
                </c:pt>
                <c:pt idx="1191">
                  <c:v>4.7</c:v>
                </c:pt>
                <c:pt idx="1192">
                  <c:v>4.2</c:v>
                </c:pt>
                <c:pt idx="1193">
                  <c:v>4.2</c:v>
                </c:pt>
                <c:pt idx="1194">
                  <c:v>4.0999999999999996</c:v>
                </c:pt>
                <c:pt idx="1195">
                  <c:v>4.9000000000000004</c:v>
                </c:pt>
                <c:pt idx="1196">
                  <c:v>4</c:v>
                </c:pt>
                <c:pt idx="1197">
                  <c:v>4</c:v>
                </c:pt>
                <c:pt idx="1198">
                  <c:v>4.8</c:v>
                </c:pt>
                <c:pt idx="1199">
                  <c:v>4.7</c:v>
                </c:pt>
              </c:numCache>
            </c:numRef>
          </c:xVal>
          <c:yVal>
            <c:numRef>
              <c:f>'02_Working_Dataset'!$D$2:$D$1201</c:f>
              <c:numCache>
                <c:formatCode>General</c:formatCode>
                <c:ptCount val="1200"/>
                <c:pt idx="0">
                  <c:v>1203</c:v>
                </c:pt>
                <c:pt idx="1">
                  <c:v>29972</c:v>
                </c:pt>
                <c:pt idx="2">
                  <c:v>3443</c:v>
                </c:pt>
                <c:pt idx="3">
                  <c:v>2868</c:v>
                </c:pt>
                <c:pt idx="4">
                  <c:v>1283</c:v>
                </c:pt>
                <c:pt idx="5">
                  <c:v>4578</c:v>
                </c:pt>
                <c:pt idx="6">
                  <c:v>6192</c:v>
                </c:pt>
                <c:pt idx="7">
                  <c:v>9490</c:v>
                </c:pt>
                <c:pt idx="8">
                  <c:v>3447</c:v>
                </c:pt>
                <c:pt idx="9">
                  <c:v>4955</c:v>
                </c:pt>
                <c:pt idx="10">
                  <c:v>1136</c:v>
                </c:pt>
                <c:pt idx="11">
                  <c:v>542</c:v>
                </c:pt>
                <c:pt idx="12">
                  <c:v>1395</c:v>
                </c:pt>
                <c:pt idx="13">
                  <c:v>3926</c:v>
                </c:pt>
                <c:pt idx="14">
                  <c:v>166</c:v>
                </c:pt>
                <c:pt idx="15">
                  <c:v>1747</c:v>
                </c:pt>
                <c:pt idx="16">
                  <c:v>668</c:v>
                </c:pt>
                <c:pt idx="17">
                  <c:v>3798</c:v>
                </c:pt>
                <c:pt idx="18">
                  <c:v>335</c:v>
                </c:pt>
                <c:pt idx="19">
                  <c:v>748</c:v>
                </c:pt>
                <c:pt idx="20">
                  <c:v>1251</c:v>
                </c:pt>
                <c:pt idx="21">
                  <c:v>7038</c:v>
                </c:pt>
                <c:pt idx="22">
                  <c:v>1907</c:v>
                </c:pt>
                <c:pt idx="23">
                  <c:v>2111</c:v>
                </c:pt>
                <c:pt idx="24">
                  <c:v>128</c:v>
                </c:pt>
                <c:pt idx="25">
                  <c:v>3057</c:v>
                </c:pt>
                <c:pt idx="26">
                  <c:v>2871</c:v>
                </c:pt>
                <c:pt idx="27">
                  <c:v>373</c:v>
                </c:pt>
                <c:pt idx="28">
                  <c:v>1264</c:v>
                </c:pt>
                <c:pt idx="29">
                  <c:v>690</c:v>
                </c:pt>
                <c:pt idx="30">
                  <c:v>3434</c:v>
                </c:pt>
                <c:pt idx="31">
                  <c:v>804</c:v>
                </c:pt>
                <c:pt idx="32">
                  <c:v>4278</c:v>
                </c:pt>
                <c:pt idx="33">
                  <c:v>2316</c:v>
                </c:pt>
                <c:pt idx="34">
                  <c:v>478</c:v>
                </c:pt>
                <c:pt idx="35">
                  <c:v>4866</c:v>
                </c:pt>
                <c:pt idx="36">
                  <c:v>1439</c:v>
                </c:pt>
                <c:pt idx="37">
                  <c:v>139</c:v>
                </c:pt>
                <c:pt idx="38">
                  <c:v>66</c:v>
                </c:pt>
                <c:pt idx="39">
                  <c:v>157</c:v>
                </c:pt>
                <c:pt idx="40">
                  <c:v>689</c:v>
                </c:pt>
                <c:pt idx="41">
                  <c:v>24277</c:v>
                </c:pt>
                <c:pt idx="42">
                  <c:v>9027</c:v>
                </c:pt>
                <c:pt idx="43">
                  <c:v>3004</c:v>
                </c:pt>
                <c:pt idx="44">
                  <c:v>1197</c:v>
                </c:pt>
                <c:pt idx="45">
                  <c:v>58</c:v>
                </c:pt>
                <c:pt idx="46">
                  <c:v>2503</c:v>
                </c:pt>
                <c:pt idx="47">
                  <c:v>110</c:v>
                </c:pt>
                <c:pt idx="48">
                  <c:v>1569</c:v>
                </c:pt>
                <c:pt idx="49">
                  <c:v>139</c:v>
                </c:pt>
                <c:pt idx="50">
                  <c:v>2950</c:v>
                </c:pt>
                <c:pt idx="51">
                  <c:v>965</c:v>
                </c:pt>
                <c:pt idx="52">
                  <c:v>466</c:v>
                </c:pt>
                <c:pt idx="53">
                  <c:v>16</c:v>
                </c:pt>
                <c:pt idx="54">
                  <c:v>1239</c:v>
                </c:pt>
                <c:pt idx="55">
                  <c:v>197</c:v>
                </c:pt>
                <c:pt idx="56">
                  <c:v>96</c:v>
                </c:pt>
                <c:pt idx="57">
                  <c:v>606</c:v>
                </c:pt>
                <c:pt idx="58">
                  <c:v>937</c:v>
                </c:pt>
                <c:pt idx="59">
                  <c:v>1130</c:v>
                </c:pt>
                <c:pt idx="60">
                  <c:v>7038</c:v>
                </c:pt>
                <c:pt idx="61">
                  <c:v>3447</c:v>
                </c:pt>
                <c:pt idx="62">
                  <c:v>937</c:v>
                </c:pt>
                <c:pt idx="63">
                  <c:v>921</c:v>
                </c:pt>
                <c:pt idx="64">
                  <c:v>306</c:v>
                </c:pt>
                <c:pt idx="65">
                  <c:v>27</c:v>
                </c:pt>
                <c:pt idx="66">
                  <c:v>1395</c:v>
                </c:pt>
                <c:pt idx="67">
                  <c:v>1431</c:v>
                </c:pt>
                <c:pt idx="68">
                  <c:v>1136</c:v>
                </c:pt>
                <c:pt idx="69">
                  <c:v>501</c:v>
                </c:pt>
                <c:pt idx="70">
                  <c:v>4955</c:v>
                </c:pt>
                <c:pt idx="71">
                  <c:v>997</c:v>
                </c:pt>
                <c:pt idx="72">
                  <c:v>2742</c:v>
                </c:pt>
                <c:pt idx="73">
                  <c:v>4235</c:v>
                </c:pt>
                <c:pt idx="74">
                  <c:v>1439</c:v>
                </c:pt>
                <c:pt idx="75">
                  <c:v>1897</c:v>
                </c:pt>
                <c:pt idx="76">
                  <c:v>2996</c:v>
                </c:pt>
                <c:pt idx="77">
                  <c:v>2399</c:v>
                </c:pt>
                <c:pt idx="78">
                  <c:v>29</c:v>
                </c:pt>
                <c:pt idx="79">
                  <c:v>4278</c:v>
                </c:pt>
                <c:pt idx="80">
                  <c:v>478</c:v>
                </c:pt>
                <c:pt idx="81">
                  <c:v>2692</c:v>
                </c:pt>
                <c:pt idx="82">
                  <c:v>3443</c:v>
                </c:pt>
                <c:pt idx="83">
                  <c:v>3015</c:v>
                </c:pt>
                <c:pt idx="84">
                  <c:v>94</c:v>
                </c:pt>
                <c:pt idx="85">
                  <c:v>7287</c:v>
                </c:pt>
                <c:pt idx="86">
                  <c:v>2111</c:v>
                </c:pt>
                <c:pt idx="87">
                  <c:v>29972</c:v>
                </c:pt>
                <c:pt idx="88">
                  <c:v>141</c:v>
                </c:pt>
                <c:pt idx="89">
                  <c:v>466</c:v>
                </c:pt>
                <c:pt idx="90">
                  <c:v>2868</c:v>
                </c:pt>
                <c:pt idx="91">
                  <c:v>660</c:v>
                </c:pt>
                <c:pt idx="92">
                  <c:v>163</c:v>
                </c:pt>
                <c:pt idx="93">
                  <c:v>698</c:v>
                </c:pt>
                <c:pt idx="94">
                  <c:v>3225</c:v>
                </c:pt>
                <c:pt idx="95">
                  <c:v>46</c:v>
                </c:pt>
                <c:pt idx="96">
                  <c:v>1747</c:v>
                </c:pt>
                <c:pt idx="97">
                  <c:v>279</c:v>
                </c:pt>
                <c:pt idx="98">
                  <c:v>3004</c:v>
                </c:pt>
                <c:pt idx="99">
                  <c:v>13597</c:v>
                </c:pt>
                <c:pt idx="100">
                  <c:v>4578</c:v>
                </c:pt>
                <c:pt idx="101">
                  <c:v>1105</c:v>
                </c:pt>
                <c:pt idx="102">
                  <c:v>144</c:v>
                </c:pt>
                <c:pt idx="103">
                  <c:v>101</c:v>
                </c:pt>
                <c:pt idx="104">
                  <c:v>138</c:v>
                </c:pt>
                <c:pt idx="105">
                  <c:v>478</c:v>
                </c:pt>
                <c:pt idx="106">
                  <c:v>5385</c:v>
                </c:pt>
                <c:pt idx="107">
                  <c:v>420</c:v>
                </c:pt>
                <c:pt idx="108">
                  <c:v>330</c:v>
                </c:pt>
                <c:pt idx="109">
                  <c:v>1469</c:v>
                </c:pt>
                <c:pt idx="110">
                  <c:v>619</c:v>
                </c:pt>
                <c:pt idx="111">
                  <c:v>443</c:v>
                </c:pt>
                <c:pt idx="112">
                  <c:v>1586</c:v>
                </c:pt>
                <c:pt idx="113">
                  <c:v>16</c:v>
                </c:pt>
                <c:pt idx="114">
                  <c:v>1251</c:v>
                </c:pt>
                <c:pt idx="115">
                  <c:v>134</c:v>
                </c:pt>
                <c:pt idx="116">
                  <c:v>25681</c:v>
                </c:pt>
                <c:pt idx="117">
                  <c:v>255</c:v>
                </c:pt>
                <c:pt idx="118">
                  <c:v>2934</c:v>
                </c:pt>
                <c:pt idx="119">
                  <c:v>9490</c:v>
                </c:pt>
                <c:pt idx="120">
                  <c:v>8457</c:v>
                </c:pt>
                <c:pt idx="121">
                  <c:v>1561</c:v>
                </c:pt>
                <c:pt idx="122">
                  <c:v>1898</c:v>
                </c:pt>
                <c:pt idx="123">
                  <c:v>375</c:v>
                </c:pt>
                <c:pt idx="124">
                  <c:v>846</c:v>
                </c:pt>
                <c:pt idx="125">
                  <c:v>117</c:v>
                </c:pt>
                <c:pt idx="126">
                  <c:v>175</c:v>
                </c:pt>
                <c:pt idx="127">
                  <c:v>2687</c:v>
                </c:pt>
                <c:pt idx="128">
                  <c:v>1104</c:v>
                </c:pt>
                <c:pt idx="129">
                  <c:v>325</c:v>
                </c:pt>
                <c:pt idx="130">
                  <c:v>2130</c:v>
                </c:pt>
                <c:pt idx="131">
                  <c:v>774</c:v>
                </c:pt>
                <c:pt idx="132">
                  <c:v>92</c:v>
                </c:pt>
                <c:pt idx="133">
                  <c:v>23</c:v>
                </c:pt>
                <c:pt idx="134">
                  <c:v>17</c:v>
                </c:pt>
                <c:pt idx="135">
                  <c:v>24600</c:v>
                </c:pt>
                <c:pt idx="136">
                  <c:v>583</c:v>
                </c:pt>
                <c:pt idx="137">
                  <c:v>1392</c:v>
                </c:pt>
                <c:pt idx="138">
                  <c:v>1415</c:v>
                </c:pt>
                <c:pt idx="139">
                  <c:v>31</c:v>
                </c:pt>
                <c:pt idx="140">
                  <c:v>5790</c:v>
                </c:pt>
                <c:pt idx="141">
                  <c:v>55</c:v>
                </c:pt>
                <c:pt idx="142">
                  <c:v>4162</c:v>
                </c:pt>
                <c:pt idx="143">
                  <c:v>38</c:v>
                </c:pt>
                <c:pt idx="144">
                  <c:v>1093</c:v>
                </c:pt>
                <c:pt idx="145">
                  <c:v>251</c:v>
                </c:pt>
                <c:pt idx="146">
                  <c:v>475</c:v>
                </c:pt>
                <c:pt idx="147">
                  <c:v>611</c:v>
                </c:pt>
                <c:pt idx="148">
                  <c:v>3936</c:v>
                </c:pt>
                <c:pt idx="149">
                  <c:v>1011</c:v>
                </c:pt>
                <c:pt idx="150">
                  <c:v>30</c:v>
                </c:pt>
                <c:pt idx="151">
                  <c:v>1675</c:v>
                </c:pt>
                <c:pt idx="152">
                  <c:v>3574</c:v>
                </c:pt>
                <c:pt idx="153">
                  <c:v>25</c:v>
                </c:pt>
                <c:pt idx="154">
                  <c:v>154</c:v>
                </c:pt>
                <c:pt idx="155">
                  <c:v>258</c:v>
                </c:pt>
                <c:pt idx="156">
                  <c:v>62</c:v>
                </c:pt>
                <c:pt idx="157">
                  <c:v>176</c:v>
                </c:pt>
                <c:pt idx="158">
                  <c:v>2470</c:v>
                </c:pt>
                <c:pt idx="159">
                  <c:v>3727</c:v>
                </c:pt>
                <c:pt idx="160">
                  <c:v>2352</c:v>
                </c:pt>
                <c:pt idx="161">
                  <c:v>287</c:v>
                </c:pt>
                <c:pt idx="162">
                  <c:v>505</c:v>
                </c:pt>
                <c:pt idx="163">
                  <c:v>724</c:v>
                </c:pt>
                <c:pt idx="164">
                  <c:v>188</c:v>
                </c:pt>
                <c:pt idx="165">
                  <c:v>1817</c:v>
                </c:pt>
                <c:pt idx="166">
                  <c:v>257</c:v>
                </c:pt>
                <c:pt idx="167">
                  <c:v>675</c:v>
                </c:pt>
                <c:pt idx="168">
                  <c:v>12</c:v>
                </c:pt>
                <c:pt idx="169">
                  <c:v>215</c:v>
                </c:pt>
                <c:pt idx="170">
                  <c:v>511</c:v>
                </c:pt>
                <c:pt idx="171">
                  <c:v>3943</c:v>
                </c:pt>
                <c:pt idx="172">
                  <c:v>145</c:v>
                </c:pt>
                <c:pt idx="173">
                  <c:v>90</c:v>
                </c:pt>
                <c:pt idx="174">
                  <c:v>7730</c:v>
                </c:pt>
                <c:pt idx="175">
                  <c:v>5086</c:v>
                </c:pt>
                <c:pt idx="176">
                  <c:v>810</c:v>
                </c:pt>
                <c:pt idx="177">
                  <c:v>789</c:v>
                </c:pt>
                <c:pt idx="178">
                  <c:v>18</c:v>
                </c:pt>
                <c:pt idx="179">
                  <c:v>64</c:v>
                </c:pt>
                <c:pt idx="180">
                  <c:v>3213</c:v>
                </c:pt>
                <c:pt idx="181">
                  <c:v>206</c:v>
                </c:pt>
                <c:pt idx="182">
                  <c:v>142</c:v>
                </c:pt>
                <c:pt idx="183">
                  <c:v>109</c:v>
                </c:pt>
                <c:pt idx="184">
                  <c:v>1675</c:v>
                </c:pt>
                <c:pt idx="185">
                  <c:v>385</c:v>
                </c:pt>
                <c:pt idx="186">
                  <c:v>2352</c:v>
                </c:pt>
                <c:pt idx="187">
                  <c:v>58</c:v>
                </c:pt>
                <c:pt idx="188">
                  <c:v>2687</c:v>
                </c:pt>
                <c:pt idx="189">
                  <c:v>611</c:v>
                </c:pt>
                <c:pt idx="190">
                  <c:v>258</c:v>
                </c:pt>
                <c:pt idx="191">
                  <c:v>190</c:v>
                </c:pt>
                <c:pt idx="192">
                  <c:v>7569</c:v>
                </c:pt>
                <c:pt idx="193">
                  <c:v>257</c:v>
                </c:pt>
                <c:pt idx="194">
                  <c:v>287</c:v>
                </c:pt>
                <c:pt idx="195">
                  <c:v>6185</c:v>
                </c:pt>
                <c:pt idx="196">
                  <c:v>2782</c:v>
                </c:pt>
                <c:pt idx="197">
                  <c:v>176</c:v>
                </c:pt>
                <c:pt idx="198">
                  <c:v>162</c:v>
                </c:pt>
                <c:pt idx="199">
                  <c:v>325</c:v>
                </c:pt>
                <c:pt idx="200">
                  <c:v>12</c:v>
                </c:pt>
                <c:pt idx="201">
                  <c:v>6031</c:v>
                </c:pt>
                <c:pt idx="202">
                  <c:v>5072</c:v>
                </c:pt>
                <c:pt idx="203">
                  <c:v>589</c:v>
                </c:pt>
                <c:pt idx="204">
                  <c:v>1547</c:v>
                </c:pt>
                <c:pt idx="205">
                  <c:v>637</c:v>
                </c:pt>
                <c:pt idx="206">
                  <c:v>120</c:v>
                </c:pt>
                <c:pt idx="207">
                  <c:v>375</c:v>
                </c:pt>
                <c:pt idx="208">
                  <c:v>290</c:v>
                </c:pt>
                <c:pt idx="209">
                  <c:v>414</c:v>
                </c:pt>
                <c:pt idx="210">
                  <c:v>507</c:v>
                </c:pt>
                <c:pt idx="211">
                  <c:v>8457</c:v>
                </c:pt>
                <c:pt idx="212">
                  <c:v>1081</c:v>
                </c:pt>
                <c:pt idx="213">
                  <c:v>3322</c:v>
                </c:pt>
                <c:pt idx="214">
                  <c:v>46</c:v>
                </c:pt>
                <c:pt idx="215">
                  <c:v>6020</c:v>
                </c:pt>
                <c:pt idx="216">
                  <c:v>1898</c:v>
                </c:pt>
                <c:pt idx="217">
                  <c:v>1526</c:v>
                </c:pt>
                <c:pt idx="218">
                  <c:v>4162</c:v>
                </c:pt>
                <c:pt idx="219">
                  <c:v>121</c:v>
                </c:pt>
                <c:pt idx="220">
                  <c:v>48</c:v>
                </c:pt>
                <c:pt idx="221">
                  <c:v>17</c:v>
                </c:pt>
                <c:pt idx="222">
                  <c:v>102</c:v>
                </c:pt>
                <c:pt idx="223">
                  <c:v>582</c:v>
                </c:pt>
                <c:pt idx="224">
                  <c:v>5</c:v>
                </c:pt>
                <c:pt idx="225">
                  <c:v>975</c:v>
                </c:pt>
                <c:pt idx="226">
                  <c:v>8397</c:v>
                </c:pt>
                <c:pt idx="227">
                  <c:v>11</c:v>
                </c:pt>
                <c:pt idx="228">
                  <c:v>37</c:v>
                </c:pt>
                <c:pt idx="229">
                  <c:v>5</c:v>
                </c:pt>
                <c:pt idx="230">
                  <c:v>2739</c:v>
                </c:pt>
                <c:pt idx="231">
                  <c:v>71</c:v>
                </c:pt>
                <c:pt idx="232">
                  <c:v>853</c:v>
                </c:pt>
                <c:pt idx="233">
                  <c:v>789</c:v>
                </c:pt>
                <c:pt idx="234">
                  <c:v>6</c:v>
                </c:pt>
                <c:pt idx="235">
                  <c:v>92</c:v>
                </c:pt>
                <c:pt idx="236">
                  <c:v>96</c:v>
                </c:pt>
                <c:pt idx="237">
                  <c:v>58</c:v>
                </c:pt>
                <c:pt idx="238">
                  <c:v>3054</c:v>
                </c:pt>
                <c:pt idx="239">
                  <c:v>298</c:v>
                </c:pt>
                <c:pt idx="240">
                  <c:v>3809</c:v>
                </c:pt>
                <c:pt idx="241">
                  <c:v>2007</c:v>
                </c:pt>
                <c:pt idx="242">
                  <c:v>17088</c:v>
                </c:pt>
                <c:pt idx="243">
                  <c:v>1445</c:v>
                </c:pt>
                <c:pt idx="244">
                  <c:v>3019</c:v>
                </c:pt>
                <c:pt idx="245">
                  <c:v>4246</c:v>
                </c:pt>
                <c:pt idx="246">
                  <c:v>1420</c:v>
                </c:pt>
                <c:pt idx="247">
                  <c:v>967</c:v>
                </c:pt>
                <c:pt idx="248">
                  <c:v>2390</c:v>
                </c:pt>
                <c:pt idx="249">
                  <c:v>1546</c:v>
                </c:pt>
                <c:pt idx="250">
                  <c:v>2417</c:v>
                </c:pt>
                <c:pt idx="251">
                  <c:v>914</c:v>
                </c:pt>
                <c:pt idx="252">
                  <c:v>543</c:v>
                </c:pt>
                <c:pt idx="253">
                  <c:v>582</c:v>
                </c:pt>
                <c:pt idx="254">
                  <c:v>641</c:v>
                </c:pt>
                <c:pt idx="255">
                  <c:v>605</c:v>
                </c:pt>
                <c:pt idx="256">
                  <c:v>695</c:v>
                </c:pt>
                <c:pt idx="257">
                  <c:v>2437</c:v>
                </c:pt>
                <c:pt idx="258">
                  <c:v>2522</c:v>
                </c:pt>
                <c:pt idx="259">
                  <c:v>104</c:v>
                </c:pt>
                <c:pt idx="260">
                  <c:v>143</c:v>
                </c:pt>
                <c:pt idx="261">
                  <c:v>582</c:v>
                </c:pt>
                <c:pt idx="262">
                  <c:v>140</c:v>
                </c:pt>
                <c:pt idx="263">
                  <c:v>343</c:v>
                </c:pt>
                <c:pt idx="264">
                  <c:v>349</c:v>
                </c:pt>
                <c:pt idx="265">
                  <c:v>3745</c:v>
                </c:pt>
                <c:pt idx="266">
                  <c:v>2749</c:v>
                </c:pt>
                <c:pt idx="267">
                  <c:v>841</c:v>
                </c:pt>
                <c:pt idx="268">
                  <c:v>717</c:v>
                </c:pt>
                <c:pt idx="269">
                  <c:v>2070</c:v>
                </c:pt>
                <c:pt idx="270">
                  <c:v>2041</c:v>
                </c:pt>
                <c:pt idx="271">
                  <c:v>3266</c:v>
                </c:pt>
                <c:pt idx="272">
                  <c:v>968</c:v>
                </c:pt>
                <c:pt idx="273">
                  <c:v>518</c:v>
                </c:pt>
                <c:pt idx="274">
                  <c:v>690</c:v>
                </c:pt>
                <c:pt idx="275">
                  <c:v>4707</c:v>
                </c:pt>
                <c:pt idx="276">
                  <c:v>75</c:v>
                </c:pt>
                <c:pt idx="277">
                  <c:v>4318</c:v>
                </c:pt>
                <c:pt idx="278">
                  <c:v>261</c:v>
                </c:pt>
                <c:pt idx="279">
                  <c:v>281</c:v>
                </c:pt>
                <c:pt idx="280">
                  <c:v>189</c:v>
                </c:pt>
                <c:pt idx="281">
                  <c:v>326</c:v>
                </c:pt>
                <c:pt idx="282">
                  <c:v>48</c:v>
                </c:pt>
                <c:pt idx="283">
                  <c:v>783</c:v>
                </c:pt>
                <c:pt idx="284">
                  <c:v>7623</c:v>
                </c:pt>
                <c:pt idx="285">
                  <c:v>2417</c:v>
                </c:pt>
                <c:pt idx="286">
                  <c:v>101</c:v>
                </c:pt>
                <c:pt idx="287">
                  <c:v>1403</c:v>
                </c:pt>
                <c:pt idx="288">
                  <c:v>704</c:v>
                </c:pt>
                <c:pt idx="289">
                  <c:v>3653</c:v>
                </c:pt>
                <c:pt idx="290">
                  <c:v>2311</c:v>
                </c:pt>
                <c:pt idx="291">
                  <c:v>80</c:v>
                </c:pt>
                <c:pt idx="292">
                  <c:v>380</c:v>
                </c:pt>
                <c:pt idx="293">
                  <c:v>2128</c:v>
                </c:pt>
                <c:pt idx="294">
                  <c:v>187</c:v>
                </c:pt>
                <c:pt idx="295">
                  <c:v>29</c:v>
                </c:pt>
                <c:pt idx="296">
                  <c:v>58</c:v>
                </c:pt>
                <c:pt idx="297">
                  <c:v>70</c:v>
                </c:pt>
                <c:pt idx="298">
                  <c:v>291</c:v>
                </c:pt>
                <c:pt idx="299">
                  <c:v>3179</c:v>
                </c:pt>
                <c:pt idx="300">
                  <c:v>2144</c:v>
                </c:pt>
                <c:pt idx="301">
                  <c:v>1373</c:v>
                </c:pt>
                <c:pt idx="302">
                  <c:v>2125</c:v>
                </c:pt>
                <c:pt idx="303">
                  <c:v>2589</c:v>
                </c:pt>
                <c:pt idx="304">
                  <c:v>1780</c:v>
                </c:pt>
                <c:pt idx="305">
                  <c:v>442</c:v>
                </c:pt>
                <c:pt idx="306">
                  <c:v>875</c:v>
                </c:pt>
                <c:pt idx="307">
                  <c:v>1248</c:v>
                </c:pt>
                <c:pt idx="308">
                  <c:v>763</c:v>
                </c:pt>
                <c:pt idx="309">
                  <c:v>2392</c:v>
                </c:pt>
                <c:pt idx="310">
                  <c:v>3561</c:v>
                </c:pt>
                <c:pt idx="311">
                  <c:v>69</c:v>
                </c:pt>
                <c:pt idx="312">
                  <c:v>1315</c:v>
                </c:pt>
                <c:pt idx="313">
                  <c:v>187</c:v>
                </c:pt>
                <c:pt idx="314">
                  <c:v>983</c:v>
                </c:pt>
                <c:pt idx="315">
                  <c:v>154</c:v>
                </c:pt>
                <c:pt idx="316">
                  <c:v>1732</c:v>
                </c:pt>
                <c:pt idx="317">
                  <c:v>2877</c:v>
                </c:pt>
                <c:pt idx="318">
                  <c:v>1740</c:v>
                </c:pt>
                <c:pt idx="319">
                  <c:v>778</c:v>
                </c:pt>
                <c:pt idx="320">
                  <c:v>158</c:v>
                </c:pt>
                <c:pt idx="321">
                  <c:v>2431</c:v>
                </c:pt>
                <c:pt idx="322">
                  <c:v>1110</c:v>
                </c:pt>
                <c:pt idx="323">
                  <c:v>958</c:v>
                </c:pt>
                <c:pt idx="324">
                  <c:v>93</c:v>
                </c:pt>
                <c:pt idx="325">
                  <c:v>91</c:v>
                </c:pt>
                <c:pt idx="326">
                  <c:v>3035</c:v>
                </c:pt>
                <c:pt idx="327">
                  <c:v>2876</c:v>
                </c:pt>
                <c:pt idx="328">
                  <c:v>2453</c:v>
                </c:pt>
                <c:pt idx="329">
                  <c:v>167</c:v>
                </c:pt>
                <c:pt idx="330">
                  <c:v>18396</c:v>
                </c:pt>
                <c:pt idx="331">
                  <c:v>431</c:v>
                </c:pt>
                <c:pt idx="332">
                  <c:v>518</c:v>
                </c:pt>
                <c:pt idx="333">
                  <c:v>415</c:v>
                </c:pt>
                <c:pt idx="334">
                  <c:v>156</c:v>
                </c:pt>
                <c:pt idx="335">
                  <c:v>459</c:v>
                </c:pt>
                <c:pt idx="336">
                  <c:v>1199</c:v>
                </c:pt>
                <c:pt idx="337">
                  <c:v>340</c:v>
                </c:pt>
                <c:pt idx="338">
                  <c:v>805</c:v>
                </c:pt>
                <c:pt idx="339">
                  <c:v>2721</c:v>
                </c:pt>
                <c:pt idx="340">
                  <c:v>965</c:v>
                </c:pt>
                <c:pt idx="341">
                  <c:v>135</c:v>
                </c:pt>
                <c:pt idx="342">
                  <c:v>1127</c:v>
                </c:pt>
                <c:pt idx="343">
                  <c:v>445</c:v>
                </c:pt>
                <c:pt idx="344">
                  <c:v>186</c:v>
                </c:pt>
                <c:pt idx="345">
                  <c:v>51</c:v>
                </c:pt>
                <c:pt idx="346">
                  <c:v>895</c:v>
                </c:pt>
                <c:pt idx="347">
                  <c:v>251</c:v>
                </c:pt>
                <c:pt idx="348">
                  <c:v>1037</c:v>
                </c:pt>
                <c:pt idx="349">
                  <c:v>168</c:v>
                </c:pt>
                <c:pt idx="350">
                  <c:v>100</c:v>
                </c:pt>
                <c:pt idx="351">
                  <c:v>929</c:v>
                </c:pt>
                <c:pt idx="352">
                  <c:v>3464</c:v>
                </c:pt>
                <c:pt idx="353">
                  <c:v>78</c:v>
                </c:pt>
                <c:pt idx="354">
                  <c:v>259</c:v>
                </c:pt>
                <c:pt idx="355">
                  <c:v>50</c:v>
                </c:pt>
                <c:pt idx="356">
                  <c:v>49</c:v>
                </c:pt>
                <c:pt idx="357">
                  <c:v>796</c:v>
                </c:pt>
                <c:pt idx="358">
                  <c:v>242</c:v>
                </c:pt>
                <c:pt idx="359">
                  <c:v>69</c:v>
                </c:pt>
                <c:pt idx="360">
                  <c:v>492</c:v>
                </c:pt>
                <c:pt idx="361">
                  <c:v>160</c:v>
                </c:pt>
                <c:pt idx="362">
                  <c:v>101</c:v>
                </c:pt>
                <c:pt idx="363">
                  <c:v>94</c:v>
                </c:pt>
                <c:pt idx="364">
                  <c:v>3749</c:v>
                </c:pt>
                <c:pt idx="365">
                  <c:v>208</c:v>
                </c:pt>
                <c:pt idx="366">
                  <c:v>648</c:v>
                </c:pt>
                <c:pt idx="367">
                  <c:v>30</c:v>
                </c:pt>
                <c:pt idx="368">
                  <c:v>288</c:v>
                </c:pt>
                <c:pt idx="369">
                  <c:v>154</c:v>
                </c:pt>
                <c:pt idx="370">
                  <c:v>35</c:v>
                </c:pt>
                <c:pt idx="371">
                  <c:v>2473</c:v>
                </c:pt>
                <c:pt idx="372">
                  <c:v>2243</c:v>
                </c:pt>
                <c:pt idx="373">
                  <c:v>1581</c:v>
                </c:pt>
                <c:pt idx="374">
                  <c:v>117</c:v>
                </c:pt>
                <c:pt idx="375">
                  <c:v>149</c:v>
                </c:pt>
                <c:pt idx="376">
                  <c:v>75</c:v>
                </c:pt>
                <c:pt idx="377">
                  <c:v>877</c:v>
                </c:pt>
                <c:pt idx="378">
                  <c:v>397</c:v>
                </c:pt>
                <c:pt idx="379">
                  <c:v>38</c:v>
                </c:pt>
                <c:pt idx="380">
                  <c:v>686</c:v>
                </c:pt>
                <c:pt idx="381">
                  <c:v>4463</c:v>
                </c:pt>
                <c:pt idx="382">
                  <c:v>639</c:v>
                </c:pt>
                <c:pt idx="383">
                  <c:v>1780</c:v>
                </c:pt>
                <c:pt idx="384">
                  <c:v>308</c:v>
                </c:pt>
                <c:pt idx="385">
                  <c:v>1373</c:v>
                </c:pt>
                <c:pt idx="386">
                  <c:v>105</c:v>
                </c:pt>
                <c:pt idx="387">
                  <c:v>141</c:v>
                </c:pt>
                <c:pt idx="388">
                  <c:v>1473</c:v>
                </c:pt>
                <c:pt idx="389">
                  <c:v>1110</c:v>
                </c:pt>
                <c:pt idx="390">
                  <c:v>443</c:v>
                </c:pt>
                <c:pt idx="391">
                  <c:v>224</c:v>
                </c:pt>
                <c:pt idx="392">
                  <c:v>2739</c:v>
                </c:pt>
                <c:pt idx="393">
                  <c:v>2144</c:v>
                </c:pt>
                <c:pt idx="394">
                  <c:v>28</c:v>
                </c:pt>
                <c:pt idx="395">
                  <c:v>400</c:v>
                </c:pt>
                <c:pt idx="396">
                  <c:v>2</c:v>
                </c:pt>
                <c:pt idx="397">
                  <c:v>191</c:v>
                </c:pt>
                <c:pt idx="398">
                  <c:v>242</c:v>
                </c:pt>
                <c:pt idx="399">
                  <c:v>1190</c:v>
                </c:pt>
                <c:pt idx="400">
                  <c:v>1114</c:v>
                </c:pt>
                <c:pt idx="401">
                  <c:v>1</c:v>
                </c:pt>
                <c:pt idx="402">
                  <c:v>294</c:v>
                </c:pt>
                <c:pt idx="403">
                  <c:v>39</c:v>
                </c:pt>
                <c:pt idx="404">
                  <c:v>242</c:v>
                </c:pt>
                <c:pt idx="405">
                  <c:v>17</c:v>
                </c:pt>
                <c:pt idx="406">
                  <c:v>319</c:v>
                </c:pt>
                <c:pt idx="407">
                  <c:v>103</c:v>
                </c:pt>
                <c:pt idx="408">
                  <c:v>21</c:v>
                </c:pt>
                <c:pt idx="409">
                  <c:v>46</c:v>
                </c:pt>
                <c:pt idx="410">
                  <c:v>212</c:v>
                </c:pt>
                <c:pt idx="411">
                  <c:v>122</c:v>
                </c:pt>
                <c:pt idx="412">
                  <c:v>958</c:v>
                </c:pt>
                <c:pt idx="413">
                  <c:v>1794</c:v>
                </c:pt>
                <c:pt idx="414">
                  <c:v>19</c:v>
                </c:pt>
                <c:pt idx="415">
                  <c:v>1199</c:v>
                </c:pt>
                <c:pt idx="416">
                  <c:v>1058</c:v>
                </c:pt>
                <c:pt idx="417">
                  <c:v>49</c:v>
                </c:pt>
                <c:pt idx="418">
                  <c:v>188</c:v>
                </c:pt>
                <c:pt idx="419">
                  <c:v>7</c:v>
                </c:pt>
                <c:pt idx="420">
                  <c:v>1948</c:v>
                </c:pt>
                <c:pt idx="421">
                  <c:v>1677</c:v>
                </c:pt>
                <c:pt idx="422">
                  <c:v>1001</c:v>
                </c:pt>
                <c:pt idx="423">
                  <c:v>166</c:v>
                </c:pt>
                <c:pt idx="424">
                  <c:v>305</c:v>
                </c:pt>
                <c:pt idx="425">
                  <c:v>673</c:v>
                </c:pt>
                <c:pt idx="426">
                  <c:v>626</c:v>
                </c:pt>
                <c:pt idx="427">
                  <c:v>2009</c:v>
                </c:pt>
                <c:pt idx="428">
                  <c:v>1536</c:v>
                </c:pt>
                <c:pt idx="429">
                  <c:v>2072</c:v>
                </c:pt>
                <c:pt idx="430">
                  <c:v>1648</c:v>
                </c:pt>
                <c:pt idx="431">
                  <c:v>501</c:v>
                </c:pt>
                <c:pt idx="432">
                  <c:v>2721</c:v>
                </c:pt>
                <c:pt idx="433">
                  <c:v>2993</c:v>
                </c:pt>
                <c:pt idx="434">
                  <c:v>3062</c:v>
                </c:pt>
                <c:pt idx="435">
                  <c:v>361</c:v>
                </c:pt>
                <c:pt idx="436">
                  <c:v>1323</c:v>
                </c:pt>
                <c:pt idx="437">
                  <c:v>235</c:v>
                </c:pt>
                <c:pt idx="438">
                  <c:v>115</c:v>
                </c:pt>
                <c:pt idx="439">
                  <c:v>6031</c:v>
                </c:pt>
                <c:pt idx="440">
                  <c:v>2029</c:v>
                </c:pt>
                <c:pt idx="441">
                  <c:v>1622</c:v>
                </c:pt>
                <c:pt idx="442">
                  <c:v>1216</c:v>
                </c:pt>
                <c:pt idx="443">
                  <c:v>235</c:v>
                </c:pt>
                <c:pt idx="444">
                  <c:v>156</c:v>
                </c:pt>
                <c:pt idx="445">
                  <c:v>1380</c:v>
                </c:pt>
                <c:pt idx="446">
                  <c:v>4966</c:v>
                </c:pt>
                <c:pt idx="447">
                  <c:v>483</c:v>
                </c:pt>
                <c:pt idx="448">
                  <c:v>619</c:v>
                </c:pt>
                <c:pt idx="449">
                  <c:v>540</c:v>
                </c:pt>
                <c:pt idx="450">
                  <c:v>67</c:v>
                </c:pt>
                <c:pt idx="451">
                  <c:v>101</c:v>
                </c:pt>
                <c:pt idx="452">
                  <c:v>205</c:v>
                </c:pt>
                <c:pt idx="453">
                  <c:v>57</c:v>
                </c:pt>
                <c:pt idx="454">
                  <c:v>2109</c:v>
                </c:pt>
                <c:pt idx="455">
                  <c:v>57</c:v>
                </c:pt>
                <c:pt idx="456">
                  <c:v>317</c:v>
                </c:pt>
                <c:pt idx="457">
                  <c:v>40</c:v>
                </c:pt>
                <c:pt idx="458">
                  <c:v>26</c:v>
                </c:pt>
                <c:pt idx="459">
                  <c:v>308</c:v>
                </c:pt>
                <c:pt idx="460">
                  <c:v>1861</c:v>
                </c:pt>
                <c:pt idx="461">
                  <c:v>40</c:v>
                </c:pt>
                <c:pt idx="462">
                  <c:v>46</c:v>
                </c:pt>
                <c:pt idx="463">
                  <c:v>1399</c:v>
                </c:pt>
                <c:pt idx="464">
                  <c:v>3345</c:v>
                </c:pt>
                <c:pt idx="465">
                  <c:v>849</c:v>
                </c:pt>
                <c:pt idx="466">
                  <c:v>1155</c:v>
                </c:pt>
                <c:pt idx="467">
                  <c:v>281</c:v>
                </c:pt>
                <c:pt idx="468">
                  <c:v>2216</c:v>
                </c:pt>
                <c:pt idx="469">
                  <c:v>17</c:v>
                </c:pt>
                <c:pt idx="470">
                  <c:v>147</c:v>
                </c:pt>
                <c:pt idx="471">
                  <c:v>213</c:v>
                </c:pt>
                <c:pt idx="472">
                  <c:v>19</c:v>
                </c:pt>
                <c:pt idx="473">
                  <c:v>235</c:v>
                </c:pt>
                <c:pt idx="474">
                  <c:v>1036</c:v>
                </c:pt>
                <c:pt idx="475">
                  <c:v>34</c:v>
                </c:pt>
                <c:pt idx="476">
                  <c:v>390</c:v>
                </c:pt>
                <c:pt idx="477">
                  <c:v>9310</c:v>
                </c:pt>
                <c:pt idx="478">
                  <c:v>13</c:v>
                </c:pt>
                <c:pt idx="479">
                  <c:v>34</c:v>
                </c:pt>
                <c:pt idx="480">
                  <c:v>1240</c:v>
                </c:pt>
                <c:pt idx="481">
                  <c:v>2570</c:v>
                </c:pt>
                <c:pt idx="482">
                  <c:v>420</c:v>
                </c:pt>
                <c:pt idx="483">
                  <c:v>94</c:v>
                </c:pt>
                <c:pt idx="484">
                  <c:v>1556</c:v>
                </c:pt>
                <c:pt idx="485">
                  <c:v>35</c:v>
                </c:pt>
                <c:pt idx="486">
                  <c:v>1169</c:v>
                </c:pt>
                <c:pt idx="487">
                  <c:v>2002</c:v>
                </c:pt>
                <c:pt idx="488">
                  <c:v>742</c:v>
                </c:pt>
                <c:pt idx="489">
                  <c:v>2253</c:v>
                </c:pt>
                <c:pt idx="490">
                  <c:v>55</c:v>
                </c:pt>
                <c:pt idx="491">
                  <c:v>505</c:v>
                </c:pt>
                <c:pt idx="492">
                  <c:v>71</c:v>
                </c:pt>
                <c:pt idx="493">
                  <c:v>52</c:v>
                </c:pt>
                <c:pt idx="494">
                  <c:v>283</c:v>
                </c:pt>
                <c:pt idx="495">
                  <c:v>49</c:v>
                </c:pt>
                <c:pt idx="496">
                  <c:v>646</c:v>
                </c:pt>
                <c:pt idx="497">
                  <c:v>554</c:v>
                </c:pt>
                <c:pt idx="498">
                  <c:v>26</c:v>
                </c:pt>
                <c:pt idx="499">
                  <c:v>1594</c:v>
                </c:pt>
                <c:pt idx="500">
                  <c:v>2600</c:v>
                </c:pt>
                <c:pt idx="501">
                  <c:v>49</c:v>
                </c:pt>
                <c:pt idx="502">
                  <c:v>26</c:v>
                </c:pt>
                <c:pt idx="503">
                  <c:v>25</c:v>
                </c:pt>
                <c:pt idx="504">
                  <c:v>1394</c:v>
                </c:pt>
                <c:pt idx="505">
                  <c:v>5139</c:v>
                </c:pt>
                <c:pt idx="506">
                  <c:v>170</c:v>
                </c:pt>
                <c:pt idx="507">
                  <c:v>43</c:v>
                </c:pt>
                <c:pt idx="508">
                  <c:v>399</c:v>
                </c:pt>
                <c:pt idx="509">
                  <c:v>42</c:v>
                </c:pt>
                <c:pt idx="510">
                  <c:v>54</c:v>
                </c:pt>
                <c:pt idx="511">
                  <c:v>6129</c:v>
                </c:pt>
                <c:pt idx="512">
                  <c:v>177</c:v>
                </c:pt>
                <c:pt idx="513">
                  <c:v>1573</c:v>
                </c:pt>
                <c:pt idx="514">
                  <c:v>1198</c:v>
                </c:pt>
                <c:pt idx="515">
                  <c:v>47</c:v>
                </c:pt>
                <c:pt idx="516">
                  <c:v>0</c:v>
                </c:pt>
                <c:pt idx="517">
                  <c:v>117</c:v>
                </c:pt>
                <c:pt idx="518">
                  <c:v>8</c:v>
                </c:pt>
                <c:pt idx="519">
                  <c:v>44</c:v>
                </c:pt>
                <c:pt idx="520">
                  <c:v>17</c:v>
                </c:pt>
                <c:pt idx="521">
                  <c:v>11</c:v>
                </c:pt>
                <c:pt idx="522">
                  <c:v>38</c:v>
                </c:pt>
                <c:pt idx="523">
                  <c:v>104</c:v>
                </c:pt>
                <c:pt idx="524">
                  <c:v>2</c:v>
                </c:pt>
                <c:pt idx="525">
                  <c:v>617</c:v>
                </c:pt>
                <c:pt idx="526">
                  <c:v>66</c:v>
                </c:pt>
                <c:pt idx="527">
                  <c:v>594</c:v>
                </c:pt>
                <c:pt idx="528">
                  <c:v>3</c:v>
                </c:pt>
                <c:pt idx="529">
                  <c:v>103</c:v>
                </c:pt>
                <c:pt idx="530">
                  <c:v>51</c:v>
                </c:pt>
                <c:pt idx="531">
                  <c:v>54</c:v>
                </c:pt>
                <c:pt idx="532">
                  <c:v>523</c:v>
                </c:pt>
                <c:pt idx="533">
                  <c:v>3</c:v>
                </c:pt>
                <c:pt idx="534">
                  <c:v>17</c:v>
                </c:pt>
                <c:pt idx="535">
                  <c:v>6</c:v>
                </c:pt>
                <c:pt idx="536">
                  <c:v>10</c:v>
                </c:pt>
                <c:pt idx="537">
                  <c:v>79</c:v>
                </c:pt>
                <c:pt idx="538">
                  <c:v>63</c:v>
                </c:pt>
                <c:pt idx="539">
                  <c:v>4159</c:v>
                </c:pt>
                <c:pt idx="540">
                  <c:v>533</c:v>
                </c:pt>
                <c:pt idx="541">
                  <c:v>1368</c:v>
                </c:pt>
                <c:pt idx="542">
                  <c:v>357</c:v>
                </c:pt>
                <c:pt idx="543">
                  <c:v>1699</c:v>
                </c:pt>
                <c:pt idx="544">
                  <c:v>2538</c:v>
                </c:pt>
                <c:pt idx="545">
                  <c:v>127</c:v>
                </c:pt>
                <c:pt idx="546">
                  <c:v>491</c:v>
                </c:pt>
                <c:pt idx="547">
                  <c:v>9790</c:v>
                </c:pt>
                <c:pt idx="548">
                  <c:v>172</c:v>
                </c:pt>
                <c:pt idx="549">
                  <c:v>101</c:v>
                </c:pt>
                <c:pt idx="550">
                  <c:v>131</c:v>
                </c:pt>
                <c:pt idx="551">
                  <c:v>786</c:v>
                </c:pt>
                <c:pt idx="552">
                  <c:v>808</c:v>
                </c:pt>
                <c:pt idx="553">
                  <c:v>93</c:v>
                </c:pt>
                <c:pt idx="554">
                  <c:v>65</c:v>
                </c:pt>
                <c:pt idx="555">
                  <c:v>144</c:v>
                </c:pt>
                <c:pt idx="556">
                  <c:v>71</c:v>
                </c:pt>
                <c:pt idx="557">
                  <c:v>808</c:v>
                </c:pt>
                <c:pt idx="558">
                  <c:v>286</c:v>
                </c:pt>
                <c:pt idx="559">
                  <c:v>83</c:v>
                </c:pt>
                <c:pt idx="560">
                  <c:v>185</c:v>
                </c:pt>
                <c:pt idx="561">
                  <c:v>91</c:v>
                </c:pt>
                <c:pt idx="562">
                  <c:v>130</c:v>
                </c:pt>
                <c:pt idx="563">
                  <c:v>2253</c:v>
                </c:pt>
                <c:pt idx="564">
                  <c:v>17</c:v>
                </c:pt>
                <c:pt idx="565">
                  <c:v>44</c:v>
                </c:pt>
                <c:pt idx="566">
                  <c:v>126</c:v>
                </c:pt>
                <c:pt idx="567">
                  <c:v>401</c:v>
                </c:pt>
                <c:pt idx="568">
                  <c:v>630</c:v>
                </c:pt>
                <c:pt idx="569">
                  <c:v>10076</c:v>
                </c:pt>
                <c:pt idx="570">
                  <c:v>428</c:v>
                </c:pt>
                <c:pt idx="571">
                  <c:v>80</c:v>
                </c:pt>
                <c:pt idx="572">
                  <c:v>2056</c:v>
                </c:pt>
                <c:pt idx="573">
                  <c:v>150</c:v>
                </c:pt>
                <c:pt idx="574">
                  <c:v>39</c:v>
                </c:pt>
                <c:pt idx="575">
                  <c:v>26</c:v>
                </c:pt>
                <c:pt idx="576">
                  <c:v>70</c:v>
                </c:pt>
                <c:pt idx="577">
                  <c:v>832</c:v>
                </c:pt>
                <c:pt idx="578">
                  <c:v>249</c:v>
                </c:pt>
                <c:pt idx="579">
                  <c:v>739</c:v>
                </c:pt>
                <c:pt idx="580">
                  <c:v>2307</c:v>
                </c:pt>
                <c:pt idx="581">
                  <c:v>284</c:v>
                </c:pt>
                <c:pt idx="582">
                  <c:v>3152</c:v>
                </c:pt>
                <c:pt idx="583">
                  <c:v>96</c:v>
                </c:pt>
                <c:pt idx="584">
                  <c:v>504</c:v>
                </c:pt>
                <c:pt idx="585">
                  <c:v>66</c:v>
                </c:pt>
                <c:pt idx="586">
                  <c:v>1388</c:v>
                </c:pt>
                <c:pt idx="587">
                  <c:v>927</c:v>
                </c:pt>
                <c:pt idx="588">
                  <c:v>2219</c:v>
                </c:pt>
                <c:pt idx="589">
                  <c:v>542</c:v>
                </c:pt>
                <c:pt idx="590">
                  <c:v>33</c:v>
                </c:pt>
                <c:pt idx="591">
                  <c:v>5001</c:v>
                </c:pt>
                <c:pt idx="592">
                  <c:v>993</c:v>
                </c:pt>
                <c:pt idx="593">
                  <c:v>1854</c:v>
                </c:pt>
                <c:pt idx="594">
                  <c:v>62</c:v>
                </c:pt>
                <c:pt idx="595">
                  <c:v>513</c:v>
                </c:pt>
                <c:pt idx="596">
                  <c:v>416</c:v>
                </c:pt>
                <c:pt idx="597">
                  <c:v>37</c:v>
                </c:pt>
                <c:pt idx="598">
                  <c:v>63</c:v>
                </c:pt>
                <c:pt idx="599">
                  <c:v>3</c:v>
                </c:pt>
                <c:pt idx="600">
                  <c:v>1529</c:v>
                </c:pt>
                <c:pt idx="601">
                  <c:v>1791</c:v>
                </c:pt>
                <c:pt idx="602">
                  <c:v>358</c:v>
                </c:pt>
                <c:pt idx="603">
                  <c:v>2549</c:v>
                </c:pt>
                <c:pt idx="604">
                  <c:v>1114</c:v>
                </c:pt>
                <c:pt idx="605">
                  <c:v>172</c:v>
                </c:pt>
                <c:pt idx="606">
                  <c:v>354</c:v>
                </c:pt>
                <c:pt idx="607">
                  <c:v>256</c:v>
                </c:pt>
                <c:pt idx="608">
                  <c:v>1374</c:v>
                </c:pt>
                <c:pt idx="609">
                  <c:v>1585</c:v>
                </c:pt>
                <c:pt idx="610">
                  <c:v>7458</c:v>
                </c:pt>
                <c:pt idx="611">
                  <c:v>58</c:v>
                </c:pt>
                <c:pt idx="612">
                  <c:v>266</c:v>
                </c:pt>
                <c:pt idx="613">
                  <c:v>160</c:v>
                </c:pt>
                <c:pt idx="614">
                  <c:v>151</c:v>
                </c:pt>
                <c:pt idx="615">
                  <c:v>155</c:v>
                </c:pt>
                <c:pt idx="616">
                  <c:v>1501</c:v>
                </c:pt>
                <c:pt idx="617">
                  <c:v>66</c:v>
                </c:pt>
                <c:pt idx="618">
                  <c:v>193</c:v>
                </c:pt>
                <c:pt idx="619">
                  <c:v>119</c:v>
                </c:pt>
                <c:pt idx="620">
                  <c:v>167</c:v>
                </c:pt>
                <c:pt idx="621">
                  <c:v>5101</c:v>
                </c:pt>
                <c:pt idx="622">
                  <c:v>779</c:v>
                </c:pt>
                <c:pt idx="623">
                  <c:v>1000</c:v>
                </c:pt>
                <c:pt idx="624">
                  <c:v>3221</c:v>
                </c:pt>
                <c:pt idx="625">
                  <c:v>226</c:v>
                </c:pt>
                <c:pt idx="626">
                  <c:v>324</c:v>
                </c:pt>
                <c:pt idx="627">
                  <c:v>719</c:v>
                </c:pt>
                <c:pt idx="628">
                  <c:v>123</c:v>
                </c:pt>
                <c:pt idx="629">
                  <c:v>53</c:v>
                </c:pt>
                <c:pt idx="630">
                  <c:v>1061</c:v>
                </c:pt>
                <c:pt idx="631">
                  <c:v>2196</c:v>
                </c:pt>
                <c:pt idx="632">
                  <c:v>1856</c:v>
                </c:pt>
                <c:pt idx="633">
                  <c:v>769</c:v>
                </c:pt>
                <c:pt idx="634">
                  <c:v>160</c:v>
                </c:pt>
                <c:pt idx="635">
                  <c:v>1621</c:v>
                </c:pt>
                <c:pt idx="636">
                  <c:v>703</c:v>
                </c:pt>
                <c:pt idx="637">
                  <c:v>12</c:v>
                </c:pt>
                <c:pt idx="638">
                  <c:v>143</c:v>
                </c:pt>
                <c:pt idx="639">
                  <c:v>3157</c:v>
                </c:pt>
                <c:pt idx="640">
                  <c:v>70</c:v>
                </c:pt>
                <c:pt idx="641">
                  <c:v>72</c:v>
                </c:pt>
                <c:pt idx="642">
                  <c:v>50</c:v>
                </c:pt>
                <c:pt idx="643">
                  <c:v>848</c:v>
                </c:pt>
                <c:pt idx="644">
                  <c:v>99</c:v>
                </c:pt>
                <c:pt idx="645">
                  <c:v>845</c:v>
                </c:pt>
                <c:pt idx="646">
                  <c:v>2035</c:v>
                </c:pt>
                <c:pt idx="647">
                  <c:v>522</c:v>
                </c:pt>
                <c:pt idx="648">
                  <c:v>143</c:v>
                </c:pt>
                <c:pt idx="649">
                  <c:v>233</c:v>
                </c:pt>
                <c:pt idx="650">
                  <c:v>514</c:v>
                </c:pt>
                <c:pt idx="651">
                  <c:v>2445</c:v>
                </c:pt>
                <c:pt idx="652">
                  <c:v>19</c:v>
                </c:pt>
                <c:pt idx="653">
                  <c:v>15</c:v>
                </c:pt>
                <c:pt idx="654">
                  <c:v>436</c:v>
                </c:pt>
                <c:pt idx="655">
                  <c:v>6</c:v>
                </c:pt>
                <c:pt idx="656">
                  <c:v>50</c:v>
                </c:pt>
                <c:pt idx="657">
                  <c:v>22</c:v>
                </c:pt>
                <c:pt idx="658">
                  <c:v>1763</c:v>
                </c:pt>
                <c:pt idx="659">
                  <c:v>1187</c:v>
                </c:pt>
                <c:pt idx="660">
                  <c:v>2370</c:v>
                </c:pt>
                <c:pt idx="661">
                  <c:v>1246</c:v>
                </c:pt>
                <c:pt idx="662">
                  <c:v>846</c:v>
                </c:pt>
                <c:pt idx="663">
                  <c:v>658</c:v>
                </c:pt>
                <c:pt idx="664">
                  <c:v>523</c:v>
                </c:pt>
                <c:pt idx="665">
                  <c:v>95</c:v>
                </c:pt>
                <c:pt idx="666">
                  <c:v>1724</c:v>
                </c:pt>
                <c:pt idx="667">
                  <c:v>257</c:v>
                </c:pt>
                <c:pt idx="668">
                  <c:v>2331</c:v>
                </c:pt>
                <c:pt idx="669">
                  <c:v>82</c:v>
                </c:pt>
                <c:pt idx="670">
                  <c:v>582</c:v>
                </c:pt>
                <c:pt idx="671">
                  <c:v>739</c:v>
                </c:pt>
                <c:pt idx="672">
                  <c:v>442</c:v>
                </c:pt>
                <c:pt idx="673">
                  <c:v>1296</c:v>
                </c:pt>
                <c:pt idx="674">
                  <c:v>4193</c:v>
                </c:pt>
                <c:pt idx="675">
                  <c:v>2550</c:v>
                </c:pt>
                <c:pt idx="676">
                  <c:v>113</c:v>
                </c:pt>
                <c:pt idx="677">
                  <c:v>3080</c:v>
                </c:pt>
                <c:pt idx="678">
                  <c:v>19</c:v>
                </c:pt>
                <c:pt idx="679">
                  <c:v>10</c:v>
                </c:pt>
                <c:pt idx="680">
                  <c:v>1567</c:v>
                </c:pt>
                <c:pt idx="681">
                  <c:v>3862</c:v>
                </c:pt>
                <c:pt idx="682">
                  <c:v>835</c:v>
                </c:pt>
                <c:pt idx="683">
                  <c:v>4769</c:v>
                </c:pt>
                <c:pt idx="684">
                  <c:v>1133</c:v>
                </c:pt>
                <c:pt idx="685">
                  <c:v>112</c:v>
                </c:pt>
                <c:pt idx="686">
                  <c:v>920</c:v>
                </c:pt>
                <c:pt idx="687">
                  <c:v>1040</c:v>
                </c:pt>
                <c:pt idx="688">
                  <c:v>6337</c:v>
                </c:pt>
                <c:pt idx="689">
                  <c:v>189</c:v>
                </c:pt>
                <c:pt idx="690">
                  <c:v>1169</c:v>
                </c:pt>
                <c:pt idx="691">
                  <c:v>5040</c:v>
                </c:pt>
                <c:pt idx="692">
                  <c:v>39</c:v>
                </c:pt>
                <c:pt idx="693">
                  <c:v>2532</c:v>
                </c:pt>
                <c:pt idx="694">
                  <c:v>383</c:v>
                </c:pt>
                <c:pt idx="695">
                  <c:v>208</c:v>
                </c:pt>
                <c:pt idx="696">
                  <c:v>163</c:v>
                </c:pt>
                <c:pt idx="697">
                  <c:v>250</c:v>
                </c:pt>
                <c:pt idx="698">
                  <c:v>1577</c:v>
                </c:pt>
                <c:pt idx="699">
                  <c:v>13</c:v>
                </c:pt>
                <c:pt idx="700">
                  <c:v>5593</c:v>
                </c:pt>
                <c:pt idx="701">
                  <c:v>4911</c:v>
                </c:pt>
                <c:pt idx="702">
                  <c:v>75</c:v>
                </c:pt>
                <c:pt idx="703">
                  <c:v>1618</c:v>
                </c:pt>
                <c:pt idx="704">
                  <c:v>117</c:v>
                </c:pt>
                <c:pt idx="705">
                  <c:v>123</c:v>
                </c:pt>
                <c:pt idx="706">
                  <c:v>10</c:v>
                </c:pt>
                <c:pt idx="707">
                  <c:v>6</c:v>
                </c:pt>
                <c:pt idx="708">
                  <c:v>1</c:v>
                </c:pt>
                <c:pt idx="709">
                  <c:v>4544</c:v>
                </c:pt>
                <c:pt idx="710">
                  <c:v>149</c:v>
                </c:pt>
                <c:pt idx="711">
                  <c:v>6536</c:v>
                </c:pt>
                <c:pt idx="712">
                  <c:v>356</c:v>
                </c:pt>
                <c:pt idx="713">
                  <c:v>1180</c:v>
                </c:pt>
                <c:pt idx="714">
                  <c:v>348</c:v>
                </c:pt>
                <c:pt idx="715">
                  <c:v>33</c:v>
                </c:pt>
                <c:pt idx="716">
                  <c:v>209</c:v>
                </c:pt>
                <c:pt idx="717">
                  <c:v>14</c:v>
                </c:pt>
                <c:pt idx="718">
                  <c:v>12</c:v>
                </c:pt>
                <c:pt idx="719">
                  <c:v>1791</c:v>
                </c:pt>
                <c:pt idx="720">
                  <c:v>1368</c:v>
                </c:pt>
                <c:pt idx="721">
                  <c:v>263</c:v>
                </c:pt>
                <c:pt idx="722">
                  <c:v>192</c:v>
                </c:pt>
                <c:pt idx="723">
                  <c:v>28</c:v>
                </c:pt>
                <c:pt idx="724">
                  <c:v>139</c:v>
                </c:pt>
                <c:pt idx="725">
                  <c:v>113</c:v>
                </c:pt>
                <c:pt idx="726">
                  <c:v>237</c:v>
                </c:pt>
                <c:pt idx="727">
                  <c:v>523</c:v>
                </c:pt>
                <c:pt idx="728">
                  <c:v>79</c:v>
                </c:pt>
                <c:pt idx="729">
                  <c:v>134</c:v>
                </c:pt>
                <c:pt idx="730">
                  <c:v>124</c:v>
                </c:pt>
                <c:pt idx="731">
                  <c:v>127</c:v>
                </c:pt>
                <c:pt idx="732">
                  <c:v>1395</c:v>
                </c:pt>
                <c:pt idx="733">
                  <c:v>739</c:v>
                </c:pt>
                <c:pt idx="734">
                  <c:v>35</c:v>
                </c:pt>
                <c:pt idx="735">
                  <c:v>1160</c:v>
                </c:pt>
                <c:pt idx="736">
                  <c:v>20</c:v>
                </c:pt>
                <c:pt idx="737">
                  <c:v>104</c:v>
                </c:pt>
                <c:pt idx="738">
                  <c:v>241</c:v>
                </c:pt>
                <c:pt idx="739">
                  <c:v>384</c:v>
                </c:pt>
                <c:pt idx="740">
                  <c:v>152</c:v>
                </c:pt>
                <c:pt idx="741">
                  <c:v>54</c:v>
                </c:pt>
                <c:pt idx="742">
                  <c:v>96</c:v>
                </c:pt>
                <c:pt idx="743">
                  <c:v>2630</c:v>
                </c:pt>
                <c:pt idx="744">
                  <c:v>1068</c:v>
                </c:pt>
                <c:pt idx="745">
                  <c:v>208</c:v>
                </c:pt>
                <c:pt idx="746">
                  <c:v>322</c:v>
                </c:pt>
                <c:pt idx="747">
                  <c:v>201</c:v>
                </c:pt>
                <c:pt idx="748">
                  <c:v>1599</c:v>
                </c:pt>
                <c:pt idx="749">
                  <c:v>340</c:v>
                </c:pt>
                <c:pt idx="750">
                  <c:v>37</c:v>
                </c:pt>
                <c:pt idx="751">
                  <c:v>565</c:v>
                </c:pt>
                <c:pt idx="752">
                  <c:v>2443</c:v>
                </c:pt>
                <c:pt idx="753">
                  <c:v>487</c:v>
                </c:pt>
                <c:pt idx="754">
                  <c:v>488</c:v>
                </c:pt>
                <c:pt idx="755">
                  <c:v>89</c:v>
                </c:pt>
                <c:pt idx="756">
                  <c:v>1120</c:v>
                </c:pt>
                <c:pt idx="757">
                  <c:v>130</c:v>
                </c:pt>
                <c:pt idx="758">
                  <c:v>114</c:v>
                </c:pt>
                <c:pt idx="759">
                  <c:v>5</c:v>
                </c:pt>
                <c:pt idx="760">
                  <c:v>1180</c:v>
                </c:pt>
                <c:pt idx="761">
                  <c:v>122</c:v>
                </c:pt>
                <c:pt idx="762">
                  <c:v>132</c:v>
                </c:pt>
                <c:pt idx="763">
                  <c:v>1216</c:v>
                </c:pt>
                <c:pt idx="764">
                  <c:v>330</c:v>
                </c:pt>
                <c:pt idx="765">
                  <c:v>171</c:v>
                </c:pt>
                <c:pt idx="766">
                  <c:v>34</c:v>
                </c:pt>
                <c:pt idx="767">
                  <c:v>4259</c:v>
                </c:pt>
                <c:pt idx="768">
                  <c:v>163</c:v>
                </c:pt>
                <c:pt idx="769">
                  <c:v>168</c:v>
                </c:pt>
                <c:pt idx="770">
                  <c:v>44</c:v>
                </c:pt>
                <c:pt idx="771">
                  <c:v>539</c:v>
                </c:pt>
                <c:pt idx="772">
                  <c:v>464</c:v>
                </c:pt>
                <c:pt idx="773">
                  <c:v>692</c:v>
                </c:pt>
                <c:pt idx="774">
                  <c:v>7</c:v>
                </c:pt>
                <c:pt idx="775">
                  <c:v>66</c:v>
                </c:pt>
                <c:pt idx="776">
                  <c:v>4</c:v>
                </c:pt>
                <c:pt idx="777">
                  <c:v>7</c:v>
                </c:pt>
                <c:pt idx="778">
                  <c:v>739</c:v>
                </c:pt>
                <c:pt idx="779">
                  <c:v>1273</c:v>
                </c:pt>
                <c:pt idx="780">
                  <c:v>851</c:v>
                </c:pt>
                <c:pt idx="781">
                  <c:v>730</c:v>
                </c:pt>
                <c:pt idx="782">
                  <c:v>194</c:v>
                </c:pt>
                <c:pt idx="783">
                  <c:v>183</c:v>
                </c:pt>
                <c:pt idx="784">
                  <c:v>172</c:v>
                </c:pt>
                <c:pt idx="785">
                  <c:v>95</c:v>
                </c:pt>
                <c:pt idx="786">
                  <c:v>181</c:v>
                </c:pt>
                <c:pt idx="787">
                  <c:v>1301</c:v>
                </c:pt>
                <c:pt idx="788">
                  <c:v>1167</c:v>
                </c:pt>
                <c:pt idx="789">
                  <c:v>287</c:v>
                </c:pt>
                <c:pt idx="790">
                  <c:v>108</c:v>
                </c:pt>
                <c:pt idx="791">
                  <c:v>55</c:v>
                </c:pt>
                <c:pt idx="792">
                  <c:v>496</c:v>
                </c:pt>
                <c:pt idx="793">
                  <c:v>182</c:v>
                </c:pt>
                <c:pt idx="794">
                  <c:v>98</c:v>
                </c:pt>
                <c:pt idx="795">
                  <c:v>15</c:v>
                </c:pt>
                <c:pt idx="796">
                  <c:v>41</c:v>
                </c:pt>
                <c:pt idx="797">
                  <c:v>69</c:v>
                </c:pt>
                <c:pt idx="798">
                  <c:v>491</c:v>
                </c:pt>
                <c:pt idx="799">
                  <c:v>288</c:v>
                </c:pt>
                <c:pt idx="800">
                  <c:v>402</c:v>
                </c:pt>
                <c:pt idx="801">
                  <c:v>16</c:v>
                </c:pt>
                <c:pt idx="802">
                  <c:v>84</c:v>
                </c:pt>
                <c:pt idx="803">
                  <c:v>29</c:v>
                </c:pt>
                <c:pt idx="804">
                  <c:v>24</c:v>
                </c:pt>
                <c:pt idx="805">
                  <c:v>50</c:v>
                </c:pt>
                <c:pt idx="806">
                  <c:v>29</c:v>
                </c:pt>
                <c:pt idx="807">
                  <c:v>602</c:v>
                </c:pt>
                <c:pt idx="808">
                  <c:v>782</c:v>
                </c:pt>
                <c:pt idx="809">
                  <c:v>929</c:v>
                </c:pt>
                <c:pt idx="810">
                  <c:v>131</c:v>
                </c:pt>
                <c:pt idx="811">
                  <c:v>118</c:v>
                </c:pt>
                <c:pt idx="812">
                  <c:v>1395</c:v>
                </c:pt>
                <c:pt idx="813">
                  <c:v>58</c:v>
                </c:pt>
                <c:pt idx="814">
                  <c:v>14</c:v>
                </c:pt>
                <c:pt idx="815">
                  <c:v>38</c:v>
                </c:pt>
                <c:pt idx="816">
                  <c:v>1396</c:v>
                </c:pt>
                <c:pt idx="817">
                  <c:v>26</c:v>
                </c:pt>
                <c:pt idx="818">
                  <c:v>113</c:v>
                </c:pt>
                <c:pt idx="819">
                  <c:v>38</c:v>
                </c:pt>
                <c:pt idx="820">
                  <c:v>127</c:v>
                </c:pt>
                <c:pt idx="821">
                  <c:v>211</c:v>
                </c:pt>
                <c:pt idx="822">
                  <c:v>27</c:v>
                </c:pt>
                <c:pt idx="823">
                  <c:v>5</c:v>
                </c:pt>
                <c:pt idx="824">
                  <c:v>93</c:v>
                </c:pt>
                <c:pt idx="825">
                  <c:v>25</c:v>
                </c:pt>
                <c:pt idx="826">
                  <c:v>30</c:v>
                </c:pt>
                <c:pt idx="827">
                  <c:v>3839</c:v>
                </c:pt>
                <c:pt idx="828">
                  <c:v>48</c:v>
                </c:pt>
                <c:pt idx="829">
                  <c:v>28</c:v>
                </c:pt>
                <c:pt idx="830">
                  <c:v>15</c:v>
                </c:pt>
                <c:pt idx="831">
                  <c:v>2443</c:v>
                </c:pt>
                <c:pt idx="832">
                  <c:v>215</c:v>
                </c:pt>
                <c:pt idx="833">
                  <c:v>5</c:v>
                </c:pt>
                <c:pt idx="834">
                  <c:v>502</c:v>
                </c:pt>
                <c:pt idx="835">
                  <c:v>18</c:v>
                </c:pt>
                <c:pt idx="836">
                  <c:v>55</c:v>
                </c:pt>
                <c:pt idx="837">
                  <c:v>8</c:v>
                </c:pt>
                <c:pt idx="838">
                  <c:v>310</c:v>
                </c:pt>
                <c:pt idx="839">
                  <c:v>2010</c:v>
                </c:pt>
                <c:pt idx="840">
                  <c:v>643</c:v>
                </c:pt>
                <c:pt idx="841">
                  <c:v>4161</c:v>
                </c:pt>
                <c:pt idx="842">
                  <c:v>1201</c:v>
                </c:pt>
                <c:pt idx="843">
                  <c:v>1632</c:v>
                </c:pt>
                <c:pt idx="844">
                  <c:v>667</c:v>
                </c:pt>
                <c:pt idx="845">
                  <c:v>398</c:v>
                </c:pt>
                <c:pt idx="846">
                  <c:v>1273</c:v>
                </c:pt>
                <c:pt idx="847">
                  <c:v>284</c:v>
                </c:pt>
                <c:pt idx="848">
                  <c:v>339</c:v>
                </c:pt>
                <c:pt idx="849">
                  <c:v>504</c:v>
                </c:pt>
                <c:pt idx="850">
                  <c:v>194</c:v>
                </c:pt>
                <c:pt idx="851">
                  <c:v>73</c:v>
                </c:pt>
                <c:pt idx="852">
                  <c:v>260</c:v>
                </c:pt>
                <c:pt idx="853">
                  <c:v>112</c:v>
                </c:pt>
                <c:pt idx="854">
                  <c:v>189</c:v>
                </c:pt>
                <c:pt idx="855">
                  <c:v>121</c:v>
                </c:pt>
                <c:pt idx="856">
                  <c:v>42</c:v>
                </c:pt>
                <c:pt idx="857">
                  <c:v>243</c:v>
                </c:pt>
                <c:pt idx="858">
                  <c:v>1068</c:v>
                </c:pt>
                <c:pt idx="859">
                  <c:v>565</c:v>
                </c:pt>
                <c:pt idx="860">
                  <c:v>936</c:v>
                </c:pt>
                <c:pt idx="861">
                  <c:v>68</c:v>
                </c:pt>
                <c:pt idx="862">
                  <c:v>487</c:v>
                </c:pt>
                <c:pt idx="863">
                  <c:v>39</c:v>
                </c:pt>
                <c:pt idx="864">
                  <c:v>1180</c:v>
                </c:pt>
                <c:pt idx="865">
                  <c:v>821</c:v>
                </c:pt>
                <c:pt idx="866">
                  <c:v>1194</c:v>
                </c:pt>
                <c:pt idx="867">
                  <c:v>1008</c:v>
                </c:pt>
                <c:pt idx="868">
                  <c:v>65</c:v>
                </c:pt>
                <c:pt idx="869">
                  <c:v>131</c:v>
                </c:pt>
                <c:pt idx="870">
                  <c:v>53</c:v>
                </c:pt>
                <c:pt idx="871">
                  <c:v>1599</c:v>
                </c:pt>
                <c:pt idx="872">
                  <c:v>56</c:v>
                </c:pt>
                <c:pt idx="873">
                  <c:v>19</c:v>
                </c:pt>
                <c:pt idx="874">
                  <c:v>3152</c:v>
                </c:pt>
                <c:pt idx="875">
                  <c:v>78</c:v>
                </c:pt>
                <c:pt idx="876">
                  <c:v>1702</c:v>
                </c:pt>
                <c:pt idx="877">
                  <c:v>13</c:v>
                </c:pt>
                <c:pt idx="878">
                  <c:v>420</c:v>
                </c:pt>
                <c:pt idx="879">
                  <c:v>96</c:v>
                </c:pt>
                <c:pt idx="880">
                  <c:v>232</c:v>
                </c:pt>
                <c:pt idx="881">
                  <c:v>61</c:v>
                </c:pt>
                <c:pt idx="882">
                  <c:v>2443</c:v>
                </c:pt>
                <c:pt idx="883">
                  <c:v>378</c:v>
                </c:pt>
                <c:pt idx="884">
                  <c:v>102</c:v>
                </c:pt>
                <c:pt idx="885">
                  <c:v>10</c:v>
                </c:pt>
                <c:pt idx="886">
                  <c:v>1331</c:v>
                </c:pt>
                <c:pt idx="887">
                  <c:v>311</c:v>
                </c:pt>
                <c:pt idx="888">
                  <c:v>200</c:v>
                </c:pt>
                <c:pt idx="889">
                  <c:v>106</c:v>
                </c:pt>
                <c:pt idx="890">
                  <c:v>6</c:v>
                </c:pt>
                <c:pt idx="891">
                  <c:v>58</c:v>
                </c:pt>
                <c:pt idx="892">
                  <c:v>808</c:v>
                </c:pt>
                <c:pt idx="893">
                  <c:v>28</c:v>
                </c:pt>
                <c:pt idx="894">
                  <c:v>24</c:v>
                </c:pt>
                <c:pt idx="895">
                  <c:v>935</c:v>
                </c:pt>
                <c:pt idx="896">
                  <c:v>513</c:v>
                </c:pt>
                <c:pt idx="897">
                  <c:v>4460</c:v>
                </c:pt>
                <c:pt idx="898">
                  <c:v>13</c:v>
                </c:pt>
                <c:pt idx="899">
                  <c:v>29</c:v>
                </c:pt>
                <c:pt idx="900">
                  <c:v>3106</c:v>
                </c:pt>
                <c:pt idx="901">
                  <c:v>1415</c:v>
                </c:pt>
                <c:pt idx="902">
                  <c:v>76</c:v>
                </c:pt>
                <c:pt idx="903">
                  <c:v>543</c:v>
                </c:pt>
                <c:pt idx="904">
                  <c:v>759</c:v>
                </c:pt>
                <c:pt idx="905">
                  <c:v>20</c:v>
                </c:pt>
                <c:pt idx="906">
                  <c:v>24600</c:v>
                </c:pt>
                <c:pt idx="907">
                  <c:v>295</c:v>
                </c:pt>
                <c:pt idx="908">
                  <c:v>33</c:v>
                </c:pt>
                <c:pt idx="909">
                  <c:v>4162</c:v>
                </c:pt>
                <c:pt idx="910">
                  <c:v>936</c:v>
                </c:pt>
                <c:pt idx="911">
                  <c:v>366</c:v>
                </c:pt>
                <c:pt idx="912">
                  <c:v>1096</c:v>
                </c:pt>
                <c:pt idx="913">
                  <c:v>18</c:v>
                </c:pt>
                <c:pt idx="914">
                  <c:v>1817</c:v>
                </c:pt>
                <c:pt idx="915">
                  <c:v>1008</c:v>
                </c:pt>
                <c:pt idx="916">
                  <c:v>54</c:v>
                </c:pt>
                <c:pt idx="917">
                  <c:v>1445</c:v>
                </c:pt>
                <c:pt idx="918">
                  <c:v>303</c:v>
                </c:pt>
                <c:pt idx="919">
                  <c:v>1381</c:v>
                </c:pt>
                <c:pt idx="920">
                  <c:v>2387</c:v>
                </c:pt>
                <c:pt idx="921">
                  <c:v>54</c:v>
                </c:pt>
                <c:pt idx="922">
                  <c:v>192</c:v>
                </c:pt>
                <c:pt idx="923">
                  <c:v>3019</c:v>
                </c:pt>
                <c:pt idx="924">
                  <c:v>5086</c:v>
                </c:pt>
                <c:pt idx="925">
                  <c:v>32</c:v>
                </c:pt>
                <c:pt idx="926">
                  <c:v>3187</c:v>
                </c:pt>
                <c:pt idx="927">
                  <c:v>17</c:v>
                </c:pt>
                <c:pt idx="928">
                  <c:v>94</c:v>
                </c:pt>
                <c:pt idx="929">
                  <c:v>37</c:v>
                </c:pt>
                <c:pt idx="930">
                  <c:v>8457</c:v>
                </c:pt>
                <c:pt idx="931">
                  <c:v>110</c:v>
                </c:pt>
                <c:pt idx="932">
                  <c:v>41</c:v>
                </c:pt>
                <c:pt idx="933">
                  <c:v>1427</c:v>
                </c:pt>
                <c:pt idx="934">
                  <c:v>28</c:v>
                </c:pt>
                <c:pt idx="935">
                  <c:v>236</c:v>
                </c:pt>
                <c:pt idx="936">
                  <c:v>71</c:v>
                </c:pt>
                <c:pt idx="937">
                  <c:v>4</c:v>
                </c:pt>
                <c:pt idx="938">
                  <c:v>10</c:v>
                </c:pt>
                <c:pt idx="939">
                  <c:v>1</c:v>
                </c:pt>
                <c:pt idx="940">
                  <c:v>54</c:v>
                </c:pt>
                <c:pt idx="941">
                  <c:v>1095</c:v>
                </c:pt>
                <c:pt idx="942">
                  <c:v>260</c:v>
                </c:pt>
                <c:pt idx="943">
                  <c:v>66</c:v>
                </c:pt>
                <c:pt idx="944">
                  <c:v>35428</c:v>
                </c:pt>
                <c:pt idx="945">
                  <c:v>1</c:v>
                </c:pt>
                <c:pt idx="946">
                  <c:v>235</c:v>
                </c:pt>
                <c:pt idx="947">
                  <c:v>29</c:v>
                </c:pt>
                <c:pt idx="948">
                  <c:v>261</c:v>
                </c:pt>
                <c:pt idx="949">
                  <c:v>967</c:v>
                </c:pt>
                <c:pt idx="950">
                  <c:v>25</c:v>
                </c:pt>
                <c:pt idx="951">
                  <c:v>2570</c:v>
                </c:pt>
                <c:pt idx="952">
                  <c:v>5</c:v>
                </c:pt>
                <c:pt idx="953">
                  <c:v>24</c:v>
                </c:pt>
                <c:pt idx="954">
                  <c:v>11</c:v>
                </c:pt>
                <c:pt idx="955">
                  <c:v>774</c:v>
                </c:pt>
                <c:pt idx="956">
                  <c:v>482</c:v>
                </c:pt>
                <c:pt idx="957">
                  <c:v>5</c:v>
                </c:pt>
                <c:pt idx="958">
                  <c:v>211</c:v>
                </c:pt>
                <c:pt idx="959">
                  <c:v>3809</c:v>
                </c:pt>
                <c:pt idx="960">
                  <c:v>9381</c:v>
                </c:pt>
                <c:pt idx="961">
                  <c:v>2129</c:v>
                </c:pt>
                <c:pt idx="962">
                  <c:v>397</c:v>
                </c:pt>
                <c:pt idx="963">
                  <c:v>4099</c:v>
                </c:pt>
                <c:pt idx="964">
                  <c:v>7350</c:v>
                </c:pt>
                <c:pt idx="965">
                  <c:v>22</c:v>
                </c:pt>
                <c:pt idx="966">
                  <c:v>4372</c:v>
                </c:pt>
                <c:pt idx="967">
                  <c:v>736</c:v>
                </c:pt>
                <c:pt idx="968">
                  <c:v>853</c:v>
                </c:pt>
                <c:pt idx="969">
                  <c:v>6775</c:v>
                </c:pt>
                <c:pt idx="970">
                  <c:v>172</c:v>
                </c:pt>
                <c:pt idx="971">
                  <c:v>333</c:v>
                </c:pt>
                <c:pt idx="972">
                  <c:v>1373</c:v>
                </c:pt>
                <c:pt idx="973">
                  <c:v>2522</c:v>
                </c:pt>
                <c:pt idx="974">
                  <c:v>1327</c:v>
                </c:pt>
                <c:pt idx="975">
                  <c:v>4025</c:v>
                </c:pt>
                <c:pt idx="976">
                  <c:v>4794</c:v>
                </c:pt>
                <c:pt idx="977">
                  <c:v>2589</c:v>
                </c:pt>
                <c:pt idx="978">
                  <c:v>3358</c:v>
                </c:pt>
                <c:pt idx="979">
                  <c:v>850</c:v>
                </c:pt>
                <c:pt idx="980">
                  <c:v>147</c:v>
                </c:pt>
                <c:pt idx="981">
                  <c:v>428</c:v>
                </c:pt>
                <c:pt idx="982">
                  <c:v>342</c:v>
                </c:pt>
                <c:pt idx="983">
                  <c:v>2632</c:v>
                </c:pt>
                <c:pt idx="984">
                  <c:v>16998</c:v>
                </c:pt>
                <c:pt idx="985">
                  <c:v>352</c:v>
                </c:pt>
                <c:pt idx="986">
                  <c:v>11298</c:v>
                </c:pt>
                <c:pt idx="987">
                  <c:v>284</c:v>
                </c:pt>
                <c:pt idx="988">
                  <c:v>1699</c:v>
                </c:pt>
                <c:pt idx="989">
                  <c:v>749</c:v>
                </c:pt>
                <c:pt idx="990">
                  <c:v>108</c:v>
                </c:pt>
                <c:pt idx="991">
                  <c:v>316</c:v>
                </c:pt>
                <c:pt idx="992">
                  <c:v>12095</c:v>
                </c:pt>
                <c:pt idx="993">
                  <c:v>673</c:v>
                </c:pt>
                <c:pt idx="994">
                  <c:v>19</c:v>
                </c:pt>
                <c:pt idx="995">
                  <c:v>866</c:v>
                </c:pt>
                <c:pt idx="996">
                  <c:v>65</c:v>
                </c:pt>
                <c:pt idx="997">
                  <c:v>29</c:v>
                </c:pt>
                <c:pt idx="998">
                  <c:v>9186</c:v>
                </c:pt>
                <c:pt idx="999">
                  <c:v>43</c:v>
                </c:pt>
                <c:pt idx="1000">
                  <c:v>2453</c:v>
                </c:pt>
                <c:pt idx="1001">
                  <c:v>36</c:v>
                </c:pt>
                <c:pt idx="1002">
                  <c:v>786</c:v>
                </c:pt>
                <c:pt idx="1003">
                  <c:v>808</c:v>
                </c:pt>
                <c:pt idx="1004">
                  <c:v>93</c:v>
                </c:pt>
                <c:pt idx="1005">
                  <c:v>929</c:v>
                </c:pt>
                <c:pt idx="1006">
                  <c:v>5</c:v>
                </c:pt>
                <c:pt idx="1007">
                  <c:v>259</c:v>
                </c:pt>
                <c:pt idx="1008">
                  <c:v>7739</c:v>
                </c:pt>
                <c:pt idx="1009">
                  <c:v>1233</c:v>
                </c:pt>
                <c:pt idx="1010">
                  <c:v>172</c:v>
                </c:pt>
                <c:pt idx="1011">
                  <c:v>168</c:v>
                </c:pt>
                <c:pt idx="1012">
                  <c:v>4724</c:v>
                </c:pt>
                <c:pt idx="1013">
                  <c:v>39</c:v>
                </c:pt>
                <c:pt idx="1014">
                  <c:v>61</c:v>
                </c:pt>
                <c:pt idx="1015">
                  <c:v>539</c:v>
                </c:pt>
                <c:pt idx="1016">
                  <c:v>156</c:v>
                </c:pt>
                <c:pt idx="1017">
                  <c:v>75</c:v>
                </c:pt>
                <c:pt idx="1018">
                  <c:v>18</c:v>
                </c:pt>
                <c:pt idx="1019">
                  <c:v>1671</c:v>
                </c:pt>
                <c:pt idx="1020">
                  <c:v>3152</c:v>
                </c:pt>
                <c:pt idx="1021">
                  <c:v>10165</c:v>
                </c:pt>
                <c:pt idx="1022">
                  <c:v>1460</c:v>
                </c:pt>
                <c:pt idx="1023">
                  <c:v>346</c:v>
                </c:pt>
                <c:pt idx="1024">
                  <c:v>130</c:v>
                </c:pt>
                <c:pt idx="1025">
                  <c:v>453</c:v>
                </c:pt>
                <c:pt idx="1026">
                  <c:v>29</c:v>
                </c:pt>
                <c:pt idx="1027">
                  <c:v>664</c:v>
                </c:pt>
                <c:pt idx="1028">
                  <c:v>101</c:v>
                </c:pt>
                <c:pt idx="1029">
                  <c:v>2253</c:v>
                </c:pt>
                <c:pt idx="1030">
                  <c:v>46</c:v>
                </c:pt>
                <c:pt idx="1031">
                  <c:v>94</c:v>
                </c:pt>
                <c:pt idx="1032">
                  <c:v>175</c:v>
                </c:pt>
                <c:pt idx="1033">
                  <c:v>644</c:v>
                </c:pt>
                <c:pt idx="1034">
                  <c:v>504</c:v>
                </c:pt>
                <c:pt idx="1035">
                  <c:v>66</c:v>
                </c:pt>
                <c:pt idx="1036">
                  <c:v>1338</c:v>
                </c:pt>
                <c:pt idx="1037">
                  <c:v>2057</c:v>
                </c:pt>
                <c:pt idx="1038">
                  <c:v>72</c:v>
                </c:pt>
                <c:pt idx="1039">
                  <c:v>278</c:v>
                </c:pt>
                <c:pt idx="1040">
                  <c:v>175</c:v>
                </c:pt>
                <c:pt idx="1041">
                  <c:v>1417</c:v>
                </c:pt>
                <c:pt idx="1042">
                  <c:v>413</c:v>
                </c:pt>
                <c:pt idx="1043">
                  <c:v>121</c:v>
                </c:pt>
                <c:pt idx="1044">
                  <c:v>1225</c:v>
                </c:pt>
                <c:pt idx="1045">
                  <c:v>251</c:v>
                </c:pt>
                <c:pt idx="1046">
                  <c:v>84</c:v>
                </c:pt>
                <c:pt idx="1047">
                  <c:v>17</c:v>
                </c:pt>
                <c:pt idx="1048">
                  <c:v>1235</c:v>
                </c:pt>
                <c:pt idx="1049">
                  <c:v>170</c:v>
                </c:pt>
                <c:pt idx="1050">
                  <c:v>142</c:v>
                </c:pt>
                <c:pt idx="1051">
                  <c:v>104</c:v>
                </c:pt>
                <c:pt idx="1052">
                  <c:v>3269</c:v>
                </c:pt>
                <c:pt idx="1053">
                  <c:v>1777</c:v>
                </c:pt>
                <c:pt idx="1054">
                  <c:v>2583</c:v>
                </c:pt>
                <c:pt idx="1055">
                  <c:v>142</c:v>
                </c:pt>
                <c:pt idx="1056">
                  <c:v>1440</c:v>
                </c:pt>
                <c:pt idx="1057">
                  <c:v>207</c:v>
                </c:pt>
                <c:pt idx="1058">
                  <c:v>20</c:v>
                </c:pt>
                <c:pt idx="1059">
                  <c:v>2578</c:v>
                </c:pt>
                <c:pt idx="1060">
                  <c:v>19</c:v>
                </c:pt>
                <c:pt idx="1061">
                  <c:v>299</c:v>
                </c:pt>
                <c:pt idx="1062">
                  <c:v>1788</c:v>
                </c:pt>
                <c:pt idx="1063">
                  <c:v>22</c:v>
                </c:pt>
                <c:pt idx="1064">
                  <c:v>2062</c:v>
                </c:pt>
                <c:pt idx="1065">
                  <c:v>293</c:v>
                </c:pt>
                <c:pt idx="1066">
                  <c:v>2538</c:v>
                </c:pt>
                <c:pt idx="1067">
                  <c:v>63</c:v>
                </c:pt>
                <c:pt idx="1068">
                  <c:v>75</c:v>
                </c:pt>
                <c:pt idx="1069">
                  <c:v>38</c:v>
                </c:pt>
                <c:pt idx="1070">
                  <c:v>420</c:v>
                </c:pt>
                <c:pt idx="1071">
                  <c:v>1133</c:v>
                </c:pt>
                <c:pt idx="1072">
                  <c:v>369</c:v>
                </c:pt>
                <c:pt idx="1073">
                  <c:v>1590</c:v>
                </c:pt>
                <c:pt idx="1074">
                  <c:v>16</c:v>
                </c:pt>
                <c:pt idx="1075">
                  <c:v>4</c:v>
                </c:pt>
                <c:pt idx="1076">
                  <c:v>16</c:v>
                </c:pt>
                <c:pt idx="1077">
                  <c:v>2</c:v>
                </c:pt>
                <c:pt idx="1078">
                  <c:v>101</c:v>
                </c:pt>
                <c:pt idx="1079">
                  <c:v>9</c:v>
                </c:pt>
                <c:pt idx="1080">
                  <c:v>3106</c:v>
                </c:pt>
                <c:pt idx="1081">
                  <c:v>52</c:v>
                </c:pt>
                <c:pt idx="1082">
                  <c:v>35428</c:v>
                </c:pt>
                <c:pt idx="1083">
                  <c:v>1093</c:v>
                </c:pt>
                <c:pt idx="1084">
                  <c:v>24600</c:v>
                </c:pt>
                <c:pt idx="1085">
                  <c:v>5746</c:v>
                </c:pt>
                <c:pt idx="1086">
                  <c:v>508</c:v>
                </c:pt>
                <c:pt idx="1087">
                  <c:v>5013</c:v>
                </c:pt>
                <c:pt idx="1088">
                  <c:v>228</c:v>
                </c:pt>
                <c:pt idx="1089">
                  <c:v>5086</c:v>
                </c:pt>
                <c:pt idx="1090">
                  <c:v>1817</c:v>
                </c:pt>
                <c:pt idx="1091">
                  <c:v>25</c:v>
                </c:pt>
                <c:pt idx="1092">
                  <c:v>256</c:v>
                </c:pt>
                <c:pt idx="1093">
                  <c:v>1415</c:v>
                </c:pt>
                <c:pt idx="1094">
                  <c:v>1556</c:v>
                </c:pt>
                <c:pt idx="1095">
                  <c:v>3037</c:v>
                </c:pt>
                <c:pt idx="1096">
                  <c:v>4073</c:v>
                </c:pt>
                <c:pt idx="1097">
                  <c:v>4236</c:v>
                </c:pt>
                <c:pt idx="1098">
                  <c:v>2281</c:v>
                </c:pt>
                <c:pt idx="1099">
                  <c:v>243</c:v>
                </c:pt>
                <c:pt idx="1100">
                  <c:v>219</c:v>
                </c:pt>
                <c:pt idx="1101">
                  <c:v>3943</c:v>
                </c:pt>
                <c:pt idx="1102">
                  <c:v>1424</c:v>
                </c:pt>
                <c:pt idx="1103">
                  <c:v>5790</c:v>
                </c:pt>
                <c:pt idx="1104">
                  <c:v>8457</c:v>
                </c:pt>
                <c:pt idx="1105">
                  <c:v>275</c:v>
                </c:pt>
                <c:pt idx="1106">
                  <c:v>46</c:v>
                </c:pt>
                <c:pt idx="1107">
                  <c:v>1829</c:v>
                </c:pt>
                <c:pt idx="1108">
                  <c:v>70</c:v>
                </c:pt>
                <c:pt idx="1109">
                  <c:v>4162</c:v>
                </c:pt>
                <c:pt idx="1110">
                  <c:v>5234</c:v>
                </c:pt>
                <c:pt idx="1111">
                  <c:v>675</c:v>
                </c:pt>
                <c:pt idx="1112">
                  <c:v>946</c:v>
                </c:pt>
                <c:pt idx="1113">
                  <c:v>97</c:v>
                </c:pt>
                <c:pt idx="1114">
                  <c:v>772</c:v>
                </c:pt>
                <c:pt idx="1115">
                  <c:v>20</c:v>
                </c:pt>
                <c:pt idx="1116">
                  <c:v>758</c:v>
                </c:pt>
                <c:pt idx="1117">
                  <c:v>5</c:v>
                </c:pt>
                <c:pt idx="1118">
                  <c:v>420</c:v>
                </c:pt>
                <c:pt idx="1119">
                  <c:v>51</c:v>
                </c:pt>
                <c:pt idx="1120">
                  <c:v>810</c:v>
                </c:pt>
                <c:pt idx="1121">
                  <c:v>553</c:v>
                </c:pt>
                <c:pt idx="1122">
                  <c:v>565</c:v>
                </c:pt>
                <c:pt idx="1123">
                  <c:v>96</c:v>
                </c:pt>
                <c:pt idx="1124">
                  <c:v>133</c:v>
                </c:pt>
                <c:pt idx="1125">
                  <c:v>32304</c:v>
                </c:pt>
                <c:pt idx="1126">
                  <c:v>146</c:v>
                </c:pt>
                <c:pt idx="1127">
                  <c:v>245</c:v>
                </c:pt>
                <c:pt idx="1128">
                  <c:v>846</c:v>
                </c:pt>
                <c:pt idx="1129">
                  <c:v>1394</c:v>
                </c:pt>
                <c:pt idx="1130">
                  <c:v>3653</c:v>
                </c:pt>
                <c:pt idx="1131">
                  <c:v>436</c:v>
                </c:pt>
                <c:pt idx="1132">
                  <c:v>1546</c:v>
                </c:pt>
                <c:pt idx="1133">
                  <c:v>543</c:v>
                </c:pt>
                <c:pt idx="1134">
                  <c:v>1237</c:v>
                </c:pt>
                <c:pt idx="1135">
                  <c:v>58</c:v>
                </c:pt>
                <c:pt idx="1136">
                  <c:v>206</c:v>
                </c:pt>
                <c:pt idx="1137">
                  <c:v>1540</c:v>
                </c:pt>
                <c:pt idx="1138">
                  <c:v>887</c:v>
                </c:pt>
                <c:pt idx="1139">
                  <c:v>143</c:v>
                </c:pt>
                <c:pt idx="1140">
                  <c:v>341</c:v>
                </c:pt>
                <c:pt idx="1141">
                  <c:v>3283</c:v>
                </c:pt>
                <c:pt idx="1142">
                  <c:v>995</c:v>
                </c:pt>
                <c:pt idx="1143">
                  <c:v>2132</c:v>
                </c:pt>
                <c:pt idx="1144">
                  <c:v>942</c:v>
                </c:pt>
                <c:pt idx="1145">
                  <c:v>463</c:v>
                </c:pt>
                <c:pt idx="1146">
                  <c:v>10672</c:v>
                </c:pt>
                <c:pt idx="1147">
                  <c:v>698</c:v>
                </c:pt>
                <c:pt idx="1148">
                  <c:v>288</c:v>
                </c:pt>
                <c:pt idx="1149">
                  <c:v>520</c:v>
                </c:pt>
                <c:pt idx="1150">
                  <c:v>1444</c:v>
                </c:pt>
                <c:pt idx="1151">
                  <c:v>104</c:v>
                </c:pt>
                <c:pt idx="1152">
                  <c:v>86</c:v>
                </c:pt>
                <c:pt idx="1153">
                  <c:v>260</c:v>
                </c:pt>
                <c:pt idx="1154">
                  <c:v>318</c:v>
                </c:pt>
                <c:pt idx="1155">
                  <c:v>514</c:v>
                </c:pt>
                <c:pt idx="1156">
                  <c:v>433</c:v>
                </c:pt>
                <c:pt idx="1157">
                  <c:v>1842</c:v>
                </c:pt>
                <c:pt idx="1158">
                  <c:v>1158</c:v>
                </c:pt>
                <c:pt idx="1159">
                  <c:v>840</c:v>
                </c:pt>
                <c:pt idx="1160">
                  <c:v>742</c:v>
                </c:pt>
                <c:pt idx="1161">
                  <c:v>175</c:v>
                </c:pt>
                <c:pt idx="1162">
                  <c:v>714</c:v>
                </c:pt>
                <c:pt idx="1163">
                  <c:v>559</c:v>
                </c:pt>
                <c:pt idx="1164">
                  <c:v>795</c:v>
                </c:pt>
                <c:pt idx="1165">
                  <c:v>170</c:v>
                </c:pt>
                <c:pt idx="1166">
                  <c:v>27</c:v>
                </c:pt>
                <c:pt idx="1167">
                  <c:v>1095</c:v>
                </c:pt>
                <c:pt idx="1168">
                  <c:v>164</c:v>
                </c:pt>
                <c:pt idx="1169">
                  <c:v>3200</c:v>
                </c:pt>
                <c:pt idx="1170">
                  <c:v>196</c:v>
                </c:pt>
                <c:pt idx="1171">
                  <c:v>314</c:v>
                </c:pt>
                <c:pt idx="1172">
                  <c:v>124</c:v>
                </c:pt>
                <c:pt idx="1173">
                  <c:v>163</c:v>
                </c:pt>
                <c:pt idx="1174">
                  <c:v>2740</c:v>
                </c:pt>
                <c:pt idx="1175">
                  <c:v>128</c:v>
                </c:pt>
                <c:pt idx="1176">
                  <c:v>251</c:v>
                </c:pt>
                <c:pt idx="1177">
                  <c:v>640</c:v>
                </c:pt>
                <c:pt idx="1178">
                  <c:v>153</c:v>
                </c:pt>
                <c:pt idx="1179">
                  <c:v>49</c:v>
                </c:pt>
                <c:pt idx="1180">
                  <c:v>50</c:v>
                </c:pt>
                <c:pt idx="1181">
                  <c:v>45</c:v>
                </c:pt>
                <c:pt idx="1182">
                  <c:v>12</c:v>
                </c:pt>
                <c:pt idx="1183">
                  <c:v>171</c:v>
                </c:pt>
                <c:pt idx="1184">
                  <c:v>57</c:v>
                </c:pt>
                <c:pt idx="1185">
                  <c:v>1780</c:v>
                </c:pt>
                <c:pt idx="1186">
                  <c:v>1073</c:v>
                </c:pt>
                <c:pt idx="1187">
                  <c:v>161</c:v>
                </c:pt>
                <c:pt idx="1188">
                  <c:v>1430</c:v>
                </c:pt>
                <c:pt idx="1189">
                  <c:v>302</c:v>
                </c:pt>
                <c:pt idx="1190">
                  <c:v>1215</c:v>
                </c:pt>
                <c:pt idx="1191">
                  <c:v>40</c:v>
                </c:pt>
                <c:pt idx="1192">
                  <c:v>122</c:v>
                </c:pt>
                <c:pt idx="1193">
                  <c:v>101</c:v>
                </c:pt>
                <c:pt idx="1194">
                  <c:v>508</c:v>
                </c:pt>
                <c:pt idx="1195">
                  <c:v>66</c:v>
                </c:pt>
                <c:pt idx="1196">
                  <c:v>484</c:v>
                </c:pt>
                <c:pt idx="1197">
                  <c:v>43</c:v>
                </c:pt>
                <c:pt idx="1198">
                  <c:v>29</c:v>
                </c:pt>
                <c:pt idx="1199">
                  <c:v>14</c:v>
                </c:pt>
              </c:numCache>
            </c:numRef>
          </c:yVal>
          <c:smooth val="0"/>
          <c:extLst>
            <c:ext xmlns:c16="http://schemas.microsoft.com/office/drawing/2014/chart" uri="{C3380CC4-5D6E-409C-BE32-E72D297353CC}">
              <c16:uniqueId val="{00000001-5C2E-46D6-AD65-BEAC032B56F3}"/>
            </c:ext>
          </c:extLst>
        </c:ser>
        <c:dLbls>
          <c:showLegendKey val="0"/>
          <c:showVal val="0"/>
          <c:showCatName val="0"/>
          <c:showSerName val="0"/>
          <c:showPercent val="0"/>
          <c:showBubbleSize val="0"/>
        </c:dLbls>
        <c:axId val="790299471"/>
        <c:axId val="790288911"/>
      </c:scatterChart>
      <c:valAx>
        <c:axId val="7902994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900" b="0" i="0" u="none" strike="noStrike" cap="all" baseline="0"/>
                  <a:t>Customer Rating</a:t>
                </a:r>
                <a:endParaRPr lang="en-IN"/>
              </a:p>
            </c:rich>
          </c:tx>
          <c:layout>
            <c:manualLayout>
              <c:xMode val="edge"/>
              <c:yMode val="edge"/>
              <c:x val="0.42870103227145356"/>
              <c:y val="0.88484919646020432"/>
            </c:manualLayout>
          </c:layout>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90288911"/>
        <c:crosses val="autoZero"/>
        <c:crossBetween val="midCat"/>
      </c:valAx>
      <c:valAx>
        <c:axId val="7902889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sz="900" b="0" i="0" u="none" strike="noStrike" cap="all" baseline="0"/>
                  <a:t>Review Count</a:t>
                </a:r>
                <a:endParaRPr lang="en-IN"/>
              </a:p>
            </c:rich>
          </c:tx>
          <c:layout>
            <c:manualLayout>
              <c:xMode val="edge"/>
              <c:yMode val="edge"/>
              <c:x val="3.6760097389094387E-2"/>
              <c:y val="0.41402104918616928"/>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solidFill>
              <a:schemeClr val="tx1">
                <a:lumMod val="25000"/>
                <a:lumOff val="75000"/>
              </a:schemeClr>
            </a:solid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790299471"/>
        <c:crosses val="autoZero"/>
        <c:crossBetween val="midCat"/>
      </c:valAx>
      <c:spPr>
        <a:noFill/>
        <a:ln>
          <a:noFill/>
        </a:ln>
        <a:effectLst/>
      </c:spPr>
    </c:plotArea>
    <c:legend>
      <c:legendPos val="b"/>
      <c:layout>
        <c:manualLayout>
          <c:xMode val="edge"/>
          <c:yMode val="edge"/>
          <c:x val="0.3476677370531478"/>
          <c:y val="0.93414870161324504"/>
          <c:w val="0.24105869126818841"/>
          <c:h val="4.895095790743871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a:solidFill>
          <a:schemeClr val="tx1">
            <a:lumMod val="15000"/>
            <a:lumOff val="85000"/>
          </a:schemeClr>
        </a:solidFill>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19050" cap="rnd">
        <a:solidFill>
          <a:schemeClr val="phClr">
            <a:alpha val="60000"/>
          </a:schemeClr>
        </a:solidFill>
        <a:round/>
      </a:ln>
    </cs:spPr>
  </cs:dataPointLine>
  <cs:dataPointMarker>
    <cs:lnRef idx="0">
      <cs:styleClr val="auto"/>
    </cs:lnRef>
    <cs:fillRef idx="0">
      <cs:styleClr val="auto"/>
    </cs:fillRef>
    <cs:effectRef idx="0"/>
    <cs:fontRef idx="minor">
      <a:schemeClr val="dk1"/>
    </cs:fontRef>
    <cs:spPr>
      <a:solidFill>
        <a:schemeClr val="lt1"/>
      </a:solidFill>
      <a:ln w="38100">
        <a:solidFill>
          <a:schemeClr val="phClr">
            <a:alpha val="60000"/>
          </a:scheme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a:solidFill>
          <a:schemeClr val="tx1">
            <a:lumMod val="15000"/>
            <a:lumOff val="85000"/>
          </a:schemeClr>
        </a:solidFill>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a:solidFill>
          <a:schemeClr val="tx1">
            <a:lumMod val="25000"/>
            <a:lumOff val="75000"/>
          </a:schemeClr>
        </a:solidFill>
      </a:ln>
    </cs:spPr>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7620</xdr:colOff>
      <xdr:row>2</xdr:row>
      <xdr:rowOff>11430</xdr:rowOff>
    </xdr:from>
    <xdr:to>
      <xdr:col>6</xdr:col>
      <xdr:colOff>1257300</xdr:colOff>
      <xdr:row>17</xdr:row>
      <xdr:rowOff>11430</xdr:rowOff>
    </xdr:to>
    <xdr:graphicFrame macro="">
      <xdr:nvGraphicFramePr>
        <xdr:cNvPr id="2" name="Chart 1">
          <a:extLst>
            <a:ext uri="{FF2B5EF4-FFF2-40B4-BE49-F238E27FC236}">
              <a16:creationId xmlns:a16="http://schemas.microsoft.com/office/drawing/2014/main" id="{59A5316D-22A8-F7D6-9F46-A706E2FE80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30777</xdr:colOff>
      <xdr:row>1</xdr:row>
      <xdr:rowOff>155467</xdr:rowOff>
    </xdr:from>
    <xdr:to>
      <xdr:col>15</xdr:col>
      <xdr:colOff>267591</xdr:colOff>
      <xdr:row>16</xdr:row>
      <xdr:rowOff>155467</xdr:rowOff>
    </xdr:to>
    <xdr:graphicFrame macro="">
      <xdr:nvGraphicFramePr>
        <xdr:cNvPr id="4" name="Chart 3">
          <a:extLst>
            <a:ext uri="{FF2B5EF4-FFF2-40B4-BE49-F238E27FC236}">
              <a16:creationId xmlns:a16="http://schemas.microsoft.com/office/drawing/2014/main" id="{7FECDA9A-14CA-C86A-B31D-E5DE61B2C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62205</xdr:colOff>
      <xdr:row>27</xdr:row>
      <xdr:rowOff>90196</xdr:rowOff>
    </xdr:from>
    <xdr:to>
      <xdr:col>6</xdr:col>
      <xdr:colOff>1321837</xdr:colOff>
      <xdr:row>42</xdr:row>
      <xdr:rowOff>34213</xdr:rowOff>
    </xdr:to>
    <xdr:graphicFrame macro="">
      <xdr:nvGraphicFramePr>
        <xdr:cNvPr id="5" name="Chart 4">
          <a:extLst>
            <a:ext uri="{FF2B5EF4-FFF2-40B4-BE49-F238E27FC236}">
              <a16:creationId xmlns:a16="http://schemas.microsoft.com/office/drawing/2014/main" id="{1A688DD5-5138-C9A5-F0D4-35A7660172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20073</xdr:colOff>
      <xdr:row>26</xdr:row>
      <xdr:rowOff>28173</xdr:rowOff>
    </xdr:from>
    <xdr:to>
      <xdr:col>14</xdr:col>
      <xdr:colOff>51176</xdr:colOff>
      <xdr:row>37</xdr:row>
      <xdr:rowOff>181</xdr:rowOff>
    </xdr:to>
    <xdr:graphicFrame macro="">
      <xdr:nvGraphicFramePr>
        <xdr:cNvPr id="6" name="Chart 5">
          <a:extLst>
            <a:ext uri="{FF2B5EF4-FFF2-40B4-BE49-F238E27FC236}">
              <a16:creationId xmlns:a16="http://schemas.microsoft.com/office/drawing/2014/main" id="{F910A48F-D3D4-2CF0-B0A1-967E03A356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127083</xdr:colOff>
      <xdr:row>39</xdr:row>
      <xdr:rowOff>55666</xdr:rowOff>
    </xdr:from>
    <xdr:to>
      <xdr:col>14</xdr:col>
      <xdr:colOff>542719</xdr:colOff>
      <xdr:row>54</xdr:row>
      <xdr:rowOff>132938</xdr:rowOff>
    </xdr:to>
    <xdr:graphicFrame macro="">
      <xdr:nvGraphicFramePr>
        <xdr:cNvPr id="7" name="Chart 6">
          <a:extLst>
            <a:ext uri="{FF2B5EF4-FFF2-40B4-BE49-F238E27FC236}">
              <a16:creationId xmlns:a16="http://schemas.microsoft.com/office/drawing/2014/main" id="{246FFD72-0F63-E96B-1C37-6B054A8526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317500</xdr:colOff>
      <xdr:row>60</xdr:row>
      <xdr:rowOff>73025</xdr:rowOff>
    </xdr:from>
    <xdr:to>
      <xdr:col>7</xdr:col>
      <xdr:colOff>158750</xdr:colOff>
      <xdr:row>74</xdr:row>
      <xdr:rowOff>149225</xdr:rowOff>
    </xdr:to>
    <xdr:graphicFrame macro="">
      <xdr:nvGraphicFramePr>
        <xdr:cNvPr id="11" name="Chart 10">
          <a:extLst>
            <a:ext uri="{FF2B5EF4-FFF2-40B4-BE49-F238E27FC236}">
              <a16:creationId xmlns:a16="http://schemas.microsoft.com/office/drawing/2014/main" id="{BAF852E0-A5B1-5D2A-764C-CE088999E8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416560</xdr:colOff>
      <xdr:row>18</xdr:row>
      <xdr:rowOff>81280</xdr:rowOff>
    </xdr:from>
    <xdr:to>
      <xdr:col>19</xdr:col>
      <xdr:colOff>265545</xdr:colOff>
      <xdr:row>36</xdr:row>
      <xdr:rowOff>34637</xdr:rowOff>
    </xdr:to>
    <xdr:graphicFrame macro="">
      <xdr:nvGraphicFramePr>
        <xdr:cNvPr id="2" name="Chart 1">
          <a:extLst>
            <a:ext uri="{FF2B5EF4-FFF2-40B4-BE49-F238E27FC236}">
              <a16:creationId xmlns:a16="http://schemas.microsoft.com/office/drawing/2014/main" id="{BA3327E6-5968-42C8-A8D9-01478C19D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404505</xdr:colOff>
      <xdr:row>36</xdr:row>
      <xdr:rowOff>129776</xdr:rowOff>
    </xdr:from>
    <xdr:to>
      <xdr:col>19</xdr:col>
      <xdr:colOff>282870</xdr:colOff>
      <xdr:row>52</xdr:row>
      <xdr:rowOff>61012</xdr:rowOff>
    </xdr:to>
    <xdr:graphicFrame macro="">
      <xdr:nvGraphicFramePr>
        <xdr:cNvPr id="3" name="Chart 2">
          <a:extLst>
            <a:ext uri="{FF2B5EF4-FFF2-40B4-BE49-F238E27FC236}">
              <a16:creationId xmlns:a16="http://schemas.microsoft.com/office/drawing/2014/main" id="{B4AC611C-C59C-4CA3-9EBB-13AD4D735F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380849</xdr:colOff>
      <xdr:row>14</xdr:row>
      <xdr:rowOff>94984</xdr:rowOff>
    </xdr:from>
    <xdr:to>
      <xdr:col>27</xdr:col>
      <xdr:colOff>365300</xdr:colOff>
      <xdr:row>36</xdr:row>
      <xdr:rowOff>160251</xdr:rowOff>
    </xdr:to>
    <xdr:graphicFrame macro="">
      <xdr:nvGraphicFramePr>
        <xdr:cNvPr id="4" name="Chart 3">
          <a:extLst>
            <a:ext uri="{FF2B5EF4-FFF2-40B4-BE49-F238E27FC236}">
              <a16:creationId xmlns:a16="http://schemas.microsoft.com/office/drawing/2014/main" id="{D6935329-0FEE-43FE-A307-0B22BCAF1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386468</xdr:colOff>
      <xdr:row>37</xdr:row>
      <xdr:rowOff>72571</xdr:rowOff>
    </xdr:from>
    <xdr:to>
      <xdr:col>27</xdr:col>
      <xdr:colOff>373225</xdr:colOff>
      <xdr:row>52</xdr:row>
      <xdr:rowOff>68384</xdr:rowOff>
    </xdr:to>
    <xdr:graphicFrame macro="">
      <xdr:nvGraphicFramePr>
        <xdr:cNvPr id="5" name="Chart 4">
          <a:extLst>
            <a:ext uri="{FF2B5EF4-FFF2-40B4-BE49-F238E27FC236}">
              <a16:creationId xmlns:a16="http://schemas.microsoft.com/office/drawing/2014/main" id="{5916A6B7-2CF1-424E-A7E6-2760A4F34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440675</xdr:colOff>
      <xdr:row>53</xdr:row>
      <xdr:rowOff>5240</xdr:rowOff>
    </xdr:from>
    <xdr:to>
      <xdr:col>27</xdr:col>
      <xdr:colOff>355600</xdr:colOff>
      <xdr:row>77</xdr:row>
      <xdr:rowOff>10160</xdr:rowOff>
    </xdr:to>
    <xdr:graphicFrame macro="">
      <xdr:nvGraphicFramePr>
        <xdr:cNvPr id="6" name="Chart 5">
          <a:extLst>
            <a:ext uri="{FF2B5EF4-FFF2-40B4-BE49-F238E27FC236}">
              <a16:creationId xmlns:a16="http://schemas.microsoft.com/office/drawing/2014/main" id="{7766CCD1-DFF1-4861-BABA-AF8CDDD2B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415638</xdr:colOff>
      <xdr:row>9</xdr:row>
      <xdr:rowOff>198828</xdr:rowOff>
    </xdr:from>
    <xdr:to>
      <xdr:col>19</xdr:col>
      <xdr:colOff>256723</xdr:colOff>
      <xdr:row>17</xdr:row>
      <xdr:rowOff>160192</xdr:rowOff>
    </xdr:to>
    <mc:AlternateContent xmlns:mc="http://schemas.openxmlformats.org/markup-compatibility/2006">
      <mc:Choice xmlns:a14="http://schemas.microsoft.com/office/drawing/2010/main" Requires="a14">
        <xdr:graphicFrame macro="">
          <xdr:nvGraphicFramePr>
            <xdr:cNvPr id="9" name="Area">
              <a:extLst>
                <a:ext uri="{FF2B5EF4-FFF2-40B4-BE49-F238E27FC236}">
                  <a16:creationId xmlns:a16="http://schemas.microsoft.com/office/drawing/2014/main" id="{7D0EE3CC-7407-F1DB-A57E-8CFD52C4706D}"/>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dr:sp macro="" textlink="">
          <xdr:nvSpPr>
            <xdr:cNvPr id="0" name=""/>
            <xdr:cNvSpPr>
              <a:spLocks noTextEdit="1"/>
            </xdr:cNvSpPr>
          </xdr:nvSpPr>
          <xdr:spPr>
            <a:xfrm>
              <a:off x="5931855" y="1971306"/>
              <a:ext cx="5970216" cy="14356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370158</xdr:colOff>
      <xdr:row>10</xdr:row>
      <xdr:rowOff>10034</xdr:rowOff>
    </xdr:from>
    <xdr:to>
      <xdr:col>27</xdr:col>
      <xdr:colOff>358613</xdr:colOff>
      <xdr:row>14</xdr:row>
      <xdr:rowOff>365</xdr:rowOff>
    </xdr:to>
    <mc:AlternateContent xmlns:mc="http://schemas.openxmlformats.org/markup-compatibility/2006">
      <mc:Choice xmlns:a14="http://schemas.microsoft.com/office/drawing/2010/main" Requires="a14">
        <xdr:graphicFrame macro="">
          <xdr:nvGraphicFramePr>
            <xdr:cNvPr id="8" name="Cafe Category">
              <a:extLst>
                <a:ext uri="{FF2B5EF4-FFF2-40B4-BE49-F238E27FC236}">
                  <a16:creationId xmlns:a16="http://schemas.microsoft.com/office/drawing/2014/main" id="{191206DA-C457-B508-657A-B5939FB4024A}"/>
                </a:ext>
              </a:extLst>
            </xdr:cNvPr>
            <xdr:cNvGraphicFramePr/>
          </xdr:nvGraphicFramePr>
          <xdr:xfrm>
            <a:off x="0" y="0"/>
            <a:ext cx="0" cy="0"/>
          </xdr:xfrm>
          <a:graphic>
            <a:graphicData uri="http://schemas.microsoft.com/office/drawing/2010/slicer">
              <sle:slicer xmlns:sle="http://schemas.microsoft.com/office/drawing/2010/slicer" name="Cafe Category"/>
            </a:graphicData>
          </a:graphic>
        </xdr:graphicFrame>
      </mc:Choice>
      <mc:Fallback>
        <xdr:sp macro="" textlink="">
          <xdr:nvSpPr>
            <xdr:cNvPr id="0" name=""/>
            <xdr:cNvSpPr>
              <a:spLocks noTextEdit="1"/>
            </xdr:cNvSpPr>
          </xdr:nvSpPr>
          <xdr:spPr>
            <a:xfrm>
              <a:off x="12015506" y="1981295"/>
              <a:ext cx="4858629" cy="7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anuja modak" refreshedDate="46179.830435648146" createdVersion="8" refreshedVersion="8" minRefreshableVersion="3" recordCount="1200" xr:uid="{393068A3-AC8E-42A6-922D-24185B7A86E9}">
  <cacheSource type="worksheet">
    <worksheetSource name="CafeData"/>
  </cacheSource>
  <cacheFields count="12">
    <cacheField name="Area" numFmtId="0">
      <sharedItems count="20">
        <s v="Colaba"/>
        <s v="Churchgate"/>
        <s v="Dadar"/>
        <s v="Worli"/>
        <s v="Bandra"/>
        <s v="Andheri"/>
        <s v="Goregaon"/>
        <s v="Borivali"/>
        <s v="Kurla"/>
        <s v="Ghatkopar"/>
        <s v="Mulund"/>
        <s v="Vashi"/>
        <s v="Nerul"/>
        <s v="Panvel"/>
        <s v="Kharghar"/>
        <s v="Dharavi"/>
        <s v="Powai"/>
        <s v="Chembur"/>
        <s v="Sion"/>
        <s v="Thane"/>
      </sharedItems>
    </cacheField>
    <cacheField name="Name" numFmtId="0">
      <sharedItems count="968">
        <s v="Cafe Basilico - Colaba"/>
        <s v="Leopold Cafe"/>
        <s v="Bay view Cafe"/>
        <s v="Cafe Churchill"/>
        <s v="Mag St."/>
        <s v="Cafe Mondegar"/>
        <s v="Olympia Coffee House"/>
        <s v="Colaba SOCIAL"/>
        <s v="Bake House Cafe"/>
        <s v="Kala Ghoda Cafe"/>
        <s v="Zen Cafe"/>
        <s v="Kuckeliku Breakfast House"/>
        <s v="Banyan Tree Cafe"/>
        <s v="Theobroma"/>
        <s v="ARAKU Coffee"/>
        <s v="Cafe Marina"/>
        <s v="The Cacao Mill by Subko"/>
        <s v="US Club Fine Dine Cafe Lounge"/>
        <s v="Kitchen Garden"/>
        <s v="Smoke House Deli Colaba"/>
        <s v="Third Wave Coffee"/>
        <s v="Mockingbird Cafe Bar"/>
        <s v="Shamiana"/>
        <s v="Cafe Universal RESTAURANT &amp;BAR"/>
        <s v="Mews Cafe"/>
        <s v="Madras Cafe"/>
        <s v="The Table"/>
        <s v="Cafe Paris"/>
        <s v="Sea Lounge"/>
        <s v="Souk"/>
        <s v="Starbucks - Taj Palace (S003)"/>
        <s v="Neuma"/>
        <s v="145 Kala Ghoda"/>
        <s v="Woodside Inn"/>
        <s v="Bombay Coffee House Fort"/>
        <s v="Koyla - Ethnic Cuisine"/>
        <s v="Cafe Excelsior"/>
        <s v="Mini Room Cafe"/>
        <s v="Bake Live Studio - Colaba"/>
        <s v="Cloud 9 Cafe"/>
        <s v="Chikita Cafe"/>
        <s v="Bademiya"/>
        <s v="Bagdadi Restaurant"/>
        <s v="The Nutcracker"/>
        <s v="Effingut - Colaba"/>
        <s v="Colaba's Paradise (Authentic Parsi Cuisine)"/>
        <s v="Bayroute"/>
        <s v="Subko Mini at Abode Bombay"/>
        <s v="Ling's Pavilion"/>
        <s v="Nandini Cafe Moo- Mumbai Flagship Store"/>
        <s v="Rustico"/>
        <s v="Bombay Brasserie Colaba"/>
        <s v="Verandah, Mumbai"/>
        <s v="Chotu Chai Wala"/>
        <s v="All Stir Fry"/>
        <s v="Olive Greens JIMMY BOY"/>
        <s v="La Patisserie"/>
        <s v="Suzette"/>
        <s v="Starbucks"/>
        <s v="The Courtyard"/>
        <s v="Chaayos Cafe at Churchgate"/>
        <s v="Cafe Oval"/>
        <s v="Coffee By Di Bella Churchgate"/>
        <s v="Cafe Bharat"/>
        <s v="Cafe Markiv's"/>
        <s v="Cococart &amp; CocoCafe - Jiji House"/>
        <s v="CafÃ© Coffee Day"/>
        <s v="The J"/>
        <s v="The Beer CafÃ©"/>
        <s v="Earth Cafe @ Churchgate"/>
        <s v="Sassanian"/>
        <s v="Cafe Military"/>
        <s v="210 Degree Churchgate"/>
        <s v="Gaylord Restaurant"/>
        <s v="Flavors Cafe at The Ambassador"/>
        <s v="Geoffrey's"/>
        <s v="Beat House Cafe"/>
        <s v="L&amp;S Bistro &amp; Pizzeria"/>
        <s v="CafÃ© New York"/>
        <s v="Quattro Bistro Churchgate"/>
        <s v="Mish Cafe"/>
        <s v="K. Rustoms &amp; co. Ice Cream Parlour"/>
        <s v="Mani's Cafe"/>
        <s v="Cafe Free India"/>
        <s v="SBI Cafestoria"/>
        <s v="Cafe Unwind"/>
        <s v="The Cravin' Pantry"/>
        <s v="Relish International Veg Cuisine"/>
        <s v="Malido Cafe"/>
        <s v="Blue Tokai Coffee Roasters | Nariman Point"/>
        <s v="Poetry by Love and Cheesecake"/>
        <s v="Flavourzy by Harsh Taylor"/>
        <s v="Cafe metro Family Restaurant"/>
        <s v="Rajasthan Tam Tam Tea Point"/>
        <s v="Tea Post"/>
        <s v="Pizza By The Bay"/>
        <s v="Subko Mini At Kitab Khana"/>
        <s v="Cafe Ideal"/>
        <s v="Grandmama's Cafe, Dadar East"/>
        <s v="Mumbai Bistro - The Cafe"/>
        <s v="Cafe Trofima"/>
        <s v="Brew Haus Cafe"/>
        <s v="CafÃ© 792"/>
        <s v="Fully Loaded"/>
        <s v="Rahulâ€™s Cafe"/>
        <s v="Chaos Control Cafe"/>
        <s v="Cafe Colony Stores &amp; Restaurant"/>
        <s v="Reap-Eat Cafe"/>
        <s v="Mutuswami Cafe"/>
        <s v="Nude Food Cafe"/>
        <s v="Cheezy Freezy"/>
        <s v="Cafe Delicia Legacy"/>
        <s v="The Urban Platter Cafe in Dadar West Mumbai"/>
        <s v="Cafe MadrasÂ®ï¸"/>
        <s v="Prajakta Cafe"/>
        <s v="Cafe Anna"/>
        <s v="Cafe Irani Chaii"/>
        <s v="Milkbar"/>
        <s v="Coffee By Di Bella Mahim"/>
        <s v="Cafe Marine"/>
        <s v="Barista"/>
        <s v="Hungry Owl"/>
        <s v="Pranav's corner"/>
        <s v="Cafe Panama"/>
        <s v="My Regular Place, Dadar"/>
        <s v="Dadar Social"/>
        <s v="Blue Tokai Coffee Roasters | Kohinoor Square Dadar"/>
        <s v="Light of Bharat Restaurant"/>
        <s v="Desire Instant Chai Maza Aajaye!"/>
        <s v="Cafe 19"/>
        <s v="Zane's Cafe"/>
        <s v="Shirke'S"/>
        <s v="SAZ CafÃ©"/>
        <s v="HOME CHEF"/>
        <s v="Terttulia"/>
        <s v="Cafe Reed Mumbai"/>
        <s v="Krishna's Cafe"/>
        <s v="Amba Bhavan Coffee Club"/>
        <s v="Cafe Bae"/>
        <s v="The Dessert RepublicÂ® - Matunga"/>
        <s v="Momos Cafe"/>
        <s v="Cafe Cadell"/>
        <s v="Shanti Coffee House"/>
        <s v="Koolar &amp; Co"/>
        <s v="Cafenately Coffee - Matunga"/>
        <s v="Costa Coffee"/>
        <s v="Oven Fresh Restaurant Dadar"/>
        <s v="Cafe Mysore"/>
        <s v="CAFE V J T I"/>
        <s v="Edhas Cafe"/>
        <s v="Cafe Curious"/>
        <s v="Light House Cafe &amp; Bar"/>
        <s v="Cafe Noir"/>
        <s v="Stand By Coffee"/>
        <s v="Toise Coffee Roastery + Brewstudio"/>
        <s v="Iteeha Coffee"/>
        <s v="Teasy Express"/>
        <s v="Brunch &amp; Cake Mumbai"/>
        <s v="Diablo Mumbai"/>
        <s v="Slink &amp; Bardot"/>
        <s v="145 The Mill"/>
        <s v="Praia Bar &amp; Kitchen"/>
        <s v="Lay Bhari Cafe"/>
        <s v="Lord of the Drinks Worli"/>
        <s v="Palladium Social"/>
        <s v="New Modern Cafe And Lunch Home"/>
        <s v="Dhaba Cafe Lower Parel"/>
        <s v="KIOSK KAFFEE"/>
        <s v="CaffÃ© Allora"/>
        <s v="Bougain Villa, Lower Parel, Mumbai"/>
        <s v="Farzi Cafe"/>
        <s v="Shivin Cafe n More.."/>
        <s v="Glocal"/>
        <s v="Euphoria Cafe Lalbaug"/>
        <s v="Circle Sixty Nine"/>
        <s v="Barista Cafe Urmi axis"/>
        <s v="The Coffee Bean &amp; Tea Leaf"/>
        <s v="Steps Cafe"/>
        <s v="Art Cafe"/>
        <s v="Chai Pe Charcha"/>
        <s v="Copper Chimney - North Indian Family Restaurant in Worli"/>
        <s v="Imperial Lounge (NSCI)"/>
        <s v="Wilson's Tea house @ St Regis Mumbai"/>
        <s v="Bharat Coffee House"/>
        <s v="AER"/>
        <s v="Cafe kadak special"/>
        <s v="Elementaria Bakery Cafe"/>
        <s v="Aromas cafe"/>
        <s v="Ellipsis Bakery"/>
        <s v="Subko at Museum of Solutions"/>
        <s v="The Bombay Cartel"/>
        <s v="The Coffee"/>
        <s v="Boojee Cafe"/>
        <s v="Pali Village CafÃ©"/>
        <s v="Candies"/>
        <s v="Earth Cafe @ Waterfield"/>
        <s v="Bombay Coffee House"/>
        <s v="Tea Villa CafÃ©"/>
        <s v="Blue Tokai Coffee Roasters | Bandra"/>
        <s v="Cafe BANDRA"/>
        <s v="CafÃ© Andora"/>
        <s v="Aromas CafÃ© &amp; Bistro"/>
        <s v="Chantilly - The CafÃ©"/>
        <s v="Grounded Cafe"/>
        <s v="Mokai Cafe"/>
        <s v="Breve Cafe"/>
        <s v="Old Street Cafe &amp; Bar"/>
        <s v="The Village Shop"/>
        <s v="The Bagel Shop"/>
        <s v="Mary Lodge by Subko"/>
        <s v="Morii cafe"/>
        <s v="The Nest Bandra"/>
        <s v="The Bandstand Pantry"/>
        <s v="Method Bandra"/>
        <s v="Bokka Coffee"/>
        <s v="The Library Cafe"/>
        <s v="Brooke Bond Taj Mahal Tea House"/>
        <s v="Poetry by Love and Cheesecake, Bandra W"/>
        <s v="Greenr Cafe"/>
        <s v="Mitron Bar &amp; Cafe - Bandra"/>
        <s v="Candies at Bandra Reclamation"/>
        <s v="Coffee By Di Bella Carter Road"/>
        <s v="Kabira's Cafe"/>
        <s v="KCROASTERS By Koinonia"/>
        <s v="145 Bandra"/>
        <s v="Brakefree Cafe"/>
        <s v="Eat Around the Corner"/>
        <s v="I CAFE (Bandra West)"/>
        <s v="RITUAL daily coffee"/>
        <s v="Sugar Daddy"/>
        <s v="Subko Mini at Art and Charlie"/>
        <s v="The Bluebop Cafe"/>
        <s v="Carter Road SOCIAL"/>
        <s v="Chocolateria San Churro"/>
        <s v="Cafe Duco"/>
        <s v="Ray's Cafe &amp; Pizzeria"/>
        <s v="Coffee By Di Bella"/>
        <s v="Farmer Cafe"/>
        <s v="Chaayos Cafe at Chapel Road, Bandra West"/>
        <s v="Grey Soul Coffee Roasters (Bandra West)"/>
        <s v="Earth Cafe @ Juhu"/>
        <s v="Javaphile Carter road"/>
        <s v="Beyond Cafe Bandra West"/>
        <s v="Records.coffee by Veranda"/>
        <s v="Noa by The Nutcracker"/>
        <s v="Baked In Bombay By Bread Boulevard"/>
        <s v="Madras Diaries"/>
        <s v="August Cafe"/>
        <s v="Aromas Cafe &amp; Bistro"/>
        <s v="Leaping Windows"/>
        <s v="Bombay To Barcelona Library Cafe"/>
        <s v="The Homemade Cafe"/>
        <s v="Poolside Cafe"/>
        <s v="Momo Cafe"/>
        <s v="Cafe Holiday Versova"/>
        <s v="145 Andheri"/>
        <s v="Love &amp; Latte Lokhandwala"/>
        <s v="Pachinco - Cafe &amp; More"/>
        <s v="Blue Tokai Coffee Roasters | Versova"/>
        <s v="CafÃ© Barra 12"/>
        <s v="Gallery cafe"/>
        <s v="CocoBroma Coffee Cafe Andheri west"/>
        <s v="Love &amp; Latte Versova"/>
        <s v="Coffee By Di Bella Versova"/>
        <s v="Coffee By Di Bella Lokhandwala"/>
        <s v="Roots Cafe"/>
        <s v="Dinshawâ€™s Xpress Cafe"/>
        <s v="Da Studio Cafe"/>
        <s v="The Trans Cafe"/>
        <s v="Ohh My Dog Pefe"/>
        <s v="CAFE MAROL"/>
        <s v="JW Cafe"/>
        <s v="Idlay Cafe (Western Express Highway)"/>
        <s v="Prithvi Cafe"/>
        <s v="Magari"/>
        <s v="The Backyard Brew"/>
        <s v="TBHC -The Buddies Huddle Cafe"/>
        <s v="The Turquoise Bean Cafe"/>
        <s v="Cafe White Lama - European Eatery"/>
        <s v="Pair A Dice Cafe"/>
        <s v="Cafe Tandoor 69"/>
        <s v="Idlay Cafe, J.B Nagar, Andheri ( E )"/>
        <s v="BEST BUDDY'S CAFE"/>
        <s v="Barista Coffee"/>
        <s v="Blue Tokai Coffee Roasters | Andheri East"/>
        <s v="Cafe Lounge - Kohinoor Continental"/>
        <s v="GinGin Cafe and Bar"/>
        <s v="Cafe savera"/>
        <s v="Cafe Popo"/>
        <s v="Coffee By Di Bella, Sher E Punjab"/>
        <s v="Opa! Bar &amp; Cafe"/>
        <s v="Vaibhav Cafe"/>
        <s v="KEFI Eatery &amp; Cafe"/>
        <s v="Cafe O"/>
        <s v="ESPATO - My Learn Coffee"/>
        <s v="DAILY TRIP CAFE"/>
        <s v="Moon Shine Cafe and Bar"/>
        <s v="Kruti Coffee Oshiwara"/>
        <s v="Pachinco Andheri East"/>
        <s v="Coffee Connect Food Pvt Ltd."/>
        <s v="Lord's Cafe"/>
        <s v="Mumbai Times Cafe"/>
        <s v="Blue Tokai Coffee Roasters | Goregaon West"/>
        <s v="Arkish cafe"/>
        <s v="Blue Tokai Coffee Roasters | Goregaon East"/>
        <s v="West End Bistro"/>
        <s v="Cooling Tower Cafe"/>
        <s v="Crank It! Cafe"/>
        <s v="Olive Bistro"/>
        <s v="Coffee By Di Bella Exclusive Malad"/>
        <s v="Cafe Dlite"/>
        <s v="Sufi Irani Cafe"/>
        <s v="Slay Coffee"/>
        <s v="Goregaon SOCIAL"/>
        <s v="CafÃ© IDlish Goregaon"/>
        <s v="The C Spot Cafe"/>
        <s v="Garden Alfresco"/>
        <s v="Cafe Sadar Fa"/>
        <s v="The Burrow Cafe"/>
        <s v="Cococart &amp; Cafe (Oberoi Mall)"/>
        <s v="White House Cafe"/>
        <s v="Love &amp; Latte Malad"/>
        <s v="The Nature Bar - Goregaon"/>
        <s v="Tea Pea CafÃ© | Best Cafe in Malad | Goregaon"/>
        <s v="L'ttle Miss Cafe"/>
        <s v="Kitchen Garden by Suzette Oberoi Mall"/>
        <s v="Cafe Delhi Heights, Inorbit Mall, Malad"/>
        <s v="Fleur Restaurant - The Fern Hotel Goregaon"/>
        <s v="Trupti's kitchen"/>
        <s v="The Brew Cafe - Thakur Village"/>
        <s v="Cafe Recess"/>
        <s v="TeaZahn"/>
        <s v="Coffee Connect Food Pvt Ltd"/>
        <s v="Star cafe"/>
        <s v="Shakey Wakey Oshiwara"/>
        <s v="Retaliate Gaming Cafe"/>
        <s v="Coffee King"/>
        <s v="Blue Tokai Coffee Roasters | Malad West"/>
        <s v="Mamma's cafe"/>
        <s v="Kaffeine: Cafe &amp; Kitchen"/>
        <s v="CAFE METER ON"/>
        <s v="Blue Tokai Coffee Roasters | Borivali West"/>
        <s v="Village Side Cafe"/>
        <s v="Cafe Pibatie"/>
        <s v="Gosssip Corner"/>
        <s v="Gigil Brasserie ..... The Food Lovers cafe"/>
        <s v="Tea Pea CafÃ© | Best Cafe in Borivali"/>
        <s v="Bustle - At the rooftop"/>
        <s v="Panchayat- The Kulhad cafe(Borivali West)"/>
        <s v="Blabber All Day"/>
        <s v="The Chocolate Heaven"/>
        <s v="Bombay Cycle Cafe"/>
        <s v="Dinshaw's Xpress Cafe Khimani Hospitality"/>
        <s v="Terreza Cafe and Bar"/>
        <s v="Blue Tokai Coffee Roasters | IC Colony, Borivali"/>
        <s v="The Fusion Kitchen"/>
        <s v="BHAJIYAWALA &amp; CO."/>
        <s v="Oriv Resto Cafee Bar"/>
        <s v="Tea Pea Cafe |"/>
        <s v="Chai Chulha- Mumbai - (Borivali -East)"/>
        <s v="MASTEE Pure Veg restaurant in Borivali"/>
        <s v="312House"/>
        <s v="Coffee Craft"/>
        <s v="The Peace Story"/>
        <s v="Helly and Chilly Cafe The white wolf cafe"/>
        <s v="Love &amp; Latte Borivali"/>
        <s v="The Chai Fusion"/>
        <s v="Torque Cafe"/>
        <s v="Vividh NX Bar &amp; Cafe Modern World Cuisine"/>
        <s v="Chaayos Cafe at Borivali"/>
        <s v="Cafe Delight Family Restaurant (Borivali East)"/>
        <s v="Barista - Borivali"/>
        <s v="Signature Premium Cafe &amp; Resto"/>
        <s v="Lotus Leaf"/>
        <s v="TAVOLA FINE DINE,BAR , DIESEL CAFE"/>
        <s v="Nuvola Cafe"/>
        <s v="My Story Cafe"/>
        <s v="Quartz Cave - Restobar Banquets Lounge"/>
        <s v="Farmhouse Palladium Rest-O-Bar"/>
        <s v="Bombay Eatery"/>
        <s v="Borivali AC Waiting Lounge and Restaurant"/>
        <s v="Farmhouse Brass Anchor"/>
        <s v="The Betel House"/>
        <s v="Madrasi Kaapi House - I C Colony"/>
        <s v="Ek Batta Do"/>
        <s v="TeaMax Cafe Borivali West Mumbai"/>
        <s v="The London Shakes"/>
        <s v="Dessert Junction Borivali"/>
        <s v="First We Vibe Cafe"/>
        <s v="Cream Lounge"/>
        <s v="Banana Leaf Restaurant borivali"/>
        <s v="The mocktail club"/>
        <s v="The Basil Cafe"/>
        <s v="Coffee Culture"/>
        <s v="PONDICHÃ‰RY CAFÃ‰ - ALL-DAY DINING"/>
        <s v="Cafe Flavours"/>
        <s v="The Cold Hearted"/>
        <s v="Chaayos Cafe - Phoenix Marketcity, Kurla"/>
        <s v="Blah!"/>
        <s v="Cafe Delhi Heights"/>
        <s v="Steamy Mugs"/>
        <s v="Blue Tokai Coffee Roasters | Phoenix Marketcity Kurla"/>
        <s v="Cafe Sahil"/>
        <s v="CAFE 9/10 Multicuisine Restaurant"/>
        <s v="Cafe Milan Bakery"/>
        <s v="Food Quarter"/>
        <s v="Cafe Madina"/>
        <s v="abCoffee Art Guild Kurla"/>
        <s v="The Irish House, Kurla"/>
        <s v="Cafe &amp; Concessionaire"/>
        <s v="La Cane Bistro - BEST CAFE IN KURLA"/>
        <s v="Clove Bistro"/>
        <s v="Amazonia"/>
        <s v="Butterfly High"/>
        <s v="Vadapav Cafe (Food Stall)"/>
        <s v="Chaayos Cafe at One BKC"/>
        <s v="Mumbai get way of India"/>
        <s v="The Sassy CafÃ©"/>
        <s v="Persian Darbar"/>
        <s v="Cafe Amber"/>
        <s v="Theobroma Bakery and Cake Shop - Bandra Kurla Complex, Mumbai"/>
        <s v="SAZ American Brasserie"/>
        <s v="Ossoor coffee"/>
        <s v="Cafe Maharashtra"/>
        <s v="SHRI KRISHNA CHANA BHANDAR"/>
        <s v="Hi Cafe"/>
        <s v="Restaurants near me - Iranian Hub"/>
        <s v="Cafe 7 Tea"/>
        <s v="Cafe Simply Hungry"/>
        <s v="CAFE MADINA HOTEL"/>
        <s v="(Cafe Gulab) Saroj Bar and Restaurant"/>
        <s v="Vapei &amp; store smart Mumbai"/>
        <s v="Kayko Terrace Cafe"/>
        <s v="Cream Centre"/>
        <s v="Venus"/>
        <s v="Cafe Naaz Restaurant"/>
        <s v="Poetry by Love and Cheesecake, OneBKC"/>
        <s v="MOJZA Moments With Cakes"/>
        <s v="Kurla chai shop"/>
        <s v="Cst Tea &amp; Coffee"/>
        <s v="Cafe Bostan"/>
        <s v="New Star Cafe"/>
        <s v="Scoop Gelateria - Premium Italian Ice Cream (Gelato)"/>
        <s v="Cafe Gulshan"/>
        <s v="Barbeque Nation Mumbai Kurla"/>
        <s v="KICK CAFE"/>
        <s v="Backbenchers Cafeteria"/>
        <s v="Pokket cafe Ghatkopar West"/>
        <s v="Grandmama's Cafe - Ghatkopar"/>
        <s v="The Chocolate Room"/>
        <s v="Maajaamaa Cafe"/>
        <s v="Tea Trails"/>
        <s v="Bharat Cafe"/>
        <s v="Cafe Unwind by INOX R-City Ghatkopar"/>
        <s v="The Fusion Hack"/>
        <s v="Cafebeats Ghatkopar"/>
        <s v="Love &amp; Latte R-City"/>
        <s v="Krishna Cafe"/>
        <s v="TkafÃ©"/>
        <s v="Barista - Ghatkopar"/>
        <s v="CHAIGARAM Pocket Cafe Ghatkopar"/>
        <s v="Ghatkopar Social"/>
        <s v="The Dessert RepublicÂ® - Ghatkopar"/>
        <s v="Monopoly Ghatkopar"/>
        <s v="CocoCart &amp; CocoCafe R-City"/>
        <s v="We Wake Kaffee"/>
        <s v="Baithack - Taste of Kulhad, Ghatkopar"/>
        <s v="FIRE POT RESTAURANT"/>
        <s v="Monica family Restaurant&amp;Bar"/>
        <s v="Pure Milk &amp; Snacks Center"/>
        <s v="Mota Bhai Cafe"/>
        <s v="Mumbai Bites - Ghatkopar"/>
        <s v="Granville Greens (Ghatkopar)"/>
        <s v="Rameshwaram Cafe"/>
        <s v="Desire Instant Chai"/>
        <s v="CAFE VIBEZZ"/>
        <s v="B.E. Bytes"/>
        <s v="Mi FAVORITO - LA CASA DE FUSION CENAR..."/>
        <s v="Chatoree"/>
        <s v="R-Steam Hot"/>
        <s v="Bombay Island Coffee Company | Vikhroli"/>
        <s v="Le Cafe | Best European Cafe in Chembur, Mumbai"/>
        <s v="Parichai, Espress Yourself"/>
        <s v="House of delicious (Vidhyvihar)"/>
        <s v="Vishwa Bharat Fine Dine"/>
        <s v="cafe shalimar family restaurant"/>
        <s v="Pavilion Veg Restaurant"/>
        <s v="The Belgian Waffle Co."/>
        <s v="BouganVilla"/>
        <s v="Pop Tate's R-City Mall"/>
        <s v="Blossom The Fusion Spot"/>
        <s v="Khau Galli, Ghatkopar"/>
        <s v="Madras Talkies Ghatkopar East"/>
        <s v="INDIAN TOUCH"/>
        <s v="CYCLOSTOP - Cycles on Rent"/>
        <s v="Fusion Zaika"/>
        <s v="Pavis Cafe"/>
        <s v="Dâ€™CrÃªpes Cafe"/>
        <s v="Love &amp; Latte Mulund"/>
        <s v="Mastermind Bicycle Cafe &amp; Bar"/>
        <s v="TheGreenTable"/>
        <s v="Samvene The Bagel Cafe (Mulund)"/>
        <s v="Cafe ETC (Eat Talk Cherish)"/>
        <s v="The Laughter Chapter Cafe"/>
        <s v="Tea and Conversations"/>
        <s v="The Food Studio"/>
        <s v="Blue Tokai Coffee Roasters - Mulund"/>
        <s v="Bake Live Studio - Mulund"/>
        <s v="Shree Balaji's cafe"/>
        <s v="Coolhad Katta Cafe &amp; Restaurant | Best tea cafe in Mumbai"/>
        <s v="Cafe Cypress"/>
        <s v="CafÃ© Gup-shup"/>
        <s v="L'amor"/>
        <s v="Pop Tate's R Mall Mulund"/>
        <s v="TIAMO CAFFE &amp; BAR"/>
        <s v="The Playce: Coworking, Events &amp; Cafe"/>
        <s v="Achija Mulund"/>
        <s v="Make My Day"/>
        <s v="Cakes N Chemistry - Custom Cakes &amp; Bakery"/>
        <s v="Dessertwale"/>
        <s v="CAFE MUMBAI-80"/>
        <s v="Chaayos Cafe at Runwal Greens"/>
        <s v="R-Steam Hot (AC)"/>
        <s v="The Food Town"/>
        <s v="Kadam's Cafe"/>
        <s v="The Belgian Waffle Co"/>
        <s v="College kattaa cafe - Best cafe in Mulund East"/>
        <s v="Baithack Yogi Hills"/>
        <s v="Sandeep Restaurant &amp; bar"/>
        <s v="Play Cafe"/>
        <s v="The House of Bakers"/>
        <s v="Cafe Point veg&amp;nonveg"/>
        <s v="Udupi 2 Mumbai"/>
        <s v="Delhi Se - Mulund"/>
        <s v="Pan Di Tikki - PDT"/>
        <s v="HotBox Cafe"/>
        <s v="CYBER CAFE AND GAMING ZONE"/>
        <s v="Bustling Brew Bistro Cafe"/>
        <s v="Thambbi Veg Restaurant"/>
        <s v="Sabby's Cafe"/>
        <s v="HOUSE OF DELICIOUS"/>
        <s v="MG - South Indian Restaurant in Mulund"/>
        <s v="Brewomagic Cafe"/>
        <s v="Delhi Hub"/>
        <s v="Supreme the gaming cafe"/>
        <s v="Grass And Gossips"/>
        <s v="Tea Villa Cafe"/>
        <s v="70beans"/>
        <s v="Contigo Cafe"/>
        <s v="Cafe creme vashi"/>
        <s v="Seventh Sky By Cafe Palm Atlantis"/>
        <s v="91 Palm Beach Cafe"/>
        <s v="Budget Cafe"/>
        <s v="The Rooftop by Yogi Executive"/>
        <s v="Shri Arya Cafe"/>
        <s v="House Of Lords"/>
        <s v="TALES OVER BEANS CAFE"/>
        <s v="Cococart &amp; Cafe (Inorbit Mall)"/>
        <s v="Oriano by darioâ€™s"/>
        <s v="Vashi SOCIAL"/>
        <s v="Bulls and Traders Cafe | BTC Cafe"/>
        <s v="Cafe Vihar"/>
        <s v="Vicky's Cafe"/>
        <s v="Vashi Navi mumbai"/>
        <s v="Cult Lounge"/>
        <s v="Pot Pourri Eat &amp; Drinkery"/>
        <s v="IBIZA Restobar &amp; Cafe"/>
        <s v="The Union Bar and Eating House"/>
        <s v="Kingsman Experience"/>
        <s v="aves art cafÃ©"/>
        <s v="Chaayos Cafe at Inorbit"/>
        <s v="Pop Tate's Inorbit Mall Vashi"/>
        <s v="Pop Tate's Vashi"/>
        <s v="Caspers Bar and Kitchen"/>
        <s v="Kerala House"/>
        <s v="abCoffee Akshar Business Park Vashi"/>
        <s v="Tight"/>
        <s v="Nau Se Barah"/>
        <s v="La Crosta"/>
        <s v="Aroma Chai &amp; Snacks Cafe (Sanpada)"/>
        <s v="Royal Oak Brewery"/>
        <s v="Combo Jumbo: Best Veg Restaurants in Vashi Navi Mumbai"/>
        <s v="Funshala cafe"/>
        <s v="Gupta Sandwich"/>
        <s v="Chenab"/>
        <s v="La Cassa"/>
        <s v="Achija"/>
        <s v="Cafe Te Amo"/>
        <s v="Cafe Creme sanpada"/>
        <s v="Big B's Vashi"/>
        <s v="Desire CafÃ© - Instant Chai Maza Aajaye"/>
        <s v="The Bombay Kinng Cafe"/>
        <s v="JIMIS BURGER Â® - Vashi"/>
        <s v="The Regenza by Tunga"/>
        <s v="Urban Tadka [Vashi, InOrbit Mall]"/>
        <s v="Chaai Centre CafÃ© &amp; Co-working"/>
        <s v="Cafe N Cream"/>
        <s v="Idlamma"/>
        <s v="Nagori GM Shikara Tea"/>
        <s v="CafÃ© Irani"/>
        <s v="Soy Street"/>
        <s v="Legends Cafe"/>
        <s v="The Stone Age Cafe"/>
        <s v="Forks and spoons 51"/>
        <s v="MAISON DE CAFÃ‰"/>
        <s v="90'S KATTA Cafe"/>
        <s v="Vintage Coffee Cafe"/>
        <s v="OCD-Obsessive Coffee Disorder"/>
        <s v="CAFE CHAI BAZAAR"/>
        <s v="Cafe Seawoodss"/>
        <s v="EIGHTEEN PLUS CAFE"/>
        <s v="Cafe Creme nerul"/>
        <s v="Earth Soul Cafe"/>
        <s v="The Pop's CafÃ© - Chinese Food and CafÃ©"/>
        <s v="CAFE CREEMY"/>
        <s v="Offline cafe"/>
        <s v="CREAMY COOL Nerul"/>
        <s v="Aroma Chai &amp; Snacks Cafe in Seawoods"/>
        <s v="Courtyard Pavilion"/>
        <s v="Aroma Chai &amp; Snacks Cafe (Nerul Shiravane)"/>
        <s v="Bites &amp; Brew The Fusion CafÃ©"/>
        <s v="The Atrangii House Sky Lounge"/>
        <s v="Sailors' Cafe"/>
        <s v="Blue Tokai Coffee Roasters | Seawoods Nerul"/>
        <s v="Shree Nerul Cafe"/>
        <s v="Big Boy Cake and Bakers/ GOAT Coffee Company"/>
        <s v="Olde Baileys Cafeâ„¢"/>
        <s v="The Cafe Hangout (Fast Food)"/>
        <s v="Treat and bite"/>
        <s v="Coffee By Di Bella Belapur"/>
        <s v="Brew House Cafe"/>
        <s v="Swords cafe"/>
        <s v="Cafe Crew"/>
        <s v="Chaayos Cafe at Seawoods Grand Central Mall"/>
        <s v="Mocha Kaffee, Seawoods"/>
        <s v="Huddle &amp; Score"/>
        <s v="CAFE ONE THREE ONE"/>
        <s v="Aroma Chai &amp; Snacks Cafe (Juinagar)"/>
        <s v="TFB - THE FRY BOX"/>
        <s v="Dish n Dash KafÃ©"/>
        <s v="Chaat Cafe"/>
        <s v="Parsik Adda"/>
        <s v="Keventers - Seawoods, Mumbai"/>
        <s v="Panache"/>
        <s v="SKETCH The Cafe"/>
        <s v="CAFE ZEST"/>
        <s v="Cafe 131"/>
        <s v="apple zaffran cafe"/>
        <s v="PizzaExpress"/>
        <s v="Hugs And Mugs"/>
        <s v="Lake Side - Cafe &amp; Eatery"/>
        <s v="Cafe Creme New Panvel"/>
        <s v="The trio delight cafe"/>
        <s v="CafeConfused"/>
        <s v="Cafe Cheezy Bites"/>
        <s v="Mumbai Culture Cafe"/>
        <s v="the wonders cafe"/>
        <s v="The Social - Bistro &amp; Cafe"/>
        <s v="Cafe 3D"/>
        <s v="CafÃ¨ Recycled"/>
        <s v="Grub Box Cafe &amp; Bistro"/>
        <s v="Cafe Nine"/>
        <s v="Twins Cafe"/>
        <s v="46 cafe"/>
        <s v="NJ Cafe"/>
        <s v="Brewlogist cafÃ©"/>
        <s v="Mount View Cafe &amp; Bistro"/>
        <s v="Cafe Creme"/>
        <s v="Cafe Woodstanza"/>
        <s v="Cafe Chokolade"/>
        <s v="Big Daddy Cafe and Lounge"/>
        <s v="The Ace Cafe"/>
        <s v="Addicted cafe"/>
        <s v="Breezy"/>
        <s v="Engineer Da Cafe"/>
        <s v="Cj's Cafe"/>
        <s v="THE BOMBAY FRIES PANVEL"/>
        <s v="Bob The Baker's Cafe"/>
        <s v="Cake and cafe"/>
        <s v="Snowbite cafe"/>
        <s v="Spice Wadi"/>
        <s v="Kanjee Cafe"/>
        <s v="Tealogy"/>
        <s v="CHOCOLATE CLOUD CAFE"/>
        <s v="The Poolside Restro"/>
        <s v="Friends cafe"/>
        <s v="CITY CAFE"/>
        <s v="My Baagaan"/>
        <s v="CAFE GARAGE"/>
        <s v="TAC-TiX"/>
        <s v="Barbeque Nation - Mumbai - Panvel"/>
        <s v="Cafe Creme Karanjade"/>
        <s v="Cafe Bubble Gum"/>
        <s v="Red Box Cafe"/>
        <s v="BUDDHA CAFE"/>
        <s v="Dynabite Cafe"/>
        <s v="Sagar Kitchen, Banquet and Bar"/>
        <s v="DP's Cafe"/>
        <s v="Hungry Buds, Cafe n Chinese Cuisine"/>
        <s v="Dream Cafe"/>
        <s v="Panvel Upahar Gruha"/>
        <s v="Malvan Tadka"/>
        <s v="The Courtyard Cafe"/>
        <s v="Cafe Monza"/>
        <s v="Biker's Brewing CafÃ©"/>
        <s v="Brewers Bay"/>
        <s v="YVR CafÃ©"/>
        <s v="The Coffee Bistro"/>
        <s v="Vivace Cafe"/>
        <s v="La Farine Patisserie and Cafe"/>
        <s v="Cafe Creme Kharghar"/>
        <s v="Mocha Kaffee"/>
        <s v="Blumingo Art Cafe Kharghar"/>
        <s v="Chaayos Cafe at Kharghar"/>
        <s v="OdÃ³s Kaffeina"/>
        <s v="Roadies Koffeehouz"/>
        <s v="Cafe Connect Kharghar"/>
        <s v="Vibes Cafe Kharghar"/>
        <s v="Grand century restaurant and cafe"/>
        <s v="Barista - Kharghar"/>
        <s v="Swords Cafe Kharghar"/>
        <s v="Cafe Foodies Club"/>
        <s v="The SMOQUE Cafe'"/>
        <s v="CafÃ© CrÃ¨me"/>
        <s v="MUMBAI BISTRO - THE CAFE (KHARGHAR)"/>
        <s v="Olde Baileys Cafe"/>
        <s v="METRO MOCHA CAFE â˜•ï¸"/>
        <s v="Deep's cafe"/>
        <s v="Utsav Momo Cafe"/>
        <s v="3Wicket Cafe"/>
        <s v="Chai matki cafe"/>
        <s v="Tata Starbucks"/>
        <s v="Bubble Trouble by Cakes &amp; Candies (Bubble Tea, Boba Tea) / Kharghar"/>
        <s v="Momo magic cafe"/>
        <s v="Sandwich Junction Kharghar - The best Sandwich shop in Navi Mumbai"/>
        <s v="Retro Cafe"/>
        <s v="M.I.B - Modern Indian Bistro"/>
        <s v="The Flame Cafe"/>
        <s v="Saias The Food Library"/>
        <s v="LOKAL CAFE &amp; BISTRO"/>
        <s v="MiNi Treats"/>
        <s v="Grace Restaurant Kharghar"/>
        <s v="TM Kitchen Kharghar"/>
        <s v="Pranaam Fine Dine &amp; Banquets"/>
        <s v="Heaven &amp; Herbs"/>
        <s v="Grabrews Cold Coffee &amp; Shakes"/>
        <s v="Cafe Istaa"/>
        <s v="Raj Parota Stall"/>
        <s v="Citizen restaurant"/>
        <s v="THE FOOD STUDIO Kitchen And BAR"/>
        <s v="Cafe Arfa Hotel"/>
        <s v="Hotel Cafe Rahi"/>
        <s v="SANSAR HOTEL"/>
        <s v="New Hotel Selvi"/>
        <s v="Tasty Parota Corner"/>
        <s v="Cafe Milan Restaurant"/>
        <s v="Jhakas Family Restaurant"/>
        <s v="Cafe Rahat"/>
        <s v="Sunder Vilas"/>
        <s v="Saheel Restaurant"/>
        <s v="Rehmat Restaurant &amp; Caterers"/>
        <s v="ARIK RESTAURANT"/>
        <s v="Dharavi Restaurant"/>
        <s v="Cafe Milan Hotel"/>
        <s v="Modern Lunch Home"/>
        <s v="Malhari Chai(Azhari Cafe)"/>
        <s v="New Welcome Tea"/>
        <s v="New Cafe Bharath"/>
        <s v="Jennifer Cyber Cafe"/>
        <s v="Sai Dream Cyber Cafe"/>
        <s v="Bismillah Restaurant"/>
        <s v="Food lee's"/>
        <s v="Usmaniya Restaurant"/>
        <s v="Abhinav Family Bar and Reasaurant"/>
        <s v="CAFE INDIA"/>
        <s v="Cafe Zam Zam"/>
        <s v="SHABNAM TEA HOUSE"/>
        <s v="Labour Camp Irani Restaurant"/>
        <s v="Humble Express"/>
        <s v="Devraj Bar &amp; Restaurant"/>
        <s v="Gurukripa"/>
        <s v="Cafe Azeez"/>
        <s v="Kareemi Restaurant"/>
        <s v="New Sahil Restaurant"/>
        <s v="Victory Cafe"/>
        <s v="Cafe Junction Veg And Nonveg"/>
        <s v="Noor Mohammadi Restaurant Dharavi"/>
        <s v="Cafe Golden Sweets &amp; Milk Dairy"/>
        <s v="Sudarshan Veg &amp; Non Veg"/>
        <s v="ZAM ZAM RESTAURANT"/>
        <s v="Apna family restaurant"/>
        <s v="Blue Tokai Coffee Roasters | Powai"/>
        <s v="Chaayos Cafe - Hiranandani, Powai"/>
        <s v="Lake View Cafe"/>
        <s v="CAFE DNA POWAI"/>
        <s v="Powai Social"/>
        <s v="SHIRUCAFE IIT Bombay"/>
        <s v="Madeira &amp; Mime Powai"/>
        <s v="abCoffee Powai"/>
        <s v="Cafe 92"/>
        <s v="Mia Cucina"/>
        <s v="The Sassy Spoon Powai"/>
        <s v="Theobroma Bakery and Cake Shop - Powai, Mumbai"/>
        <s v="The Finch Mumbai"/>
        <s v="Bayroute Powai"/>
        <s v="ARC Powai â”‚Lounge â€¢ Rooftop"/>
        <s v="Travancore Cafe"/>
        <s v="SMOOR Lounge - Powai"/>
        <s v="Eve"/>
        <s v="Rude Lounge"/>
        <s v="The 2nd wife cafÃ© &amp; restaurant"/>
        <s v="Hitchki Powai"/>
        <s v="The Game Ranch"/>
        <s v="Cafe coffee day (CCD)"/>
        <s v="Mirchi &amp; Mime"/>
        <s v="Yuhi"/>
        <s v="Blue Tokai Coffee Roasters | Nahar"/>
        <s v="Foo Powai"/>
        <s v="Civil Engineering Students Lounge and Cafe"/>
        <s v="POMONACafe"/>
        <s v="THE WADAPAV CAFE - ELITE"/>
        <s v="Sandwich Coffee House"/>
        <s v="Chili's American Grill &amp; Bar"/>
        <s v="Independence Brewing Company - Powai"/>
        <s v="Birdy's Bakery &amp; Patisserie"/>
        <s v="Mantra Dining Bar"/>
        <s v="Chaayos Cafe at IIT Bombay"/>
        <s v="maplepods@mumbai"/>
        <s v="Sesami"/>
        <s v="Hangout Cakes &amp; Gourmet Foods"/>
        <s v="Sassy Teaspoon"/>
        <s v="ChEA canteen"/>
        <s v="Origami Japanese &amp; Korean Restaurant"/>
        <s v="Grandmama's All Day Cafe"/>
        <s v="71 TALES - BAR &amp; CAFE"/>
        <s v="Blue Tokai Coffee Roasters | Chembur"/>
        <s v="NÃº-tree Smoothies Cafe"/>
        <s v="Shy Cafe and Bar"/>
        <s v="Tulum Coffee Bar - Chembur"/>
        <s v="The Bread Bar"/>
        <s v="Cafenately Coffee - Chembur"/>
        <s v="Chembur cafe &amp; Hotel"/>
        <s v="Gregâ€™s Cafe"/>
        <s v="Kerala Cafe"/>
        <s v="Chembur SOCIAL"/>
        <s v="Cafe Old Friends"/>
        <s v="Bean Kaffee"/>
        <s v="The East End Deli"/>
        <s v="Bloom Cafe"/>
        <s v="Karma Sheesha and Restaurant, Chembur"/>
        <s v="The Art Cafe"/>
        <s v="THE AMORE CAFE"/>
        <s v="Coffee Capital"/>
        <s v="R S Mani Cafe"/>
        <s v="Dessert Cloud"/>
        <s v="Nxt-Lvl All day : chembur"/>
        <s v="Blend N Brew"/>
        <s v="Paan world cafe"/>
        <s v="Theobroma Bakery and Cake Shop - Chembur, Mumbai"/>
        <s v="Cafe Amar"/>
        <s v="Hashtag Kulhad"/>
        <s v="Spice Laundry"/>
        <s v="Mist cafe and lounge"/>
        <s v="cafe quba"/>
        <s v="Coffee TakeAway"/>
        <s v="Cafe Udipi"/>
        <s v="Sukoon parlour"/>
        <s v="Crazy for chai| Best Cafe In Tilaknagar | Fast Food Joint | Best Chai Spot"/>
        <s v="Kyros Cafe"/>
        <s v="Yewale Amruttulya"/>
        <s v="Just One More Game (The Gaming Cafe)"/>
        <s v="CAFE ALVI"/>
        <s v="We &amp; Our Ventures (Cafenately Coffee - Head Office)"/>
        <s v="The Cafe Hangout"/>
        <s v="FREEZEIT"/>
        <s v="abCoffee Chembur"/>
        <s v="Tirumala cafe"/>
        <s v="The cafe club"/>
        <s v="Brasserie 1935 Kitchen &amp; Bar"/>
        <s v="Hardeep Punjab (Sion Koliwada)"/>
        <s v="New Madras Lunch Home"/>
        <s v="Sion Lunch Home"/>
        <s v="Cafe Vrindavan"/>
        <s v="Food"/>
        <s v="Central Peninsula"/>
        <s v="Peninsula"/>
        <s v="Hanuman Veg Restaurant"/>
        <s v="A1 Samosa"/>
        <s v="New Cuffe Parade Social"/>
        <s v="The Central Bistro"/>
        <s v="Messy Addaa"/>
        <s v="Jagdish family restaurant &amp; bar"/>
        <s v="Thaggu cafe"/>
        <s v="Sardar Paya House (Papu Payawala)"/>
        <s v="Sion Irani"/>
        <s v="McDonald's"/>
        <s v="Gurukrupa Sandwich"/>
        <s v="LevelUp The Next Gen Gaming Cafe"/>
        <s v="Hotel Ganga Vihar Sion"/>
        <s v="Oh My Tea"/>
        <s v="Hazara Restaurant &amp; Bar"/>
        <s v="Cafe kailas"/>
        <s v="Chaayos Cafe at Lodha Wadala"/>
        <s v="Mani's Lunch Home"/>
        <s v="Amrut Restaurant and Bar"/>
        <s v="abCoffee Matunga"/>
        <s v="OVEN PLUS BISTRO"/>
        <s v="Ram Ashraya"/>
        <s v="Cafe Blue J"/>
        <s v="Cafe Kokomo"/>
        <s v="Santosh Beer Bar"/>
        <s v="Chai Sutta Bar"/>
        <s v="The Forest Walas"/>
        <s v="Sion Restaurant and Stores"/>
        <s v="Hotel Ramdev"/>
        <s v="Himalaya Restaurant"/>
        <s v="Street 528"/>
        <s v="The Happyy Cup Cafe, Thane"/>
        <s v="Cafe Amigos"/>
        <s v="Love Leaf Cafe"/>
        <s v="Love &amp; Latte Thane"/>
        <s v="Brunch Bar Cafe"/>
        <s v="Chai Yaari"/>
        <s v="The Chocolate Bar"/>
        <s v="FRUITANIC"/>
        <s v="Lake Woods Cafe (LWC) | Best Cafe in Thane | Best Restaurants in Thane | Best Restaurants Near Me | Best Cafe Near Me"/>
        <s v="Coffee Culture - The Ristorante Lounge , Thane"/>
        <s v="Samvene The Bagel Cafe (Panchpakadi, Thane)"/>
        <s v="Cafe Buddyâ€™s Espresso- Best Cafe in Thane"/>
        <s v="Cafe Holiday Thane"/>
        <s v="The Bermuda Triangle Cafe"/>
        <s v="Cafe Rasna Buzz Thane"/>
        <s v="Thhikana cafe"/>
        <s v="Kill No Kalorie"/>
        <s v="Irani Chaiko's"/>
        <s v="Manis Cafe"/>
        <s v="Cafe Hawaii Kona"/>
        <s v="The One Storyy Bistro"/>
        <s v="Mojito Cafe"/>
        <s v="Blue Tokai Coffee Roasters | Acme Ozone"/>
        <s v="Peach Tree Cafe"/>
        <s v="D'CREPES CAFE"/>
        <s v="Cafe Relish Meadows"/>
        <s v="RATS Bikers CafÃ©"/>
        <s v="Blue Tokai Coffee Roasters | Hiranandani Estate"/>
        <s v="Teapsy Cafe"/>
        <s v="CAFE DEZIRE"/>
        <s v="Bean Theory Coffee"/>
        <s v="Frusion - Pressery &amp; Cafe"/>
        <s v="Cafe BunTea"/>
        <s v="Gen z- cafe"/>
        <s v="Umami Cafe"/>
        <s v="Captain Cool"/>
        <s v="Cafe tiya (Thane)"/>
        <s v="Cafe Anecdote"/>
        <s v="Lets Chill Cafe"/>
        <s v="Cafe India Restaurant"/>
        <s v="Thane SOCIAL"/>
        <s v="Loud 9 Cafe n Lounge"/>
        <s v="Chaayos Cafe at The Walk"/>
        <s v="MUMBAI CAFE, Pure Veg"/>
        <s v="Cafe kp"/>
        <s v="Samvene The Bagel Cafe (Hiranandani Meadows)"/>
        <s v="Chaayos Cafe - Viviana Mall, Thane"/>
        <s v="abCoffee Thane Kolshet"/>
        <s v="Coffee Toffee"/>
        <s v="Parsik cafe"/>
        <s v="Aroma Chai &amp; Snacks Cafe (Thane)"/>
      </sharedItems>
    </cacheField>
    <cacheField name="Rating" numFmtId="0">
      <sharedItems containsSemiMixedTypes="0" containsString="0" containsNumber="1" minValue="0" maxValue="5" count="21">
        <n v="4.2"/>
        <n v="4.3"/>
        <n v="4.4000000000000004"/>
        <n v="3.9"/>
        <n v="4.5999999999999996"/>
        <n v="4.8"/>
        <n v="4.5"/>
        <n v="4"/>
        <n v="4.0999999999999996"/>
        <n v="3.7"/>
        <n v="5"/>
        <n v="3.6"/>
        <n v="3.8"/>
        <n v="4.9000000000000004"/>
        <n v="4.7"/>
        <n v="3.5"/>
        <n v="2.9"/>
        <n v="0"/>
        <n v="3"/>
        <n v="3.4"/>
        <n v="3.2"/>
      </sharedItems>
    </cacheField>
    <cacheField name="Total Ratings" numFmtId="0">
      <sharedItems containsSemiMixedTypes="0" containsString="0" containsNumber="1" containsInteger="1" minValue="0" maxValue="35428" count="746">
        <n v="1203"/>
        <n v="29972"/>
        <n v="3443"/>
        <n v="2868"/>
        <n v="1283"/>
        <n v="4578"/>
        <n v="6192"/>
        <n v="9490"/>
        <n v="3447"/>
        <n v="4955"/>
        <n v="1136"/>
        <n v="542"/>
        <n v="1395"/>
        <n v="3926"/>
        <n v="166"/>
        <n v="1747"/>
        <n v="668"/>
        <n v="3798"/>
        <n v="335"/>
        <n v="748"/>
        <n v="1251"/>
        <n v="7038"/>
        <n v="1907"/>
        <n v="2111"/>
        <n v="128"/>
        <n v="3057"/>
        <n v="2871"/>
        <n v="373"/>
        <n v="1264"/>
        <n v="690"/>
        <n v="3434"/>
        <n v="804"/>
        <n v="4278"/>
        <n v="2316"/>
        <n v="478"/>
        <n v="4866"/>
        <n v="1439"/>
        <n v="139"/>
        <n v="66"/>
        <n v="157"/>
        <n v="689"/>
        <n v="24277"/>
        <n v="9027"/>
        <n v="3004"/>
        <n v="1197"/>
        <n v="58"/>
        <n v="2503"/>
        <n v="110"/>
        <n v="1569"/>
        <n v="2950"/>
        <n v="965"/>
        <n v="466"/>
        <n v="16"/>
        <n v="1239"/>
        <n v="197"/>
        <n v="96"/>
        <n v="606"/>
        <n v="937"/>
        <n v="1130"/>
        <n v="921"/>
        <n v="306"/>
        <n v="27"/>
        <n v="1431"/>
        <n v="501"/>
        <n v="997"/>
        <n v="2742"/>
        <n v="4235"/>
        <n v="1897"/>
        <n v="2996"/>
        <n v="2399"/>
        <n v="29"/>
        <n v="2692"/>
        <n v="3015"/>
        <n v="94"/>
        <n v="7287"/>
        <n v="141"/>
        <n v="660"/>
        <n v="163"/>
        <n v="698"/>
        <n v="3225"/>
        <n v="46"/>
        <n v="279"/>
        <n v="13597"/>
        <n v="1105"/>
        <n v="144"/>
        <n v="101"/>
        <n v="138"/>
        <n v="5385"/>
        <n v="420"/>
        <n v="330"/>
        <n v="1469"/>
        <n v="619"/>
        <n v="443"/>
        <n v="1586"/>
        <n v="134"/>
        <n v="25681"/>
        <n v="255"/>
        <n v="2934"/>
        <n v="8457"/>
        <n v="1561"/>
        <n v="1898"/>
        <n v="375"/>
        <n v="846"/>
        <n v="117"/>
        <n v="175"/>
        <n v="2687"/>
        <n v="1104"/>
        <n v="325"/>
        <n v="2130"/>
        <n v="774"/>
        <n v="92"/>
        <n v="23"/>
        <n v="17"/>
        <n v="24600"/>
        <n v="583"/>
        <n v="1392"/>
        <n v="1415"/>
        <n v="31"/>
        <n v="5790"/>
        <n v="55"/>
        <n v="4162"/>
        <n v="38"/>
        <n v="1093"/>
        <n v="251"/>
        <n v="475"/>
        <n v="611"/>
        <n v="3936"/>
        <n v="1011"/>
        <n v="30"/>
        <n v="1675"/>
        <n v="3574"/>
        <n v="25"/>
        <n v="154"/>
        <n v="258"/>
        <n v="62"/>
        <n v="176"/>
        <n v="2470"/>
        <n v="3727"/>
        <n v="2352"/>
        <n v="287"/>
        <n v="505"/>
        <n v="724"/>
        <n v="188"/>
        <n v="1817"/>
        <n v="257"/>
        <n v="675"/>
        <n v="12"/>
        <n v="215"/>
        <n v="511"/>
        <n v="3943"/>
        <n v="145"/>
        <n v="90"/>
        <n v="7730"/>
        <n v="5086"/>
        <n v="810"/>
        <n v="789"/>
        <n v="18"/>
        <n v="64"/>
        <n v="3213"/>
        <n v="206"/>
        <n v="142"/>
        <n v="109"/>
        <n v="385"/>
        <n v="190"/>
        <n v="7569"/>
        <n v="6185"/>
        <n v="2782"/>
        <n v="162"/>
        <n v="6031"/>
        <n v="5072"/>
        <n v="589"/>
        <n v="1547"/>
        <n v="637"/>
        <n v="120"/>
        <n v="290"/>
        <n v="414"/>
        <n v="507"/>
        <n v="1081"/>
        <n v="3322"/>
        <n v="6020"/>
        <n v="1526"/>
        <n v="121"/>
        <n v="48"/>
        <n v="102"/>
        <n v="582"/>
        <n v="5"/>
        <n v="975"/>
        <n v="8397"/>
        <n v="11"/>
        <n v="37"/>
        <n v="2739"/>
        <n v="71"/>
        <n v="853"/>
        <n v="6"/>
        <n v="3054"/>
        <n v="298"/>
        <n v="3809"/>
        <n v="2007"/>
        <n v="17088"/>
        <n v="1445"/>
        <n v="3019"/>
        <n v="4246"/>
        <n v="1420"/>
        <n v="967"/>
        <n v="2390"/>
        <n v="1546"/>
        <n v="2417"/>
        <n v="914"/>
        <n v="543"/>
        <n v="641"/>
        <n v="605"/>
        <n v="695"/>
        <n v="2437"/>
        <n v="2522"/>
        <n v="104"/>
        <n v="143"/>
        <n v="140"/>
        <n v="343"/>
        <n v="349"/>
        <n v="3745"/>
        <n v="2749"/>
        <n v="841"/>
        <n v="717"/>
        <n v="2070"/>
        <n v="2041"/>
        <n v="3266"/>
        <n v="968"/>
        <n v="518"/>
        <n v="4707"/>
        <n v="75"/>
        <n v="4318"/>
        <n v="261"/>
        <n v="281"/>
        <n v="189"/>
        <n v="326"/>
        <n v="783"/>
        <n v="7623"/>
        <n v="1403"/>
        <n v="704"/>
        <n v="3653"/>
        <n v="2311"/>
        <n v="80"/>
        <n v="380"/>
        <n v="2128"/>
        <n v="187"/>
        <n v="70"/>
        <n v="291"/>
        <n v="3179"/>
        <n v="2144"/>
        <n v="1373"/>
        <n v="2125"/>
        <n v="2589"/>
        <n v="1780"/>
        <n v="442"/>
        <n v="875"/>
        <n v="1248"/>
        <n v="763"/>
        <n v="2392"/>
        <n v="3561"/>
        <n v="69"/>
        <n v="1315"/>
        <n v="983"/>
        <n v="1732"/>
        <n v="2877"/>
        <n v="1740"/>
        <n v="778"/>
        <n v="158"/>
        <n v="2431"/>
        <n v="1110"/>
        <n v="958"/>
        <n v="93"/>
        <n v="91"/>
        <n v="3035"/>
        <n v="2876"/>
        <n v="2453"/>
        <n v="167"/>
        <n v="18396"/>
        <n v="431"/>
        <n v="415"/>
        <n v="156"/>
        <n v="459"/>
        <n v="1199"/>
        <n v="340"/>
        <n v="805"/>
        <n v="2721"/>
        <n v="135"/>
        <n v="1127"/>
        <n v="445"/>
        <n v="186"/>
        <n v="51"/>
        <n v="895"/>
        <n v="1037"/>
        <n v="168"/>
        <n v="100"/>
        <n v="929"/>
        <n v="3464"/>
        <n v="78"/>
        <n v="259"/>
        <n v="50"/>
        <n v="49"/>
        <n v="796"/>
        <n v="242"/>
        <n v="492"/>
        <n v="160"/>
        <n v="3749"/>
        <n v="208"/>
        <n v="648"/>
        <n v="288"/>
        <n v="35"/>
        <n v="2473"/>
        <n v="2243"/>
        <n v="1581"/>
        <n v="149"/>
        <n v="877"/>
        <n v="397"/>
        <n v="686"/>
        <n v="4463"/>
        <n v="639"/>
        <n v="308"/>
        <n v="105"/>
        <n v="1473"/>
        <n v="224"/>
        <n v="28"/>
        <n v="400"/>
        <n v="2"/>
        <n v="191"/>
        <n v="1190"/>
        <n v="1114"/>
        <n v="1"/>
        <n v="294"/>
        <n v="39"/>
        <n v="319"/>
        <n v="103"/>
        <n v="21"/>
        <n v="212"/>
        <n v="122"/>
        <n v="1794"/>
        <n v="19"/>
        <n v="1058"/>
        <n v="7"/>
        <n v="1948"/>
        <n v="1677"/>
        <n v="1001"/>
        <n v="305"/>
        <n v="673"/>
        <n v="626"/>
        <n v="2009"/>
        <n v="1536"/>
        <n v="2072"/>
        <n v="1648"/>
        <n v="2993"/>
        <n v="3062"/>
        <n v="361"/>
        <n v="1323"/>
        <n v="235"/>
        <n v="115"/>
        <n v="2029"/>
        <n v="1622"/>
        <n v="1216"/>
        <n v="1380"/>
        <n v="4966"/>
        <n v="483"/>
        <n v="540"/>
        <n v="67"/>
        <n v="205"/>
        <n v="57"/>
        <n v="2109"/>
        <n v="317"/>
        <n v="40"/>
        <n v="26"/>
        <n v="1861"/>
        <n v="1399"/>
        <n v="3345"/>
        <n v="849"/>
        <n v="1155"/>
        <n v="2216"/>
        <n v="147"/>
        <n v="213"/>
        <n v="1036"/>
        <n v="34"/>
        <n v="390"/>
        <n v="9310"/>
        <n v="13"/>
        <n v="1240"/>
        <n v="2570"/>
        <n v="1556"/>
        <n v="1169"/>
        <n v="2002"/>
        <n v="742"/>
        <n v="2253"/>
        <n v="52"/>
        <n v="283"/>
        <n v="646"/>
        <n v="554"/>
        <n v="1594"/>
        <n v="2600"/>
        <n v="1394"/>
        <n v="5139"/>
        <n v="170"/>
        <n v="43"/>
        <n v="399"/>
        <n v="42"/>
        <n v="54"/>
        <n v="6129"/>
        <n v="177"/>
        <n v="1573"/>
        <n v="1198"/>
        <n v="47"/>
        <n v="0"/>
        <n v="8"/>
        <n v="44"/>
        <n v="617"/>
        <n v="594"/>
        <n v="3"/>
        <n v="523"/>
        <n v="10"/>
        <n v="79"/>
        <n v="63"/>
        <n v="4159"/>
        <n v="533"/>
        <n v="1368"/>
        <n v="357"/>
        <n v="1699"/>
        <n v="2538"/>
        <n v="127"/>
        <n v="491"/>
        <n v="9790"/>
        <n v="172"/>
        <n v="131"/>
        <n v="786"/>
        <n v="808"/>
        <n v="65"/>
        <n v="286"/>
        <n v="83"/>
        <n v="185"/>
        <n v="130"/>
        <n v="126"/>
        <n v="401"/>
        <n v="630"/>
        <n v="10076"/>
        <n v="428"/>
        <n v="2056"/>
        <n v="150"/>
        <n v="832"/>
        <n v="249"/>
        <n v="739"/>
        <n v="2307"/>
        <n v="284"/>
        <n v="3152"/>
        <n v="504"/>
        <n v="1388"/>
        <n v="927"/>
        <n v="2219"/>
        <n v="33"/>
        <n v="5001"/>
        <n v="993"/>
        <n v="1854"/>
        <n v="513"/>
        <n v="416"/>
        <n v="1529"/>
        <n v="1791"/>
        <n v="358"/>
        <n v="2549"/>
        <n v="354"/>
        <n v="256"/>
        <n v="1374"/>
        <n v="1585"/>
        <n v="7458"/>
        <n v="266"/>
        <n v="151"/>
        <n v="155"/>
        <n v="1501"/>
        <n v="193"/>
        <n v="119"/>
        <n v="5101"/>
        <n v="779"/>
        <n v="1000"/>
        <n v="3221"/>
        <n v="226"/>
        <n v="324"/>
        <n v="719"/>
        <n v="123"/>
        <n v="53"/>
        <n v="1061"/>
        <n v="2196"/>
        <n v="1856"/>
        <n v="769"/>
        <n v="1621"/>
        <n v="703"/>
        <n v="3157"/>
        <n v="72"/>
        <n v="848"/>
        <n v="99"/>
        <n v="845"/>
        <n v="2035"/>
        <n v="522"/>
        <n v="233"/>
        <n v="514"/>
        <n v="2445"/>
        <n v="15"/>
        <n v="436"/>
        <n v="22"/>
        <n v="1763"/>
        <n v="1187"/>
        <n v="2370"/>
        <n v="1246"/>
        <n v="658"/>
        <n v="95"/>
        <n v="1724"/>
        <n v="2331"/>
        <n v="82"/>
        <n v="1296"/>
        <n v="4193"/>
        <n v="2550"/>
        <n v="113"/>
        <n v="3080"/>
        <n v="1567"/>
        <n v="3862"/>
        <n v="835"/>
        <n v="4769"/>
        <n v="1133"/>
        <n v="112"/>
        <n v="920"/>
        <n v="1040"/>
        <n v="6337"/>
        <n v="5040"/>
        <n v="2532"/>
        <n v="383"/>
        <n v="250"/>
        <n v="1577"/>
        <n v="5593"/>
        <n v="4911"/>
        <n v="1618"/>
        <n v="4544"/>
        <n v="6536"/>
        <n v="356"/>
        <n v="1180"/>
        <n v="348"/>
        <n v="209"/>
        <n v="14"/>
        <n v="263"/>
        <n v="192"/>
        <n v="237"/>
        <n v="124"/>
        <n v="1160"/>
        <n v="20"/>
        <n v="241"/>
        <n v="384"/>
        <n v="152"/>
        <n v="2630"/>
        <n v="1068"/>
        <n v="322"/>
        <n v="201"/>
        <n v="1599"/>
        <n v="565"/>
        <n v="2443"/>
        <n v="487"/>
        <n v="488"/>
        <n v="89"/>
        <n v="1120"/>
        <n v="114"/>
        <n v="132"/>
        <n v="171"/>
        <n v="4259"/>
        <n v="539"/>
        <n v="464"/>
        <n v="692"/>
        <n v="4"/>
        <n v="1273"/>
        <n v="851"/>
        <n v="730"/>
        <n v="194"/>
        <n v="183"/>
        <n v="181"/>
        <n v="1301"/>
        <n v="1167"/>
        <n v="108"/>
        <n v="496"/>
        <n v="182"/>
        <n v="98"/>
        <n v="41"/>
        <n v="402"/>
        <n v="84"/>
        <n v="24"/>
        <n v="602"/>
        <n v="782"/>
        <n v="118"/>
        <n v="1396"/>
        <n v="211"/>
        <n v="3839"/>
        <n v="502"/>
        <n v="310"/>
        <n v="2010"/>
        <n v="643"/>
        <n v="4161"/>
        <n v="1201"/>
        <n v="1632"/>
        <n v="667"/>
        <n v="398"/>
        <n v="339"/>
        <n v="73"/>
        <n v="260"/>
        <n v="243"/>
        <n v="936"/>
        <n v="68"/>
        <n v="821"/>
        <n v="1194"/>
        <n v="1008"/>
        <n v="56"/>
        <n v="1702"/>
        <n v="232"/>
        <n v="61"/>
        <n v="378"/>
        <n v="1331"/>
        <n v="311"/>
        <n v="200"/>
        <n v="106"/>
        <n v="935"/>
        <n v="4460"/>
        <n v="3106"/>
        <n v="76"/>
        <n v="759"/>
        <n v="295"/>
        <n v="366"/>
        <n v="1096"/>
        <n v="303"/>
        <n v="1381"/>
        <n v="2387"/>
        <n v="32"/>
        <n v="3187"/>
        <n v="1427"/>
        <n v="236"/>
        <n v="1095"/>
        <n v="35428"/>
        <n v="482"/>
        <n v="9381"/>
        <n v="2129"/>
        <n v="4099"/>
        <n v="7350"/>
        <n v="4372"/>
        <n v="736"/>
        <n v="6775"/>
        <n v="333"/>
        <n v="1327"/>
        <n v="4025"/>
        <n v="4794"/>
        <n v="3358"/>
        <n v="850"/>
        <n v="342"/>
        <n v="2632"/>
        <n v="16998"/>
        <n v="352"/>
        <n v="11298"/>
        <n v="749"/>
        <n v="316"/>
        <n v="12095"/>
        <n v="866"/>
        <n v="9186"/>
        <n v="36"/>
        <n v="7739"/>
        <n v="1233"/>
        <n v="4724"/>
        <n v="1671"/>
        <n v="10165"/>
        <n v="1460"/>
        <n v="346"/>
        <n v="453"/>
        <n v="664"/>
        <n v="644"/>
        <n v="1338"/>
        <n v="2057"/>
        <n v="278"/>
        <n v="1417"/>
        <n v="413"/>
        <n v="1225"/>
        <n v="1235"/>
        <n v="3269"/>
        <n v="1777"/>
        <n v="2583"/>
        <n v="1440"/>
        <n v="207"/>
        <n v="2578"/>
        <n v="299"/>
        <n v="1788"/>
        <n v="2062"/>
        <n v="293"/>
        <n v="369"/>
        <n v="1590"/>
        <n v="9"/>
        <n v="5746"/>
        <n v="508"/>
        <n v="5013"/>
        <n v="228"/>
        <n v="3037"/>
        <n v="4073"/>
        <n v="4236"/>
        <n v="2281"/>
        <n v="219"/>
        <n v="1424"/>
        <n v="275"/>
        <n v="1829"/>
        <n v="5234"/>
        <n v="946"/>
        <n v="97"/>
        <n v="772"/>
        <n v="758"/>
        <n v="553"/>
        <n v="133"/>
        <n v="32304"/>
        <n v="146"/>
        <n v="245"/>
        <n v="1237"/>
        <n v="1540"/>
        <n v="887"/>
        <n v="341"/>
        <n v="3283"/>
        <n v="995"/>
        <n v="2132"/>
        <n v="942"/>
        <n v="463"/>
        <n v="10672"/>
        <n v="520"/>
        <n v="1444"/>
        <n v="86"/>
        <n v="318"/>
        <n v="433"/>
        <n v="1842"/>
        <n v="1158"/>
        <n v="840"/>
        <n v="714"/>
        <n v="559"/>
        <n v="795"/>
        <n v="164"/>
        <n v="3200"/>
        <n v="196"/>
        <n v="314"/>
        <n v="2740"/>
        <n v="640"/>
        <n v="153"/>
        <n v="45"/>
        <n v="1073"/>
        <n v="161"/>
        <n v="1430"/>
        <n v="302"/>
        <n v="1215"/>
        <n v="484"/>
      </sharedItems>
    </cacheField>
    <cacheField name="Address" numFmtId="0">
      <sharedItems count="1079">
        <s v="Sentinel House, Ground Floor, Arthur Bunder Rd, Azmi Street, Colaba, Mumbai, Maharashtra 400005, India"/>
        <s v="Police Station, Shahid Bhagat Singh Road, Colaba Causeway, near Colaba, Mumbai, Maharashtra 400001, India"/>
        <s v="25, PJ Ramchandani Marg, Apollo Bandar, Colaba, Mumbai, Maharashtra 400001, India"/>
        <s v="East West Court Building, Colaba Causeway, Apollo Bandar, Colaba, Mumbai, Maharashtra 400001, India"/>
        <s v="Mag St., 4, Mandlik Rd, Apollo Bandar, Colaba, Mumbai, Maharashtra 400001, India"/>
        <s v="Metro House, Colaba Causeway, near Regal Cinema, Apollo Bandar, Colaba, Mumbai, Maharashtra 400001, India"/>
        <s v="Rahim Mansion, 1, Shahid Bhagat Singh Rd, Scindia Society, Police Colony, Apollo Bandar, Colaba, Mumbai, Maharashtra 400039, India"/>
        <s v="B K Boman Behram Marg Shop 24, Ground Floor, Apollo Bandar, Colaba, Mumbai, Maharashtra 400001, India"/>
        <s v="WRHJ+6XF, Chamber of Commerce Ln, Kala Ghoda, Fort, Mumbai, Maharashtra 400001, India"/>
        <s v="10, Rope Walk Ln, Kala Ghoda, Fort, Mumbai, Maharashtra 400001, India"/>
        <s v="Fort Foundation Building, Bake House Ln, Kala Ghoda, Fort, Mumbai, Maharashtra 400001, India"/>
        <s v="First Floor, Kamal Mansion, 4/25, Arthur Bunder Rd, near Radio Club, Apollo Bandar, Colaba, Mumbai, Maharashtra 400005, India"/>
        <s v="7, 9, Calicut Rd, Ballard Estate, Fort, Mumbai, Maharashtra 400001, India"/>
        <s v="Shop No 24, Cusrow Baug, Shahid Bhagat Singh Road, Colaba Causeway, Colaba, Mumbai, Maharashtra 400005, India"/>
        <s v="No. 1, Sunny House, Mandlik Rd, behind The Taj Mahal Palace, Apollo Bandar, Colaba, Mumbai, Maharashtra 400001, India"/>
        <s v="Sea Palace Hotel Mumbai, 26, PJ Ramchandani Marg, Apollo Bandar, Colaba, Mumbai, Maharashtra 400001, India"/>
        <s v="2nd Pasta Lane, Market, Badhwar Park, Apollo Bandar, Colaba, Mumbai, Maharashtra 400005, India"/>
        <s v="WR24+52C, Mosque Ln, Navy Nagar, Colaba, Mumbai, Maharashtra 400005, India"/>
        <s v="Nowroji Mansion, Roosevelt House, Furdonji Road, behind Taj Hotel, Apollo Bandar, Colaba, Mumbai, Maharashtra 400001, India"/>
        <s v="B K Boman Behram Marg Ground Floor, Building 24, Apollo Bandar, Colaba, Mumbai, Maharashtra 400001, India"/>
        <s v="Ground Floor, Star Mansion, Plot No 66, Wodehouse Rd, Cuffe Parade, Mumbai, Maharashtra 400005, India"/>
        <s v="80, Veer Nariman Rd, Churchgate, Mumbai, Maharashtra 400020, India"/>
        <s v="The Taj Mahal Palace Hotel, B K Boman Behram Marg, Apollo Bandar, Colaba, Mumbai, Maharashtra 400001, India"/>
        <s v="299, Shahid Bhagat Singh Rd, opp. Geo Chem Laboratories, Ballard Estate, Fort, Mumbai, Maharashtra 400001, India"/>
        <s v="Taj Wellington Mews, 33, Nathalal Parikh Marg, Cusrow Baug Colony, Apollo, Bandar, Maharashtra 400001, India"/>
        <s v="Aziz Mansion, Shahid Bhagat Singh Rd, Railway Colony, Apollo Bandar, Colaba, Mumbai, Maharashtra 400005, India"/>
        <s v="Ground Floor, Kalapesi Trust Building, opposite Dhanraj Mahal, Apollo Bandar, Colaba, Mumbai, Maharashtra 400039, India"/>
        <s v="56 A, Makani Mansion, Shahid Bhagat Singh Rd, Marg, Colaba, Mumbai, Maharashtra 400005, India"/>
        <s v="The Taj Mahal Palace Hotel, Apollo Bandar, Colaba, Mumbai, Maharashtra 400001, India"/>
        <s v="The Taj Mahal Palace Hotel, Apollo Bunder, Colaba, Colaba, Mumbai, Maharashtra 400001, India"/>
        <s v="opp. Gateway Of India, Apollo Bandar, Colaba, Mumbai, Maharashtra 400005, India"/>
        <s v="Garden Chalet, 4/6, Mandlik Rd, near Regal Cinema, Apollo Bandar, Colaba, Mumbai, Maharashtra 400001, India"/>
        <s v="Temple Bar Building, 145, Mahatma Gandhi Road, Kala Ghoda, Fort, Mumbai, Maharashtra 400001, India"/>
        <s v="Indian Mercantile Mansion, Wodehouse Road, Opposite Regal Cinema, Colaba Causeway, Colaba, Mumbai, Maharashtra 400039, India"/>
        <s v="3, SS Ram Gulam Marg, Ballard Estate, Fort, Mumbai, Maharashtra 400001, India"/>
        <s v="Kamal Mansion, 3/23, N.A. Azmi Road, next to Radio Club, Apollo Bandar, Colaba, Mumbai, Maharashtra 400005, India"/>
        <s v="Kitab Mahal, 23, AK Nayak Marg, opp. Excelsior Cinema, Azad Maidan, Fort, Mumbai, Maharashtra 400001, India"/>
        <s v="East West Court, Colaba Causeway, Apollo Bandar, Colaba, east, Mumbai, Maharashtra 400039, India"/>
        <s v="Shop no- 3 &amp; 4, Sukh Nivas, SBS Road, 3rd Pasta Ln, Mumbai, Maharashtra 400005, India"/>
        <s v="Hotel Godwin, 41, Garden Rd, Apollo Bandar, Colaba, Mumbai, Maharashtra 400001, India"/>
        <s v="Oriental Mansion Building, Nathalal Parikh Marg, opposite Regal Cinema, Dr Ambedkar Statue Chowk Area, Colaba, Mumbai, Maharashtra 400001, India"/>
        <s v="Bademiya, Tulloch Rd, Apollo Bandar, Colaba, Mumbai, Maharashtra 400039, India"/>
        <s v="Inter Continental Hotel, Tulloch Rd, behind The Taj Mahal Palace Hotel, Apollo Bandar, Colaba, Mumbai, Maharashtra 400039, India"/>
        <s v="Dr, Forbes St, Kala Ghoda, Fort, Mumbai, Maharashtra 400023, India"/>
        <s v="Dhanraj Mahal, next to The Bentley Showroom, Colaba, Mumbai, Maharashtra 400005, India"/>
        <s v="Shop No.5, Ground Floor, 71 - Seaview Terrace, opp. Charagh DIn, Colaba, Mumbai, Maharashtra 400005, India"/>
        <s v="Minoo Manor Building, 7, Captain Prakash Pethe Marg, Badhwar Park, Apollo Bandar, Cuffe Parade, Mumbai, Maharashtra 400005, India"/>
        <s v="First Floor, Lansdowne House, MB Marg, near Regal Cinema, Apollo Bandar, Colaba, Mumbai, Maharashtra 400001, India"/>
        <s v="building number 19, 21, MB Marg, regal cinema Apollo Bandar, Apollo Bandar, Colaba, Mumbai, Maharashtra 400001, India"/>
        <s v="3, Pheroze Building, Chhatrapati Shivaji Maharaj Marg, opp. Dhanraj Mahal, Apollo Bandar, Colaba, Mumbai, Maharashtra 400001, India"/>
        <s v="Ground Floor 1, 48 Bank, Khattau Building, opposite Shahid Bhagat Singh Road, Kala Ghoda, Colaba, Mumbai, Maharashtra 400001, India"/>
        <s v="Dhanraj Mahal, Chhatrapati Shivaji Maharaj Marg, Apollo Bandar, Colaba, Mumbai, Maharashtra 400001, India"/>
        <s v="Verandah lounge ,Lobby Level, Trident Nariman Point, Near Air India, Building,, Mumbai, Maharashtra 400005, India"/>
        <s v="WRGH+7VC, Dr Ambedkar Statue Chowk Area, Colaba, Mumbai, Maharashtra 400001, India"/>
        <s v="Ground Floor, 5, Battery St, Apollo Bandar, Colaba, Mumbai, Maharashtra 400005, India"/>
        <s v="AOMI, Pilot Bandar Rd, opposite Afghan Church, Navy Nagar, Colaba, Mumbai, Maharashtra 400005, India"/>
        <s v="A1, Atlanta Building, Ground Floor, Nariman Point, Mumbai, Maharashtra 400021, India"/>
        <s v="Block No 1, Ram Mahal, Building No 8, Ground Floor, Dinshaw Vacha Rd, near KC College, Churchgate, Mumbai, Maharashtra 400020, India"/>
        <s v="400005, Nofra, Navy Nagar, Colaba, Mumbai, Maharashtra 400005, India"/>
        <s v="Express Building, Shop No. 1, Ground Floor, Part B, 14, IMC Marg, opposite Govt. Law College, Mumbai, Maharashtra 400020, India"/>
        <s v="Kambatta Building, Maharshi Karve Rd, Churchgate, Mumbai, Maharashtra 400020, India"/>
        <s v="Jamshedji Tata Road, near Eros cenima, Churchgate, Mumbai, Maharashtra 400020, India"/>
        <s v="Cafe Bharat, Railway Station, IMC Marg, opp. Churchgate, Churchgate, Mumbai, Maharashtra 400020, India"/>
        <s v="Ground Floor, Industrial Assurance Building, Jamshedji Tata Road, opposite Eros Cinema, Churchgate, Mumbai, Maharashtra 400020, India"/>
        <s v="Jiji House, Raveline Street Damodar Sukhadwala Marg, 17, D Sukhadwala Rd, Azad Maidan, Fort, Mumbai, Maharashtra 400001, India"/>
        <s v="Ground Floor, Sea Green, Marine Drive, Churchgate, Mumbai, Maharashtra 400020, India"/>
        <s v="Shop 3, Ground Floor, Vaswani Mansion, Dinshaw Vacha Rd, opp. HR College, Churchgate, Mumbai, Maharashtra 400020, India"/>
        <s v="Shop No 6,7, Ground Floor, Cambata Building, Churchgate, Mumbai, Maharashtra 400020, India"/>
        <s v="Unit No 240/242, Gr Flr, Nirmal Building Barrister Rajni Patel Marg, Road, near Backbay Reclamation, Nariman Point, Mumbai, Maharashtra 400021, India"/>
        <s v="Ground Floor, Elphistone Building, 10-Veer Nariman Road, Horniman Circle, Fort, Mumbai, Maharashtra 400023, India"/>
        <s v="Ground Floor, Ram Mahal, Dinshaw Vacha Rd, near KC College, Churchgate, Mumbai, Maharashtra 400020, India"/>
        <s v="Metro, 98, Marine View, 1st Marine St, Cross Road, Dhobi Talao, Mumbai, Maharashtra 400002, India"/>
        <s v="Alli Chambers, Nagindas Master Rd, Fort, Mumbai, Maharashtra 400001, India"/>
        <s v="Prem Court, Bldg, Jamshedji Tata Road, Churchgate, Mumbai, Maharashtra 400020, India"/>
        <s v="Mayfair Building, V N Rd, Churchgate, Mumbai, Maharashtra 400020, India"/>
        <s v="Located in- The Ambassador Hotel, Veer Nariman Rd, Churchgate, Mumbai, Maharashtra 400020, India"/>
        <s v="No. 29, Hotel Marine Plaza, Opposite C. C. I Club, Marine Drive, Marine Lines, Mumbai, Maharashtra 400020, India"/>
        <s v="CAFE, SAPNA, BEAT HOUSE, MARINEMarine Ln, next to HOTEL, opp. GOL MASJID, Pathak Wadi, Sonapur, Marine Lines, Mumbai, Maharashtra 400002, India"/>
        <s v="Intercontinental 135 Marine Drive, Netaji Subhash Chandra Bose Rd, Churchgate, Mumbai, Maharashtra 400020, India"/>
        <s v="44, Dabholkar Building, N S Patkar Marg, Mumbai, Maharashtra 400007, India"/>
        <s v="3, Jamshedji Tata Road, behind Eros cinema, opposite Satyam Collection, Churchgate, Mumbai, Maharashtra 400020, India"/>
        <s v="shop no 9, Hinduja College, Mehta bhavan, lane, Raja Ram Mohan Roy Rd, Mumbai, Maharashtra 400004, India"/>
        <s v="Brabourne Stadium, 86, Veer Nariman Rd, Churchgate, Mumbai, Maharashtra 400020, India"/>
        <s v="Stall, Vidhan Bhavan Marg, opposite Air India Building, Nariman Point, Mumbai, Maharashtra 400021, India"/>
        <s v="24 A, Ramdev Hotel, Bansi Lal Building, Cafe free india, C/O, Mumbai Samachar Marg, Fort, Mumbai, Maharashtra 400023, India"/>
        <s v="State Bank Bhavan, Madame Cama Rd, Nariman Point, Mumbai, Maharashtra 400021, India"/>
        <s v="WRVH+5H9, New Marine Lines, Marine Lines, Mumbai, Maharashtra 400020, India"/>
        <s v="Ground floor, Bansi Lal Building, 15-A, Homi Modi St, opposite Bombay House, Kala Ghoda, Fort, Mumbai, Maharashtra 400001, India"/>
        <s v="1, Dinshaw Vacha Rd, Churchgate, Mumbai, Maharashtra 400020, India"/>
        <s v="15-17-19, Burjorji, Bharucha Marg, Kala Ghoda, Fort, Mumbai, Maharashtra 400001, India"/>
        <s v="Unit No 25 &amp; 26, Ground Floor, Commercial Center, CR2, Nariman Point, Mumbai, Maharashtra 400020, India"/>
        <s v="Ground Floor, Machinery House, 3, Bharucha Marg, beside Gazal Gupta, Kala Ghoda, Fort, Mumbai, Maharashtra 400001, India"/>
        <s v="Shop no-4, Ishwar Bhawan, 89, Khadilkar Rd, next to rimzim soda, Charni Road, Urankawadi, Kandewadi, Girgaon, Mumbai, Maharashtra 400004, India"/>
        <s v="Plot No 29, Dr N A Purandare Marg Chowpatty Marine Lines, Girgaon, Mumbai, Maharashtra 400007, India"/>
        <s v="Jehangir Mansion, 5/A, Anandilal Podar Marg, beside Metro Cinema, New Marine Lines, Marine Lines, Mumbai, Maharashtra 400020, India"/>
        <s v="Ground Floor, Baba Stall, opp. Hotel Balwas, New Marine Lines, Churchgate, Mumbai, Maharashtra 400020, India"/>
        <s v="34, Kakad House, opp. Bombay Hospital, New Marine Lines, Marine Lines, Mumbai, Maharashtra 400020, India"/>
        <s v="Soona Mahal, 143, Marine Dr, Churchgate, Mumbai, Maharashtra 400020, India"/>
        <s v="45, Ground Floor, Flora Fountain Somaiya Bhavan, 47, Mahatma Gandhi Road, Fort, Mumbai, Maharashtra 400001, India"/>
        <s v="Fulchand Niwas, Dr. Purandare Marg, Chowpatty Seaface, Girgaon, Mumbai, Maharashtra 400007, India"/>
        <s v="Dharamputra Pritam Estate, 20 &amp; 21, Dr Babasaheb Ambedkar Marg, Dadar East, Dadar, Mumbai, Maharashtra 400014, India"/>
        <s v="Building by, SUGEE SADAN by SUGEE GROUP, Shop No.3, Sugi Sadan, Gokhale Rd, Dadar West, Dadar, Mumbai, Maharashtra 400028, India"/>
        <s v="Raja Badhe Chowk Opp. Raja Rani Travels Shivaji Park Road Number 2, Lady Jamshedji Rd, Mumbai, Maharashtra 400016, India"/>
        <s v="Bhavani Shankar Cross Road, opposite JaiGopal Industries, Near Kabutar khana, Dadar West, Dadar, Mumbai, Maharashtra 400028, India"/>
        <s v="792, Outhouse, Dina Manzil, Jame Jamshed Rd, Central Railway Colony, Mahavir Nagar, Parsee Colony, Dadar, Mumbai, Maharashtra 400014, India"/>
        <s v="Shop No.5, Lumiere Apartment, Purandhare Wadi, Gokhale Rd N, Dadar West, Mumbai, Maharashtra 400028, India"/>
        <s v="26, SS Wagh Marg, Radhika Saikripa Co-op Society, Naigaon, Dadar, Mumbai, Maharashtra 400014, India"/>
        <s v="Gr. Floor, Crystal Towers St. Xavier's Street, Parel, Mumbai, Maharashtra 400012, India"/>
        <s v="Shrikant Lodge, Tilak Rd, near Tilak Bridge, Dadar TT, Dadar East, Dadar, Mumbai, Maharashtra 400014, India"/>
        <s v="Tilak Bhavan, Parel Railway Station, Shop no. 2, Bhori Chawl, Senapati Bapat Marg, West, opposite One International Center, Parel, Mumbai, Maharashtra 400028, India"/>
        <s v="Ground Floor, Ramee Guestline Hotel, opp. Swaminarayan Temple, Dadar East, Dadar, Mumbai, Maharashtra 400014, India"/>
        <s v="364, Dhuru Apartment, Swatantryaveer Savarkar Rd, Dadar West, Prabhadevi, Mumbai, Maharashtra 400028, India"/>
        <s v="Chaityabhoomi Shop no 05, Park Apartment, Dadar West, Shivaji Park, Mumbai, Maharashtra 400028, India"/>
        <s v="Shop B-9, Shivaji Park House, Lady Jamshedji Rd, Dadar West, Dadar, Mumbai, Maharashtra 400016, India"/>
        <s v="Shop no 2, 1st Floor, CHS, SUGEE SADAN, Baburao Parulekar Marg, off Gokhale Road South, Dadar West, Dadar, Mumbai, Maharashtra 400028, India"/>
        <s v="GROUND FLOOR, KAMAKSHI BUILDING, 391/B, Bhaudaji Rd, Matunga East, Mumbai, Maharashtra 400019, India"/>
        <s v="Shop No 2, Om Nanda Deep CHS, Prajakta Cafe, Mahim West, Shivaji Park, Mumbai, Maharashtra 400016, India"/>
        <s v="Ground Floor, Dwarka Sadan, Keluskar Rd, Dadar West, Shivaji Park, Mumbai, Maharashtra 400028, India"/>
        <s v="Unit no.58, Ground, Ram Mahal, Tip Road, Senapati Bapat Marg, Station, Mahim, Mumbai, Maharashtra 400016, India"/>
        <s v="Shop no.7, Makwana Building, 4, Kakasaheb Gadgil Marg, opp. Essgee Options, Elphistone, Dadar, Mumbai, Maharashtra 400028, India"/>
        <s v="Rosary Building, Mia Mohd Chhotani Rd, Geeta Nagar, Mahim West, Mahim, Mumbai, Maharashtra 400016, India"/>
        <s v="10/744 Kohinoor Mill Compound, S S Wagh Marg Road, Naigaon Rd, near Sharda Cinema, Dadar East, Mumbai, Maharashtra 400014, India"/>
        <s v="West Wind Apartment, West Wind Building, Cadell Road, Mahim West, Kataria Colony, Shivaji Park, Swatantryaveer Savarkar Rd, above Cafe Di Bella, near Hinduja Hospitals, Dadar, Mumbai, Maharashtra 400016, India"/>
        <s v="2RGM+HWF, Dadar West, Shivaji Park, Mumbai, Maharashtra 400028, India"/>
        <s v="Jilkar House, 15 A, Keluskar Rd N, next to Bank Of Baroda, Dadar West, Shivaji Park, Mumbai, Maharashtra 400028, India"/>
        <s v="Raghukul, 1st Floor, Bhavani Shankar Rd, opp. Kingâ€™s Crest, Dadar West, Mumbai, Maharashtra 400028, India"/>
        <s v="2R9P+MRW, SK Bole Rd, opp. Nabar Guruji School, Omkar Society, Dadar West, Dadar, Mumbai, Maharashtra 400028, India"/>
        <s v="Lower Parel Compound, SJ Marg, Lower Parel, Mumbai, Maharashtra 400013, India"/>
        <s v="Dharamputra Pritam Estate, Dr Babasaheb Ambedkar Marg, Lokmanya Tilak Colony, Dadar, Mumbai, Maharashtra 400014, India"/>
        <s v="Shop 2, Kohinoor Square, East Tower, N C. Kelkar Rd, Ram Ganesh Gadkari Chowk, Dadar West, Mumbai, Maharashtra 400028, India"/>
        <s v="Kohinoor Square, 4602, N C. Kelkar Marg, Dadar West, Dadar, Mumbai, Maharashtra 400028, India"/>
        <s v="Ground Floor, 39/41, NM Joshi Marg, opposite Deepak Cinema, Lower Parel West, Parel, Mumbai, Maharashtra 400013, India"/>
        <s v="Meher Building, Ranade Rd, opp. Senapati Bapat Statue, Dadar West, Shivaji Park, Mumbai, Maharashtra 400028, India"/>
        <s v="2R9P+QF5, Gokhale Rd N, Near Kabutar khana, Dadar West, Dadar, Mumbai, Maharashtra 400028, India"/>
        <s v="2VG4+XRG, Nathalal Parekh Marg, Matunga East, Mumbai, Maharashtra 400019, India"/>
        <s v="RR House, Todi Mill Compound, Senapati Bapat Marg, opposite Ideal Industrial Estate, Railway Colony, Lower Parel, Mumbai, Maharashtra 400013, India"/>
        <s v="Dadar, Mumbai, Maharashtra 400019, India"/>
        <s v="NRK House, 1, Senapati Bapat Marg, next to Kamala Mills gate, Lower Parel, Mumbai, Maharashtra 400013, India"/>
        <s v="Meher Premises, Shivaji Park, Dadar West, Dadar, Mumbai, Maharashtra 400028, India"/>
        <s v="Ground Floor, The Kin Hotel, Shivaji Park, Sea Face, off Old Cadel Road, Dadar West, Mumbai, Maharashtra 400028, India"/>
        <s v="UGF, Century Bhavan, Sadanand Hasu Tandel Marg, Century Bazaar, Worli, Mumbai, Maharashtra 400030, India"/>
        <s v="8th Floor, Tower 2A, One World Center, Lower Parel, Mumbai, Maharashtra 400013, India"/>
        <s v="Shop 7, Plot 120, Ground Floor, Shaakuntala, Dadar West, Shivaji Park, Mumbai, Maharashtra 400028, India"/>
        <s v="Shop No 2, Ground Floor, Mon Desir, Old Cadel Rd, Dadar West, Shivaji Park, Mumbai, Maharashtra 400028, India"/>
        <s v="near Hindmata 1,2,3,7,FLOOR-GRD,221 GOHAR TAJ BUILDING, DR BABASAHEB AMBEDKAR ROAD, NAIGAON, Dadar East, Mumbai, Maharashtra 400014, India"/>
        <s v="King's Circle Flyover, 373, Bhandarkar Rd, Matunga East, Mumbai, Maharashtra 400019, India"/>
        <s v="Monorail Station, Shop No 14 Shivaji Nagar N M Joshi Marg, Delisle Rd, below Lower Parel, Lower Parel East, Mumbai, Maharashtra 400013, India"/>
        <s v="Maheshwari Udhyaan, Kalyan Bhuvan, Dr Babasaheb Ambedkar Marg, near Oasiss, Matunga East, Mumbai, Maharashtra 400019, India"/>
        <s v="Shop No 1, Dadar West, Dadar, Mumbai, Maharashtra 400025, India"/>
        <s v="Shop no 8, Bhagirathi Sadan, Swatantryaveer Savarkar Rd, near Yes Bank, Kataria Colony, Mahim, Mumbai, Maharashtra 400016, India"/>
        <s v="Dr. Ambedkar Road, Opposite Chitra Cinema, Shop No. 5,6&amp;7, Dadar East, Mumbai, Maharashtra 400014, India"/>
        <s v="541, Dr Babasaheb Ambedkar Marg, Matunga East, Mumbai, Maharashtra 400019, India"/>
        <s v="Chandavarkar Rd, opp. Trilok Family Restaurant &amp; Bar, Matunga (C.R.), Matunga East, Mumbai, Maharashtra 400019, India"/>
        <s v="W, Shop No 6, Ground Floor, 377 Amarkunj society Veer Savarkar Marg, Shivaji Park, Old Cadel Rd, Dadar, Mumbai, Maharashtra 400028, India"/>
        <s v="Kiran Building, 4/68, Ranade Rd, Chandrakant Dhuru Wadi, Dadar, Mumbai, Maharashtra 400028, India"/>
        <s v="Durlabh Niwas, 1/461, Dr Babasaheb Ambedkar Marg, Opp B.N. Maheshwari Udyan, Matunga East, Mumbai, Maharashtra 400019, India"/>
        <s v="Pushpraj Building, 191, David S Barretto Rd, Wadala West, Mumbai, Maharashtra 400031, India"/>
        <s v="First Floor Lobby Indiabulls Finance Centre Center Point Building, Parel, Mumbai, Maharashtra 400013, India"/>
        <s v="F&amp;B, 2nd floor, Kohinoor Square, Unit no 2, N C. Kelkar Marg, Dadar West, Mumbai, Maharashtra 400028, India"/>
        <s v="Noble Plus Pharmacy, Shop 4, Vaibhav Mahim Building, Swatantryaveer Savarkar Rd, Opposite, Mahim West, Mumbai, Maharashtra 400016, India"/>
        <s v="Sunville Building, Dr.Annie Besant Road, Love Grove Flyover, Siddharth Nagar, Worli, Mumbai, Maharashtra 400018, India"/>
        <s v="World Crest, Unit no.1A &amp; 1B, Lodha, Upper Worli, Lower Parel, Mumbai, Maharashtra 400013, India"/>
        <s v="Shop No. 3, Kakad Estate, 4 &amp; 5, Dr RG Thadani Marg, opposite Baskin Robbins, B Wing, Siddharth Nagar, Worli, Mumbai, Maharashtra 400018, India"/>
        <s v="Shop No.1, Madhuhans, Dr Annie Besant Rd, Adarsh Nagar, Worli, Mumbai, Maharashtra 400030, India"/>
        <s v="Ground Floor, Urmi Axis Building, West, behind Famous studio, opp. Doctor Elijah Moses Road, Mahalakshmi, Mumbai, Maharashtra 400011, India"/>
        <s v="L-15, Dainik Shivner Marg, Gandhi Nagar, Upper Worli, Worli, Mumbai, Maharashtra 400018, India"/>
        <s v="Unit no G - 04, Altimus, Dr, GM Bhosale Marg, opp. worli mahindra towers, B Wing, BDD Chawls Worli, Worli, Mumbai, Maharashtra 400018, India"/>
        <s v="Pandurang Budhkar Marg, Worli, Mumbai, Maharashtra 400013, India"/>
        <s v="Thadani House 329/A Opposite Indian Coast Guard Worli Village, Mumbai, Maharashtra 400030, India"/>
        <s v="Unit 906, Trade World, Kamala Mills Compound, C Wing, Senapati Bapat Marg, Lower Parel, W, Maharashtra 400013, India"/>
        <s v="Atria Rooftop, above Inox, Lotus Colony, Worli, Mumbai, Maharashtra 400018, India"/>
        <s v="Janata Colony, BPT Colony, Worli, Mumbai, Maharashtra 400030, India"/>
        <s v="Utopia City, 3rd Floor Trade View Building, gate 4, Pandurang Budhkar Marg, Lower Parel, Mumbai, Maharashtra 400013, India"/>
        <s v="Shop 462, Third Floor, Palladium Mall, Senapati Bapat Marg, Lower Parel, Mumbai, Maharashtra 400013, India"/>
        <s v="Dr. A, B. Road, Adarsh Nagar, Worli, Mumbai, Maharashtra 400030, India"/>
        <s v="Ground Fl, Victoria Mills Senapati Bapat Marg, near Smaash, Lower Parel, Mumbai, Maharashtra 400019, India"/>
        <s v="287/7, Mariyam Mansion, Ganpatrao Kadam Marg, Opp. A To Z Industrial Estate, Lower Parel West, Mumbai, Maharashtra 400013, India"/>
        <s v="14, Ganpatrao Kadam Marg, Upper, Worli, Mumbai, Maharashtra 400013, India"/>
        <s v="Ground Floor, East Zone, Phoenix Palladium, Senapati Bapat Marg, Lower Parel, Mumbai, Maharashtra 400013, India"/>
        <s v="71, Ground floor, Dainik Shivner Marg, opposite Lady Ratan Tower, Gandhi Nagar, Upper Worli, Lower Parel, Mumbai, Maharashtra 400018, India"/>
        <s v="Palladium, 2nd Floor, 462, Senapati Bapat Marg, Lower Parel, Mumbai, Maharashtra 400013, India"/>
        <s v="Kamala Mills Compound, Trade Tower B, Senapati Bapat Marg, Lower Parel, Mumbai, Maharashtra 400013, India"/>
        <s v="Unit No. C-10B, Ground floor, Courtyard, High Street Phoenix, 462, Senapati Bapat Marg, Lower Parel, Mumbai, Maharashtra 400050, India"/>
        <s v="Shop No. 1, Narkar Chawl, near worli mahindra towers, opp. Milan Punjab Hotel, BDD Chawls Worli, Worli, Mumbai, Maharashtra 400018, India"/>
        <s v="Ground Floor, Nehru Centre, Dr. Annie Besant Road, AB Nair Rd, Opposite Nehru Planetarium, Worli, Mumbai, Maharashtra 400018, India"/>
        <s v="Atria-The Millennium Mall, No 1b/2, Dr Annie Besant Rd, West, Worli, Mumbai, Maharashtra 400018, India"/>
        <s v="Shop No. 9 , Anant Niwas , Sane Guruji Marg, station, near Chinchpokli, Lal Baug, Mumbai, Maharashtra 400012, India"/>
        <s v="69, Sir Pochkhanawala Rd, B Wing, Worli, Mumbai, Maharashtra 400030, India"/>
        <s v="1st Floor, Urmi Axis Building, behind Famous Studio, Mahalakshmi, Mumbai, Maharashtra 400011, India"/>
        <s v="XRQH+5FH, Shastri Nagar, Adarsh Nagar, Lower Parel, Mumbai, Maharashtra 400013, India"/>
        <s v="Steps CafÃ©, Tertulian Rd, off Doctor Peter Dias Road, Mount Mary, Bandra West, Mumbai, Maharashtra 400050, India"/>
        <s v="XRQ8+F56, Lotus Colony, Worli, Mumbai, Maharashtra 400018, India"/>
        <s v="Prabhavinayak Building, Shop no. 3, New Prabhadevi Marg, society, Prabhadevi, Mumbai, Maharashtra 400025, India"/>
        <s v="Ground Floor, Door No.12-A, Lotus Court, Dr Annie Besant Rd, Lotus Colony, Worli, Mumbai, Maharashtra 400018, India"/>
        <s v="XRP8+97J, Lotus Colony, Worli, Mumbai, Maharashtra 400018, India"/>
        <s v="XRVF+GMR, Extension of Entry Rd to Phoenix, Lower Parel, Mumbai, Maharashtra 400013, India"/>
        <s v="Mentri House 114 Ganapatrao Kadam Marg, Ganpati Jadhav Marg, Worli Naka, Mumbai, Maharashtra 400018, India"/>
        <s v="34th Floor, 1/136, Dr Elijah Moses Rd, Gandhi Nagar, Upper Worli, Worli, Mumbai, Maharashtra 400018, India"/>
        <s v="Parel East, Parel, Mumbai, Maharashtra 400012, India"/>
        <s v="B, Kamala Mills Compound, Unit no 7, Trade World, Lower Parel, Mumbai, Maharashtra 400013, India"/>
        <s v="Hurry chutney,Apurva estate, Opp BDD chawl, no 115, SS apurva marg, Worli, Mumbai, Maharashtra 400013, India"/>
        <s v="Recondo Estate, inside Asphalt Garage BMC Compound, Sudam Kalu Ahire Marg, next to Rna Mirage, Mumbai, Maharashtra 400030, India"/>
        <s v="First floor, Victoria House, Lower Parel, Mumbai, Maharashtra 400013, India"/>
        <s v="Kamala Mills Compound, Shop 4-5, 1st Floor Bombay Hub, Z - Wing, Senapati Bapat Marg, Lower Parel, Mumbai, Maharashtra 400013, India"/>
        <s v="Ground Floor, North Sky zone, Senapati Bapat Marg, Lower Parel, Mumbai, Maharashtra 400013, India"/>
        <s v="Shop No 6, New Kantwadi Rd, off Perry Cross Road, Bandra West, Mumbai, Maharashtra 400050, India"/>
        <s v="10, Pali Mala Rd, Adarsh Nagar, Bandra West, Mumbai, Maharashtra 400050, India"/>
        <s v="5AA Pali Hill, Bandra (W), next to Learners Academy School, Mumbai, Maharashtra 400050, India"/>
        <s v="Durga Chambers, Waterfield Road, above Pernia's Pop Up MEN, Bandra West, Mumbai, Maharashtra 400050, India"/>
        <s v="248, Neelkamal Building, Waterfield Road, opposite National College, Bandra West, Mumbai, Maharashtra 400050, India"/>
        <s v="Hill Rd, opp. Marks &amp; Spencer, Santosh Nagar, Bandra West, Mumbai, Maharashtra 400050, India"/>
        <s v="Shop No 1, Mayflower Building, 33, New Kant Wadi Lane, Perry Cross Rd, Bandra West, Mumbai, Maharashtra 400050, India"/>
        <s v="3R6J+XCM, Mumbai Pali, Village, Bandra West, Mumbai, Maharashtra 400050, India"/>
        <s v="10, St Domnic Rd, Bandra West, Mumbai, Maharashtra 400050, India"/>
        <s v="Ground Floor, Mamta Building, Waterfield Road, Linking Rd, near National College, Bandra West, Mumbai, Maharashtra 400050, India"/>
        <s v="Chantilly, Shop no. 2, Darvesh Royale Building, Perry Road, Turner Rd, opposite Kotak Mahindra Bank, Junction, Bandra West, Mumbai, Maharashtra 400050, India"/>
        <s v="Shop no.1, Natalwala Bungalow, 41, BJ Road, Mount Mary, Bandra West, Mumbai, Maharashtra 400050, India"/>
        <s v="Chapel Rd, St Sebastian Colony, Ranwar, Bandra West, Mumbai, Maharashtra 400050, India"/>
        <s v="Shop No.12, Pearl Haven Apartments, Chapel Rd, St Sebastian Colony, Mount Mary, Bandra West, Mumbai, Maharashtra 400050, India"/>
        <s v="No-95, Fernandes Villa, Hill Rd, near St Andrew's Church, Ranwar, Bandra West, Mumbai, Maharashtra 400050, India"/>
        <s v="5AA, Mac Ronells Bungalow, Saint Andrews Ext, next to Learnerâ€™s Academy, Bandra West, Mumbai, Maharashtra 400050, India"/>
        <s v="30, Pali Mala Rd, Pali Hill, Mumbai, Maharashtra 400050, India"/>
        <s v="Ground Floor, Mary Lodge, 21A, Chapel Rd, Ranwar, Bandra West, Mumbai, Maharashtra 400050, India"/>
        <s v="36/A, îƒˆ Sanatan Pereira Bungalow, St John Baptist Rd, Mount Mary, Bandra West, Mumbai, Maharashtra 400050, India"/>
        <s v="1st Floor, Hotel Metro Palace, Hill Rd, opposite Marks &amp; Spencer, above Barbeque Nation, Bandra West, Mumbai, Maharashtra 400050, India"/>
        <s v="Bandstand Apartments, Shop 1, BJ Road, next to Barista Cafe, Bandra West, Mumbai, Maharashtra 400050, India"/>
        <s v="Shop No.5, Pearl Haven Apartments, Chapel Rd, St Sebastian Colony, Mount Mary, Bandra West, W, Mumbai, Maharashtra 400050, India"/>
        <s v="Shop No 1 &amp; 2, Salad Co, Rita Appartment, 16th Rd, opposite Canara Bank, Bandra West, Mumbai, Maharashtra 400050, India"/>
        <s v="355(6, Carter Road, opp. Gagangiri Apartment, next to Carter's Blue, Hanuman Nagar, Bandra West, Mumbai, Maharashtra 400052, India"/>
        <s v="Sanatan Pereira Bungalow, 36/A, St John Baptist Rd, Mount Mary, Bandra West, Mumbai, Maharashtra 400050, India"/>
        <s v="St John Baptist Rd, St Sebastian Colony, Mount Mary, Bandra West, Mumbai, Maharashtra 400050, India"/>
        <s v="Kamal VIshranti Kutir opposite St Theresa School, 24th Road, Plot 104, D Bandra West, Khar West, Mumbai, Maharashtra 400052, India"/>
        <s v="Greenr, 57/116, Drego House, Pali Naka, Dr Ambedkar Rd, Bandra West, Mumbai, Maharashtra 400050, India"/>
        <s v="Shop No.2, Bandstand Apartments, BJ Road, near Mannat Building, Mount Mary, Bandra West, Mumbai, Maharashtra 400050, India"/>
        <s v="of 24th, Crystal Shoppers Paradise Mall 498, Off Link Road Junction, and, 33rd Rd, Bandra West, Mumbai, Maharashtra 400050, India"/>
        <s v="ONGC Complex, Bandra Reclamation, near Lilavati Hospital, Mumbai, Maharashtra 400050, India"/>
        <s v="Gagangiri Premises Building, Sangeet Samrat Naushad Ali Rd, Bandra West, Mumbai, Maharashtra 400052, India"/>
        <s v="Shop no, National Centre For Training And Research 1, 88, KC Marg, Nityanand Nagar, Reclamation, Bandra West, Mumbai, Maharashtra 400050, India"/>
        <s v="6, Chuim Village Rd, Khar, Chuim Village, Danda, Khar West, Mumbai, Maharashtra 400052, India"/>
        <s v="101, HSBC Building, 1st Floor, Pali Road Off Turner Road, near Golds Gym, Bandra West, Mumbai, Maharashtra 400050, India"/>
        <s v="Title Waves, St Paul Media Complex, ST. PAUL'S INSTITUTE OF COMMUNICATION EDUCATION, Rd Number 24, opp. Duruelo Convent School, Bandra West, Mumbai, Maharashtra 400050, India"/>
        <s v="24th, High School, Junction of, &amp;, 30th Rd, opp. St. Theresa's Boys, TPS III, Bandra West, Mumbai, Maharashtra 400050, India"/>
        <s v="Ranwar, Bandra West, Mumbai, Maharashtra 400050, India"/>
        <s v="Sat Kartar building, 16th Rd, Bandra West, Mumbai, Maharashtra 400050, India"/>
        <s v="Dr Ambedkar Rd, Pali Market, Pali Hill, Mumbai, Maharashtra 400050, India"/>
        <s v="Ground Floor, Noorie House, 4 Rajan Road, Off Carter Rd, Bandra West, Mumbai, Maharashtra 400050, India"/>
        <s v="New Red House, 71A, inside Pali Village, Pali Village, Bandra West, Mumbai, Maharashtra 400050, India"/>
        <s v="318, Linking Rd, Khar, Khar West, Mumbai, Maharashtra 400052, India"/>
        <s v="Gagangiri CHS Ltd, Plot 21, Sangeet Samrat Naushad Ali Rd, opposite Carter Promenade, Union Park, Pali Hill, Mumbai, Maharashtra 400052, India"/>
        <s v="Shop no 2, Simple Apartments, 16th Rd, Bandra West, Mumbai, Maharashtra 400050, India"/>
        <s v="Trimurti Building, Pyari Nagar, Danda, Khar Danda, Mumbai, Maharashtra 400050, India"/>
        <s v="133, Gazebo House, Hill Rd, Bandra West, Mumbai, Maharashtra 400050, India"/>
        <s v="1, Perry Cross Rd, Bandra West, Mumbai, Maharashtra 400050, India"/>
        <s v="Shop No.1, Celeste Bldg, Plot No. 470, Kinchin CHS, 14th Rd, Khar, Khar West, Mumbai, Maharashtra 400052, India"/>
        <s v="Unit No - 1,GF, 80, Chapel Rd, nr. Lilavati Hospital, St Sebastian Colony, Mount Mary, Bandra West, Mumbai, Maharashtra 400050, India"/>
        <s v="Dr Ambedkar Rd, next to Wellness Forever, opp. Zig Zag Road, Pali Village, Bandra West, Mumbai, Maharashtra 400050, India"/>
        <s v="Janki Kutir, Juhu Tara, Juhu, Mumbai, Maharashtra 400049, India"/>
        <s v="No 2/3, Vinco Apartment, Chapel Rd, near Saltwater Cafe, Reclamation, Bandra West, Mumbai, Maharashtra 400050, India"/>
        <s v="Javaphile cafe, Sangeet Samrat Naushad Ali Rd, next to Oceanic, Shirley, Pali Hill, Mumbai, Maharashtra 400050, India"/>
        <s v="29th Rd, Bandra West, Mumbai, Maharashtra 400050, India"/>
        <s v="331, Bloom Boutique Dr. BR Ambedkar Road, Pali Hill Rd, Bandra West, Mumbai, Maharashtra 400050, India"/>
        <s v="Shop No. 3 &amp; 4, 384 Kamal VIshranti Kutir opposite St Theresa School, 24th Road, Plot 104, D, Bandra West, Mumbai, Maharashtra 400050, India"/>
        <s v="Shop No, 61, Waroda Rd, Ranwar, Bandra West, Mumbai, Maharashtra 400050, India"/>
        <s v="Shop No. 7, Ground Floor, Muzaffar Manor, 28th Rd, Bandra West, Mumbai, Maharashtra 400050, India"/>
        <s v="A-3, Sastri Nagar Rd, Sundervan Complex, Shastri Nagar, Andheri West, Mumbai, Maharashtra 400053, India"/>
        <s v="Shop no-13/14/19, Beside Oshiwara police station, Ground floor, Oshiwara link plaza, Mhada Colony, Andheri West, Mumbai, Maharashtra 400102, India"/>
        <s v="Corner View, 3, Dr.Ashok Chopra Marg, Opp. Bianca Towers, Amit Nagar, Versova, Andheri West, Mumbai, Maharashtra 400061, India"/>
        <s v="Timmy Arcade, 778, Makwana Rd, Gamdevi, Marol, Andheri East, Mumbai, Maharashtra 400059, India"/>
        <s v="Shop No. 4, 41, kaveri Building, Near, Oshiwara Police Station Rd, Anand Nagar, Andheri West, Mumbai, Maharashtra 400102, India"/>
        <s v="VITS Hotel, International Airport Zone, Andheri - Kurla Rd, Bhim Nagar, Andheri East, Mumbai, Maharashtra 400059, India"/>
        <s v="CTS 215, Andheri - Kurla Rd, opposite Carnival Cinemas, Hanuman Nagar, Andheri East, Mumbai, Maharashtra 400059, India"/>
        <s v="Gokul Regency, V.M Shah Marg, Taruvel CHS, Wing-C, J B Nagar, Andheri East, Andheri, Mumbai, Maharashtra 400099, India"/>
        <s v="Social, Meera Apts, 7/11, Juhu Versova Link Rd, opp. Versova, Gharkul Society, Seven Bunglow, Andheri West, Mumbai, Maharashtra 400053, India"/>
        <s v="Plot no B, Ghanshyam Chambers, 1st Floor, Andheri West Above RBL Bank, Opp Citi Mall, New Link Rd, Veera Desai Industrial Estate, Mumbai, Maharashtra 400053, India"/>
        <s v="Shop 7, Ground Flr, N G Eclat, Millat Nagar External Rd, Yamuna Nagar, Andheri West, Mumbai, Maharashtra 400047, India"/>
        <s v="Ground Floor, Crescent Royale, Veera Desai Road, off link road Behind Crescent Tower, Andheri West, Mumbai, Maharashtra 400053, India"/>
        <s v="Shop Number 6, JP Rd, opposite Palm Beach Apartment, Aram Nagar Part 1, Machlimar, Versova, Andheri West, Mumbai, Maharashtra 400061, India"/>
        <s v="Shop No.4, Varsha Apartments, Gharkul Society, Seven Bunglow, Andheri West, Mumbai, Maharashtra 400061, India"/>
        <s v="Cluster_mumbai Suburban_714, X - 22, MIDC Central Rd, Hanuman Nagar, Andheri East, Mumbai, Maharashtra 400093, India"/>
        <s v="Shop no 12, Sterling apt, Sundervan Complex, Shastri Nagar, Andheri West, Mumbai, Maharashtra 400053, India"/>
        <s v="10A&amp;B, JP Rd, Aram Nagar Part 2, Machlimar, Versova, Andheri West, Mumbai, Maharashtra 400061, India"/>
        <s v="CHS, LTD, Beach Queen Apartments, Shop no 6 and 7, JP Rd, Versova, Andheri West, Mumbai, Maharashtra 400061, India"/>
        <s v="Shop 16, Plot 98-A/116, Greenville Co-Operative Housing Society Limited,, Opposite Samarth Vaibhav Lokhandwala Complex, Andheri Lokhandwala, Andheri, West, Mumbai, Maharashtra 400053, India"/>
        <s v="Spring Leaf Cooperative Housing Society, JP Rd, opposite to Nana Nani Garden, Versova, Andheri West, Mumbai, Maharashtra 400061, India"/>
        <s v="Airport Rd, Bori Colony, Marol, Andheri East, Mumbai, Maharashtra 400059, India"/>
        <s v="E, SN 5, Kanakia Wall St, Andheri - Kurla Rd, near KFC, A-Wing, Chakala, Hanuman Nagar, Andheri, Mumbai, Maharashtra 400053, India"/>
        <s v="Ground floor, Green Ville CHS, opposite Samarth Vaibhav, Lokhandwala Complex, Andheri West, Mumbai, Maharashtra 400053, India"/>
        <s v="Shop No.6, Windermere, New Link Rd, off Oshiwara, Mhada Colony, Andheri West, Mumbai, Maharashtra 400053, India"/>
        <s v="Ground floor , Plot No 1 , Compound. 1, Marol Cooperative Industrial Estate, Marol Maroshi Rd, Marol, Andheri East, Mumbai, Maharashtra 400059, India"/>
        <s v="Bunglow 30/33, Old, Mhada Rd, opposite Laxmi Dairy, near Hanuman Mandir Lane, SV Patel Nagar, Andheri West, Mumbai, Maharashtra 400053, India"/>
        <s v="Pratisthan Bunglow,Yamuna Nagar, Back Road, opp. Fairy Land School, beside RNA Eclat, Lokhandwala Complex, Andheri West, Mumbai, Maharashtra 400053, India"/>
        <s v="Shop no : 1, 2 ,3, Everjoy Apartments, opp: silver inn, Bori Colony, Marol, Andheri East, Mumbai, Maharashtra 400059, India"/>
        <s v="Chhatrapati Shivaji International Airport Area, Navpada, Vile Parle East, Vile Parle, Mumbai, Maharashtra 400099, India"/>
        <s v="82, Andheri - Kurla Rd, near Cine Magic Cinema, Gundavali, Andheri East, Mumbai, Maharashtra 400093, India"/>
        <s v="Apartment, Alongside, Prithvi Theatre, 20, Juhu Rd, Janki Kutir, Juhu, Mumbai, Maharashtra 400049, India"/>
        <s v="Jawaharban Apartment, Magari, Shop Number 9, society, opposite Kokilaben Hospital, Four Bungalows, Andheri West, Mumbai, Maharashtra 400053, India"/>
        <s v="Shop No. 1 &amp; 2, Poseidon Apartment, Inlaks Nagar, Versova, Andheri West, Mumbai, Maharashtra 400061, India"/>
        <s v="Shop No. 5, Ameya House CHSL, Mumbai, Maharashtra 400058, India"/>
        <s v="Oberoi Raviraj Complex, Shop No. 14, Mayfair Apartment, New Link Rd, Andheri West, Mumbai, Maharashtra 400053, India"/>
        <s v="Shop No.1, Samarth Vaibhav, Society, Lokhandwala Rd, near IDBI Bank, Tarapore Gardens, Oshiwara, Andheri West, Mumbai, Maharashtra 400102, India"/>
        <s v="1st Floor, Link Plaza Commercial Complex, 53, above Fire Bowl Restaurant, Andheri West, Mumbai, Maharashtra 400102, India"/>
        <s v="Flt No - 31, Sai Kripa Compound Telli Galli Road, Outhouse, near Imperial Hotel, Andheri East, Mumbai, Maharashtra 400069, India"/>
        <s v="Shop no 9, Srinivas, Ashish Apartment, Shriniwas Bagarka Rd, Akal Society, Kanti Nagar, J B Nagar, Andheri East, Mumbai, Maharashtra 400059, India"/>
        <s v="No 8, GF, Infiniti Mall, New Link Rd Kavivar, Pandit Indra Marg, next to Raheja Classique Complex, Oshiwara, Mumbai, Maharashtra 400053, India"/>
        <s v="Shop.No 2, Bharat Ark, Veera Desai Rd, Mhada Colony, Azad Nagar, Andheri West, Mumbai, Maharashtra 400053, India"/>
        <s v="SHOP NO. 1, BUILDING NO. 42, MATRUCHHAY CHSL, Oshiwara Police Station Road, ,Andheri West, Mumbai, Maharashtra 400102, India"/>
        <s v="Shop no. 2, Reporters Bungalow, 120, Swami Vivekananda Rd, nr. Shoppers Stop, Navpada, Andheri West, Mumbai, Maharashtra 400058, India"/>
        <s v="Shop No Gala No.2, Part 1, JP Rd, Aram Nagar Part 1, Aram Nagar, Versova, Andheri West, Mumbai, Maharashtra 400061, India"/>
        <s v="Unit G-2, Amba Shanti Chambers, Andheri - Kurla Rd, Bori Colony, Vijay Nagar Colony West, Marol, Andheri East, Mumbai, Maharashtra 400056, India"/>
        <s v="Lobby, Hotel Kohinoor Continental, Andheri - Kurla Rd, J B Nagar, Andheri East, Mumbai, Maharashtra 400059, India"/>
        <s v="Shetty Building, Swami Vivekananda Rd, Fish Market Area, Navneeth Colony, Andheri West, Mumbai, Maharashtra 400058, India"/>
        <s v="4th floor, westside, Sai Kanwal corporation, 427/428, JP Rd, off indira nagar, opposite Cosmos Plaza, Sonal Co operative Hsg Society, Manish Nagar, Four Bungalows, Andheri West, Andheri, Mumbai, Maharashtra 400053, India"/>
        <s v="Shop no2, shukhmani building, Swami Vivekananda Rd, near fedai baug, opp. Nadco market, Shree Ram Nagar, Andheri West, Mumbai, Maharashtra 400058, India"/>
        <s v="36, Lallubhai Park Rd, Andheri West, Mumbai, Maharashtra 400058, India"/>
        <s v="Shop no.1 &amp; 2, New Malinee Chs Ldt, Mahakali Caves Rd, opposite Cannosa School, Subhash Nagar, Andheri East, Mumbai, Maharashtra 400093, India"/>
        <s v="Sakinaka Junction Hotel Peninsula Grand, Lokmanya Tilak Nagar, Andheri East, Mumbai, Maharashtra 400072, India"/>
        <s v="Ground Floor, Syndicate Chamber, opp. Sahar Road, Railway Colony, Andheri East, Mumbai, Maharashtra 400069, India"/>
        <s v="Shop No. 11, Mayfair Apartments, Sundervan Complex Rd, near Hotel Empressa, Shastri Nagar, Andheri West, Mumbai, Maharashtra 400053, India"/>
        <s v="2, Sagar Pallazio, Sakinaka, Magan Nathuram Rd, opposite Hotel Chakra, Safed Pul, Andheri East, Mumbai, Maharashtra 400072, India"/>
        <s v="Shop No. 14, Karthik Complex, New Link Rd, opp. Laxmi Business Park, Veera Desai Industrial Estate, Andheri West, Mumbai, Maharashtra 400053, India"/>
        <s v="SHOP NO 29, Link Plaza Commercial Complex, near Om Heera Panna Mall, Mhada Colony, Andheri West, Mumbai, Maharashtra 400053, India"/>
        <s v="4RQJ+QR3, Veera Desai Industrial Estate, Andheri West, Mumbai, Maharashtra 400047, India"/>
        <s v="Plot R, Ekdant Society, 13, Bhau Tatoba Toraskar Marg, near Ganapati Temple, Oshiwara, Andheri West, Mumbai, Maharashtra 400053, India"/>
        <s v="Near Andheri, Metro Station Andheri, Sir M.V. Road, Andheri - Kurla Rd, E, Mumbai, Maharashtra 400069, India"/>
        <s v="SHOP NO.8, Tulsi Deep CHS Ltd, Swami Vivekananda Rd, next to Enrich Salon, Kumud Nagar, Goregaon West, Mumbai, Maharashtra 400104, India"/>
        <s v="Shop No.6, Topiwala CHS, Station-West, opp. Topiwala Mall, Kakaji Nagar, Jawahar Nagar, Goregaon, Mumbai, Maharashtra 400104, India"/>
        <s v="Emerald Club, Royal Palms, Aarey Colony, Goregaon, Mumbai, Maharashtra 400065, India"/>
        <s v="Shop No 7, Ekta Tripolis, Siddharth Nagar Rd, Motilal Nagar I, Goregaon West, Mumbai, Maharashtra 400104, India"/>
        <s v="Unit no- 2, Third floor, Oberoi Mall, Off, Western Urban Rd, Yashodham, Goregaon, Mumbai, Maharashtra 400063, India"/>
        <s v="Shop no 15,M.C.G.M. Shopping center, Mahatma Gandhi Rd, Mitha Nagar, Goregaon West, w, Maharashtra 400104, India"/>
        <s v="Third Floor, Oberoi Mall, Unit T, off Western Urban Road, beside PVR, Yashodham, Goregaon, Mumbai, Maharashtra 400063, India"/>
        <s v="Shop No.2, Ground Floor, Om shree Ganesh Building, Vishveshwar Nagar Rd, opp. ICICI bank, Churi Wadi, Goregaon, Mumbai, Maharashtra 400063, India"/>
        <s v="Shop no. 9, Shauket Mansion, Aarey Fatak road, opp. DNS bank, Goregaon West, Mumbai, Maharashtra 400104, India"/>
        <s v="NIRLON KNOWLEDGE PARK, Pahadi Village Off, Western Express Highway, Cama Industrial Estate, Goregaon, Mumbai, Maharashtra 400063, India"/>
        <s v="B/204, behind Mastermind 3, next to Moroccan Apts, Royal Palms Estate, Aarey Colony, Goregaon, Mumbai, Maharashtra 400063, India"/>
        <s v="Oberoi Garden City, Oberoi Mall, G1 &amp; G2, near International Business Park, Goregaon, Mumbai, Maharashtra 400063, India"/>
        <s v="Third Floor, Oberoi Mall General AK Vidya Marg, Western Urban Rd, Yashodham, Goregaon, Mumbai, Maharashtra 400063, India"/>
        <s v="Movie Time Cinema, Shop 3, Ground Floor, A-2 Wing Jagdamba Commercial Complex, New Link Rd, Kanchpada, Malad West, Mumbai, Maharashtra 400064, India"/>
        <s v="Oberoi Mall, Yashodham, Goregaon, Mumbai, Maharashtra 400063, India"/>
        <s v="Shop Unit No. 8, Ekta Tripolis, Siddharth Nagar Rd, Motilal Nagar I, Goregaon West, Mumbai, Maharashtra 400104, India"/>
        <s v="5, Tirupati Udyog, I. B. Patel Road, Off, Western Urban Rd, Unnat Nagar, Jay Prakash Nagar, Goregaon, Mumbai, Maharashtra 400063, India"/>
        <s v="GF, Lobby Commerz 2, International Business Park, near Western Urban Road, Yashodham, Goregaon, Mumbai, Maharashtra 400063, India"/>
        <s v="5V95+VMX, Dudhsagar Society, Aarey Colony, Goregaon, Mumbai, Maharashtra 400063, India"/>
        <s v="Shop 36, Virwani Industrial Estate, Western Urban Rd, Hanuman Tekdi, Goregaon West, Mumbai, Maharashtra 400063, India"/>
        <s v="D-2, CHS Limited, Shop No.14 &amp; 15, Satellite Garden Phase 2, Azad Nagar, Gokuldham Colony, Goregaon, Mumbai, Maharashtra 400063, India"/>
        <s v="Oberoi Mall, Western Urban Rd, Yashodham, Goregaon, Mumbai, Maharashtra 400063, India"/>
        <s v="4S Mini Madras Cafe, Gokuldham Shopping Centre, 10, Aba Karmarkar Rd, near Royal Challenge Restaurant, Yashodham, Goregaon, Mumbai, Maharashtra 400063, India"/>
        <s v="Shop no 15, Building no 4, ONGC Colony, off Krishna Chandra Marg, beside candies, Reclamation, Bandra West, Mumbai, Maharashtra 400050, India"/>
        <s v="4/277 I B Patel Road, Pahadi Rd, behind H.P. Petrol Pump Village, Goregaon, Mumbai, Maharashtra 400063, India"/>
        <s v="New Link Rd, Azad Nagar, Colony No 2, Laxmi Nagar, Goregaon West, Mumbai, Maharashtra 400104, India"/>
        <s v="Shop 10, 11, 12, Springfield 1, Sunder Ln, Malad, Orlem, Malad West, Mumbai, Maharashtra 400064, India"/>
        <s v="Shop no 09, rakhsha hospital, near Atharva college, Malad, Charkop Naka, Asmita Jyoti Housing Society, Malad West, Mumbai, Maharashtra 400095, India"/>
        <s v="Ground Flr, INTERFACE-11, MDP Rd, behind New Infiniti Mall, off New Link Road, Malad, Mindspace, Malad West, Mumbai, Maharashtra 400064, India"/>
        <s v="Yashodham, Goregaon, Mumbai, Maharashtra 400063, India"/>
        <s v="Shop No.1, Corporate Corner, near Dalmia College, Mandlik Nagar, Sunder Nagar, Malad West, Mumbai, Maharashtra 400104, India"/>
        <s v="Bungalow no. 114, Smokey &amp; Charlie, Lane No. 1, opposite planet cast, Royal Palms Estate, Aarey Colony, Goregaon, Mumbai, Maharashtra 400065, India"/>
        <s v="Unit No 07, 2nd Floor, Oberoi Mall, off Western Urban Road, Yashodham, Goregaon, Mumbai, Maharashtra 400063, India"/>
        <s v="Unit No. 1, Second Floor, Inorbit Mall, New Link Rd, Malad, Malad West, Mumbai, Maharashtra 400064, India"/>
        <s v="4/277, IB Patel Rd, Behind H.P Petrol, Jay Prakash Nagar, Goregaon, Mumbai, Maharashtra 400063, India"/>
        <s v="RUNWAL GREENS, Shop No G 40 and G 41, R-Galleria, Mulund - Goregaon Link Rd, Mulund West, Mumbai, Maharashtra 400078, India"/>
        <s v="Anamika (A-52), Sai Rd, Gokuldham Colony, Goregaon, Mumbai, Maharashtra 400063, India"/>
        <s v="Lobby, NESCO IT Park, Ram Mandir Rd, NESCO, Goregaon, Mumbai, Maharashtra 400063, India"/>
        <s v="Shop no: 1, Viceroy Court, Kandivali, Dattani Park, Thakur Village, Kandivali East, Mumbai, Maharashtra 400101, India"/>
        <s v="Shop no 10, Jaibhavani CHS, Satellite Garden Phase 2, A wing, Aarey Bhaskar Rd, Azad Nagar, Gokuldham Colony, Goregaon, Mumbai, Maharashtra 400063, India"/>
        <s v="Shop No. 4, Ashoka Palace, Malad, Matanpur Nagar, Malad East, Mumbai, Maharashtra 400097, India"/>
        <s v="Ground Floor, Anushka Building, Coffee Connect , Shop No 03, Opp, Oshiwara Police Station Rd, Jogeshwari West, Mumbai, Maharashtra 400047, India"/>
        <s v="Gate 3, NESCO Center, NESCO IT 4 lobby, Goregaon, Mumbai, Maharashtra 400063, India"/>
        <s v="ground floor,orchard mall 400065, Royal Palms, Aarey Colony, Goregaon, Mumbai, Maharashtra 400065, India"/>
        <s v="Shop no 1 building no 12 , ground floor , Lotus CHS Ltd, Mumbai, Maharashtra 400053, India"/>
        <s v="2/16, First floor back side, 3, Mahatma Gandhi Rd, Unnat Nagar, Goregaon West, Mumbai, Maharashtra 400104, India"/>
        <s v="Ground Floor, New Link Rd, Malad, Malad West, Mumbai, Maharashtra 400064, India"/>
        <s v="Ground Floor, Building No. 4, Nesco Pvt Ltd, North C-wing, Western Urban Rd, inside Food court, Goregaon, Mumbai, India"/>
        <s v="Mind Space, Malad, Mindspace, Malad West, Mumbai, Maharashtra 400064, India"/>
        <s v="Shop No 6, Ground Floor, Raj Infinia, Khandelwal Layout, Evershine Nagar, Malad West, Mumbai, Maharashtra 400064, India"/>
        <s v="bus stand, Aarey Rd, behind Peru bag, Peru Baug, Churi Wadi, Goregaon West, Mumbai, Maharashtra 400063, India"/>
        <s v="Shop No 1, Ground &amp; First Floor, Sakshat, Navkar Paradise, Shimpoli Rd, opp. Mega Party Hall, Mini Zaveri Bazaar, Mhatre Wadi, Borivali West, Mumbai, Maharashtra 400092, India"/>
        <s v="Final Plot No 90, B Wing, Shop No 4-5, Ground Floor, Floor, Emerald, Roshan Nagar, Borivali West, Mumbai, Maharashtra 400092, India"/>
        <s v="Shop No 3, Meghkamal CHS, opp. IDFC Bank, I C Colony, Borivali West, Mumbai, Maharashtra 400103, India"/>
        <s v="Shop No 3, Ground Floor, TG School, Chikuwadi Rd, next to Phoenix Hospital, Padma Nagar, Borivali, Mumbai, Maharashtra 400092, India"/>
        <s v="Village Side Cafe, Kutchi Sarvoday Trust Ground, nr. Pixcy Kennel, Yogi Nagar Marg, Yogi Nagar, Mumbai, Maharashtra 400092, India"/>
        <s v="Shop no 213, Ground Floor, Bhattad Tower, RM Bhattad Rd, opposite Kora Kendra Ground 2, Dalvi Nagar, Borivali West, Mumbai, Maharashtra 400092, India"/>
        <s v="shop no:1, Avanti B CHS, Shimpoli Rd, Haridas Nagar, Borivali West, Mumbai, Maharashtra 400092, India"/>
        <s v="Shop no.1, Ekta Elegance, New Link Rd, opposite Eskay Club, Yogi Nagar, Borivali West, Mumbai, Maharashtra 400091, India"/>
        <s v="RM Bhattad Rd, Dalvi Nagar, Borivali West, Mumbai, Maharashtra 400092, India"/>
        <s v="Shop 2, Dama Villa, Kalpana Chawla Chowk, near Kora Kendra Ground 2, Haridas Nagar, Borivali West, Mumbai, Maharashtra 400092, India"/>
        <s v="7th floor, Tanishq showroom, Vini Elegance, L.T. Rd, Mini Zaveri Bazaar, Mhatre Wadi, Borivali, Mumbai, Maharashtra 400092, India"/>
        <s v="Shop No. 1, Avanti, Soni Paradise C.H.S. Ltd., Shimpoli Rd, Haridas Nagar, Borivali West, Mumbai, Maharashtra 400092, India"/>
        <s v="Esspee Tower, Dattapada Rd, Ekta Bhoomi Gardens III, Food Corporation of India Warehouse, Borivali East, Mumbai, Maharashtra 400066, India"/>
        <s v="Shop No. 7, Silver Arch, CHS, Kalpana Chawla Chowk, opp. Sony Tower, Ram Nagar, Sheetal Co-op Housing Society, Borivali West, Mumbai, Maharashtra 400092, India"/>
        <s v="Shop No 3 &amp; 4, Gr Flr, The Corner Bldg Devidas Lane, Road, opposite Eskay Resort, Eksar, Borivali West, Mumbai, Maharashtra 400103, India"/>
        <s v="Shop no 3, Churchway building, next to Churchway fruits and vegetables, I C Colony, C Colony, Borivali West, Mumbai, Maharashtra 400103, India"/>
        <s v="Shop Number 2, Ground Floor jitnedra bhavan CHS LTD.punjabi lane, L.T. Rd, Borivali West, Mumbai, Maharashtra 400092, India"/>
        <s v="4th floor, The Hub link, New Link Rd, opposite Shanti Ashram Signal, Eksar Village, Eksar, Borivali West, Mumbai, Maharashtra 400103, India"/>
        <s v="Shop No 2, Gound Floor, Acropolis Apartment, Laxman Mhatre Rd, I C Colony, Marian Colony, Borivali West, Mumbai, Maharashtra 400103, India"/>
        <s v="Shop no 1, Holy Cross Rd, opp. Veda Apartment, I C Colony, Kandarpada, Borivali West, Mumbai, Maharashtra 400103, India"/>
        <s v="Bhattad Tower, 08, GF, RM Bhattad Rd, opp. KORAKENDRA GROUND, Borivali, W, Maharashtra 400092, India"/>
        <s v="Metro Line, Starbucks Coffee, Near Eksar Metro Station, 2A Besides, New Link Rd, near Lotus Multispeciality Hospital, Eksar, Borivali West, Mumbai, Maharashtra 400091, India"/>
        <s v="Shop No. 10, Avirahi Homes, New Link Rd, B Wing, I C Colony, Borivali West, Mumbai, Maharashtra 400103, India"/>
        <s v="Shop no.2&amp;3, Avirahi Homes, IC Colony Ext, I C Colony, Borivali West, Mumbai, Maharashtra 400103, India"/>
        <s v="Shop No. 1, Manohar Niwas, Kasturba Road No. 1, opposite Kasturba Police Station, Borivali East, Mumbai, Maharashtra 400066, India"/>
        <s v="Shop No 2C, Ground Floor, V-Souk, Sai Baba Extension Road, Mahavir Nagar Kandivali West, opposite Sachin Tendulkar Sports Club, Borivali West, Mumbai, Maharashtra 400092, India"/>
        <s v="Shop 4, Ground Floor, A, Telephone Exchange, AHCL HOMES, New Link Rd, opposite Shimpoli, Shimpoli, Borivali, Mumbai, Maharashtra 400092, India"/>
        <s v="IC Colony Cross Rd Number 4, Devki Nagar, Borivali West, Mumbai, Maharashtra 400103, India"/>
        <s v="Outside Bhavdevi Compound, New Link Rd, Kandarpada, Dahisar West, Mumbai, Maharashtra 400068, India"/>
        <s v="4th Floor, Sun Plaza, L.T. Rd, opp. Diamond Talkies, Gyan Nagar, Mhatre Wadi, Borivali West, Mumbai, Maharashtra 400091, India"/>
        <s v="Shop no. 13A, Shripal Nagar, opp. Malpani ground, Satya Nagar, Borivali West, Mumbai, Maharashtra 400092, India"/>
        <s v="Shop No 4, Ground Floor, TG School, Chikuwadi Rd, next to Phoenix Hospital, Padma Nagar, Borivali, Mumbai, Maharashtra 400092, India"/>
        <s v="New Link Rd, I C Colony, Borivali West, Mumbai, Maharashtra 400103, India"/>
        <s v="Shop No. 6, Amita Apartment, Kasturba, Rd Number 5, Chinchpada, Borivali East, Mumbai, Maharashtra 400066, India"/>
        <s v="Shop No. 1, Gayatri Shivam Apartment Western Express Highway Service Road Opp. Carnival Cinema, Kandivali East, Mumbai, Maharashtra 400101, India"/>
        <s v="Unit No 1, Rishab Raj Suraj 2, Shimpoli Rd, Rameshwar Darshan CHS, Babhai Naka, Borivali West, Mumbai, Maharashtra 400092, India"/>
        <s v="6VJ5+HX5, Mahatma Gandhi Rd, opposite S.T. Depot, Chinchpada, Borivali East, Mumbai, Maharashtra 400066, India"/>
        <s v="Greenwood Complex, New Link Rd, near Metro Station Shimpoli, Shimpoli, Borivali, Mumbai, Maharashtra 400092, India"/>
        <s v="Shop no. 14, B-NO. 6B, Mandpeshwar Civic Federation Udyan Marg, Prem Nagar, Borivali West, Mumbai, Maharashtra 400092, India"/>
        <s v="ESKAY RESORTS, Off Link Road, Eksar Village, Eksar, Borivali West, Mumbai, Maharashtra 400091, India"/>
        <s v="2, next to Sai star cable, Thakur Village, Kandivali East, Mumbai, Maharashtra 400101, India"/>
        <s v="Shop No. 8, Soni Paradise C.H.S. Ltd., Om Shivam Premises, Shimpoli Rd, Haridas Nagar, Borivali West, Mumbai, Maharashtra 400092, India"/>
        <s v="New Link Rd, Shimpoli, Borivali West, Mumbai, Maharashtra 400092, India"/>
        <s v="Annex Mall, Western Urban Rd, Siddharth Nagar, Borivali East, Mumbai, Maharashtra 400092, India"/>
        <s v="I C Colony, Borivali, Mumbai, Maharashtra 400103, India"/>
        <s v="Railway Station, 4th Floor, Thakkar shopping Center, Opposite Borivali, Swami Vivekananda Rd, Borivali West, Mumbai, Maharashtra 400092, India"/>
        <s v="Siddhivinayak CHS, 86/853, Petrol pump lane, Kandivali, Mahavir Nagar, Kandivali West, Mumbai, Maharashtra 400067, India"/>
        <s v="Platform No. 10, BORIVALI RAILWAY STATION, Chinchpada, E, Mumbai, Maharashtra 400066, India"/>
        <s v="Ground Floor, Jamuna Darshan Building, Natakwala Lane, opposite Shimpoli Road, Mumbai, Maharashtra 400092, India"/>
        <s v="Shop No 2, Visamo Building, TPS Rd, opp. Veer Savarkar Garden, Babhai Naka, Borivali West, Mumbai, Maharashtra 400092, India"/>
        <s v="Shop No.4, A1, CHS LTD, Audumber Chhaya, I C Colony, Borivali West, Mumbai, Maharashtra 400103, India"/>
        <s v="Do, 7, Shiv Darshan, Ek Batta, Shimpoli Rd, near Veg Treat, Kastur Park, Borivali West, Mumbai, Maharashtra 400092, India"/>
        <s v="Shreepal Building, SHRIPAL BUILDING, Shop no.13 A, opp. Malpani ground, Satya Nagar, Borivali West, Mumbai, Maharashtra 400092, India"/>
        <s v="Shop no 9, Shroff Tower, Sodawala Ln, opposite Croma, Borivali West, Mumbai, Maharashtra 400092, India"/>
        <s v="Shop no 8, Natraj Cooperative Housing Society, Ramdas Sutrale Marg, near Tata Croma, Himmat Nagar, Borivali West, Mumbai, Maharashtra 400092, India"/>
        <s v="Metro Station Ic Colony, Avirahi Homes, 8, New Link Rd, near mandapeshwar, B Wing, I C Colony, Borivali West, Mumbai, Maharashtra 400103, India"/>
        <s v="Shop No.5, Brindavan Apartments, Besides Aura Veg Restaurant, Juncton Of Link Road, &amp;, Yogi Nagar Marg, Yogi Nagar, Borivali West, Mumbai, Maharashtra 400091, India"/>
        <s v="Ground Floor Aditya Building, Gala No. 1 to, 8, New Link Rd, Shimpoli, Borivali West, Mumbai, Maharashtra 400092, India"/>
        <s v="Shop no 10 plot no 66 sai, Gharkul CHS, opp. pepsi ground, near dr pillai global academy, Amrut Co-Operative Housing Society, Gorai 2, Borivali West, Mumbai, Maharashtra 400092, India"/>
        <s v="Shop number: 1, LTD, Rajkamal CHS, 92, Yogi Nagar Marg, near Gossip restaurant, Yogi Nagar, Borivali West, Mumbai, Maharashtra 400092, India"/>
        <s v="Shop 38 - 39, Lal Bahadur Shastri Marg, Kamani, Kurla West, Kurla, Mumbai, Maharashtra 400070, India"/>
        <s v="C 57, G Block BKC, Bandra Kurla Complex, Bandra East, Mumbai, Maharashtra 400051, India"/>
        <s v="Equinox Tower 3, Lal Bahadur Shastri Road, Road, off BKC, Ambedkar Nagar, Kurla, Mumbai, Maharashtra 400070, India"/>
        <s v="Shop 7, Durga Sadan, Rd Number 12, Chembur West, Tilak Nagar, Kurla, Mumbai, Maharashtra 400089, India"/>
        <s v="Shop 1, godrej jetairways building, G Block BKC, Mumbai, Maharashtra 400051, India"/>
        <s v="Khot Chawl, Muktadevi Mandir Marg, Sarveshwar Mandir Rd, nr. Shiv Sena Shakha, Kurla West, Mumbai, Maharashtra 400070, India"/>
        <s v="Unit F, 43, Lal Bahadur Shastri Marg, Ashok Nagar, Kurla, Mumbai, Maharashtra 400070, India"/>
        <s v="Ground Floor, G-4, The Capital, G Block, Bandra Kurla Complex, Bandra East, Mumbai, Maharashtra 400051, India"/>
        <s v="Unit No. S-21 Second Floor, PHOENIX MARKETCITY, Mall, Lal Bahadur Shastri Marg, Kurla West, Kurla, Mumbai, Maharashtra 400070, India"/>
        <s v="Bldg No: 11, Shop No: 1, Pushpanjali CHS, next to Krushna Classes, near Sahyadri Ground, Tilak Nagar, Chembur, Mumbai, Maharashtra 400089, India"/>
        <s v="Unit No UG 99, Upper Ground, PHOENIX MARKETCITY, Lal Bahadur Shastri Marg, Ashok Nagar, Kurla, Mumbai, Maharashtra 400070, India"/>
        <s v="63, Lal Bahadur Shastri Marg, Christian Gaon, Kurla West, Mumbai, Maharashtra 400070, India"/>
        <s v="Shop No 15 Nr Vidyavihar Station, Vidyavihar West, Mumbai, Maharashtra 400070, India"/>
        <s v="SHOP NO 3, Qureshi Nagar, Kurla, Mumbai, Maharashtra 400070, India"/>
        <s v="Phoenix Market City, 15, Lal Bahadur Shastri Marg, Ashok Nagar, Kurla, Mumbai, Maharashtra 400072, India"/>
        <s v="Anjuman Masjid, Santacruz â€“ Chembur Link Rd, near Masrani Estate service road, Kurla West, Mumbai, Maharashtra 400070, India"/>
        <s v="253, Shop No.2/ Fatima Bai Building, 3, Lal Bahadur Shastri Marg, Kurla West, Mumbai, Maharashtra 400070, India"/>
        <s v="Phoenix Market City, Kamani L.B.S.Marg, West, Ashok Nagar, Kurla, Mumbai, Maharashtra 400070, India"/>
        <s v="Experience Center, Phoenix Marketcity, Lal Bahadur Shastri Marg, West, West, Nav Pada, Kurla, Mumbai, Maharashtra 400070, India"/>
        <s v="Unit No F44, PMC Mall, Lal Bahadur Shastri Marg, Kurla West, Kurla, Mumbai, Maharashtra 400070, India"/>
        <s v="Level 1, PHOENIX MARKETCITY, Mall, Ashok Nagar, Kurla, Mumbai, Maharashtra 400070, India"/>
        <s v="Phoenix Market City Mall, Lal Bahadur Shastri Marg, Kurla West, Central, Mumbai, Maharashtra 400070, India"/>
        <s v="3rd floor, la cane bistro, east point mall, Kurla Kajrolkar CHSL, Nehru Nagar, Kurla, Mumbai, Maharashtra 400024, India"/>
        <s v="Shop No. 2, Thakur Dham Complex, Lal Bahadur Shastri Marg, opposite Asha Petrol Pump, Kurla West, Kurla, Mumbai, Maharashtra 400070, India"/>
        <s v="Unit No. 5, Godrej BKC, G Block BKC, Bandra Kurla Complex, Bandra East, Mumbai, Maharashtra 400051, India"/>
        <s v="Unit no. 4, Ground Floor, Jet Airways Godrej BKC, G Block, next to MCA, Bandra Kurla Complex, Ban, Mumbai, Maharashtra 400051, India"/>
        <s v="Ground Floor, Platina, C-59, G Block, Bandra Kurla Complex, Bandra East, Mumbai, Maharashtra 400098, India"/>
        <s v="Backside of Mahaveer Petrol pump, Police Station, Ganesh Baug Ln, near Kurla, Kurla West, Kurla, Mumbai, Maharashtra 400070, India"/>
        <s v="Unit C, ONE BKC, 66, G Block Rd, G Block BKC, Bandra Kurla Complex, Bandra East, Mumbai, Maharashtra 400051, India"/>
        <s v="3VGH+93R, Lower Parel, Friends Colony, Kurla West, Kurla, Mumbai, Maharashtra 400070, India"/>
        <s v="Jio World Drive, Bandra Kurla Complex, Bandra East, Mumbai, Maharashtra 400051, India"/>
        <s v="Shop no, Kanakia Zillion, 17, Lal Bahadur Shastri Marg, Kurla West, Kurla, Mumbai, Maharashtra 400070, India"/>
        <s v="A 63 Kismat Nagar, CST Road, Kurla West, Mumbai, Maharashtra 400070, India"/>
        <s v="Ground Floor, BANK OF INDIA STAR AVAS, The Capital, opp. ICICI Bank, Bandra East, Mumbai, Maharashtra 400051, India"/>
        <s v="Ground Floor, Jio World Drive, MAKER MAXITY, Bandra Kurla Complex, Bandra East, Mumbai, Maharashtra 400051, India"/>
        <s v="Seven olives hotel, Andheri - Kurla Rd, Saki Naka, Mumbai, Maharashtra 400072, India"/>
        <s v="Building No 15, Lal Bahadur Shastri Marg, Friends Colony, Kurla West, Kurla, Mumbai, Maharashtra 400070, India"/>
        <s v="Shop no 3, majeed apartment, near karthika school, Friends Colony, Kurla West, Kurla, Mumbai, Maharashtra 400070, India"/>
        <s v="3VGG+8MG, Kapadia Nagar, Kurla West, Mumbai, Maharashtra 400070, India"/>
        <s v="opposite Sahara hotel, near fauzia hospital, Friends Colony, Kurla West, Kurla, Mumbai, Maharashtra 400070, India"/>
        <s v="No 6a, Mumbai - Old Agra Rd, near fauziya hospital, Friends Colony, Kurla West, Kurla, Mumbai, Maharashtra 400070, India"/>
        <s v="SARVA MANGAL CHSL, SHOP NO 7, GROUND FLOOR, BUILDING NO 15, Rd Number 12, Tilak Nagar, Kurla, Mumbai, Maharashtra 400089, India"/>
        <s v="New Mill Rd, Friends Colony, Kurla West, Kurla, Mumbai, Maharashtra 400070, India"/>
        <s v="S.G Barve Marg Buddhu Master Chawl, near Nasheman Hotel, Kurla West, Mumbai, Maharashtra 400070, India"/>
        <s v="Vape shop, Shell Colony Rd, opp. national bakery, Shramjivi Nagar, Sai Baba Nagar, Kurla, Mumbai, Maharashtra 400071, India"/>
        <s v="Jio World Drive, Bandra Kurla Complex, BKC, Mumbai, Maharashtra 400005, India"/>
        <s v="2nd floor, Amul commercial society Ltd E, Rd No. 1, opp. BMC Office, Chembur Gaothan, Chembur, Mumbai, Maharashtra 400071, India"/>
        <s v="Unit F, 42 / F - 43, Lal Bahadur Shastri Marg, Ashok Nagar, Kurla, Mumbai, Maharashtra 400070, India"/>
        <s v="Shop No 17/18, Opposite Dugad Market, Station Road, Kurla West, Mumbai - 400070, India"/>
        <s v="SG Barve Marg, Jagruti Nagar, Nehru Nagar, Kurla, Mumbai, Maharashtra 400024, India"/>
        <s v="Unit 107, ONE BKC, G Block BKC, Bandra Kurla Complex, Bandra East, Mumbai, Maharashtra 400051, India"/>
        <s v="shop no 8\A, HI-Tech Co-op soc LTD, near lig colony, Vinobha Bhave Nagar, Kurla West, Mumbai, Maharashtra 400070, India"/>
        <s v="3V7G+XJQ, Kurla West, Kurla, Mumbai, Maharashtra 400070, India"/>
        <s v="No.3, CST Road, Friends Colony, Kurla West, Kurla, Mumbai, Maharashtra 400070, India"/>
        <s v="Shop No 142, Taar Gali. 1, Ak Road, West, near Jarimari, Jarimari, Kurla, Mumbai, Maharashtra 400072, India"/>
        <s v="Shop No. 18, Opposit Best Depot, Chunchunwala Compound, Lal Bahadur Shastri Marg, Shanti Nagar, Kurla West, Kurla, Mumbai, Maharashtra 400070, India"/>
        <s v="Shop No. 3-B, Thakur Dham Apt, Plot No. 303, Lal Bahadur Shastri Marg, Kurla West, Kurla, W, Mumbai, Maharashtra 400070, India"/>
        <s v="BKC CST Link Rd, Kolivery Village, MMRDA Area, Bandra Kurla Complex, Santacruz East, Mumbai, Maharashtra 400098, India"/>
        <s v="Unit S - 49 , 50, Lal Bahadur Shastri Marg, Patelwadi.Kurla, Kurla West, Kurla, Mumbai, Maharashtra 400070, India"/>
        <s v="Billi Bungalow, behind Vodafone Gallery, opp. Sindhu wadi, Ghatkopar East, Mumbai, Maharashtra 400077, India"/>
        <s v="Patel Chowk, RB Mehta Marg, near Neelyog Square, Saibaba Nagar, Pant Nagar, Ghatkopar East, Mumbai, Maharashtra 400077, India"/>
        <s v="Shop No 15, SNDT Woman Collage, Camalane, Ghatkopar West, Mumbai, Maharashtra 400086, India"/>
        <s v="R City Mall, Ground Floor, Courtyard, Ghatkopar West, Mumbai, Maharashtra 400086, India"/>
        <s v="Shop No. 1, Ground Floor, Vallabh Vihar, Mahatma Gandhi Rd, opp. Kotak Mahindra Bank, Rajawadi Colony, Ghatkopar East, Mumbai, Maharashtra 400077, India"/>
        <s v="Shop no.8, Nand Ashish C.H.S. Ltd., Patel Chowk, RB Mehta Marg, Saibaba Nagar, Pant Nagar, Ghatkopar East, Mumbai, Maharashtra 400077, India"/>
        <s v="panchsheel bldg, B-29, Vidyabhavan Rd, opp. Vidya bhavan school, Sudarshan Society, Nath Pai Nagar, Ghatkopar East, Mumbai, Maharashtra 400077, India"/>
        <s v="Shraddhanand Rd, opp. Ghatkopar Railway Station, Bhatwadi, Kapol wadi, Ghatkopar West, Mumbai, Maharashtra 400077, India"/>
        <s v="R City Mall, Lal Bahadur Shastri Marg, Amrut Nagar, Ghatkopar West, Mumbai, Maharashtra 400086, India"/>
        <s v="Surya House, ONGC Colony, Vidya Vihar East, Vidyavihar, Mumbai, Maharashtra 400086, India"/>
        <s v="Shop 2, Madhav Apartment, Jawahar Rd, Ghatkopar, Saibaba Nagar, Pant Nagar, Ghatkopar East, Mumbai, Maharashtra 400077, India"/>
        <s v="R City Mall, G 73A, Lal Bahadur Shastri Marg, Amrut Nagar, Ghatkopar West, Mumbai, Maharashtra 400086, India"/>
        <s v="3rd, Lal Bahadur Shastri Marg, Amrut Nagar, Ghatkopar West, Mumbai, Maharashtra 400086, India"/>
        <s v="Shop No 1A Lakshminarayan ln, Mahatma Gandhi Rd, Ghatkopar East, Mumbai, Maharashtra 400077, India"/>
        <s v="Kailash Plaza, 14(a)(b, Vallabh Baug Ln, MHADA Colony, Pant Nagar, Ghatkopar East, Mumbai, Maharashtra 400077, India"/>
        <s v="shop 18,19, 20, Saidham Society, Garodia Nagar, Ghatkopar East, Mumbai, Maharashtra 400077, India"/>
        <s v="3 Parmeshwar dham, Rd Number 7, Mumbai, 77, India"/>
        <s v="Odeon Apartments, Ramnarayan Narkar Marg, Janak Kutir, MHADA Colony, Pant Nagar, Ghatkopar East, Mumbai, Maharashtra 400077, India"/>
        <s v="Unit G73, Ground Floor, North Wing, R-City Mall, Lal Bahadur Shastri Marg, Amrut Nagar, Ghatkopar West, Mumbai, Maharashtra 400086, India"/>
        <s v="7, New Happy Home Society Opp Hotel New Achija, Next to Pavillion Hotel, Khau Galli, Corner of, Tilak Rd, Ghatkopar (E, Mumbai, Maharashtra 400077, India"/>
        <s v="Shop No. 7&amp;8, Savani Apartments, Junction, Mahatma Gandhi Rd, Raja Wadi, Maheshwar Nagar, Rajawadi Colony, Ghatkopar East, Mumbai, Maharashtra 400077, India"/>
        <s v="Shop No. 2, Ground Floor, Vallabh Vihar Building, Mahatma Gandhi Rd, opp. Kotak Mahindra Bank, Rajawadi Colony, Ghatkopar East, Mumbai, Maharashtra 400077, India"/>
        <s v="R City Mall, TF 08 &amp; 09, 3rd Floor, Ghatkopar West, Mumbai, Maharashtra 400086, India"/>
        <s v="Vikrant Circle, Tilak Rd, opp. Vasundhara Building, Ghatkopar East, Mumbai, Maharashtra 400077, India"/>
        <s v="Shop no. 3, Jai-Vijay Co-op Society, opp. Hindi High School, CGS Colony, Ghatkopar West, Mumbai, Maharashtra 400086, India"/>
        <s v="3VGX+VVJ, near Somaiya University, Vidyanagar, Vidya Vihar East, Ghatkopar East, Mumbai, Maharashtra 400077, India"/>
        <s v="New, 90 Feet Rd, Park Society, Pant Nagar, Ghatkopar East, Mumbai, Maharashtra 400075, India"/>
        <s v="Ground Floor, Dhoot Business Centre, Dhanlaxmi Building, RB Mehta Marg, near Shri, Neelkanth Chhaya Co-op Housing Society, Sindhu Wadi, Ghatkopar East, Mumbai, Maharashtra 400077, India"/>
        <s v="Vikrant bldg, vikrant circle, RB Mehta Marg, Ghatkopar East, Mumbai, Maharashtra 400077, India"/>
        <s v="Mota Bhai Cafe, Roller Coaster Ice Cream, Vallabh Baugh Lane, Tilak Rd, near Achija Hotel, Ghatkopar (E, Mumbai, Maharashtra 400077, India"/>
        <s v="Mumbai Bites, 90 Feet Rd, near Patel copy center, opp. Kailash Plaza, NG37, Ghatkopar East, Mumbai, Maharashtra 400075, India"/>
        <s v="1, Ramnarayan Narkar Marg, next to R Odeon Mall, MHADA Colony, Pant Nagar, Ghatkopar East, Mumbai, Maharashtra 400077, India"/>
        <s v="3WP6+7H5, Shival Nagar, Saibaba Nagar, Pant Nagar, Ghatkopar East, Mumbai, Maharashtra 400075, India"/>
        <s v="A-7, Gayatri Dham, Derasar Lane, Mahatma Gandhi Rd, opp. ZEST BUSINESS SPACES, Ghatkopar East, Mumbai, Maharashtra 400077, India"/>
        <s v="459, Ambedkar Nagar, No 7 1, Sarvoday Buddh Vihar Marg, opp. to Natraj Bar, near Somaiya College, Rajawadi Colony, Ghatkopar East, Mumbai, Maharashtra 400077, India"/>
        <s v="Hingwala Ln, Saibaba Nagar, Pant Nagar, Ghatkopar East, Mumbai, Maharashtra 400077, India"/>
        <s v="Shop No.5, Parvati Sadan, Tilak Rd, near Balaji Temple, opp. Annapurna Industrial Estate, Raja Wadi, Maheshwar Nagar, Sindhu Wadi, Ghatkopar East, Mumbai, Maharashtra 400077, India"/>
        <s v="3rd Floor, R City Mall, Lal Bahadur Shastri Marg, Amrut Nagar, Ghatkopar West, Mumbai, Maharashtra 400086, India"/>
        <s v="Shop No 10-a, Kailash Plaza, Vallabh Baug Ln, MHADA Colony, Pant Nagar, Ghatkopar East, Mumbai, Maharashtra 400077, India"/>
        <s v="Lal Bahadur Shastri Marg, Amrut Nagar, Ghatkopar West, Mumbai, Maharashtra 400086, India"/>
        <s v="GODREJ ONE, Shop #4, Tower C, Retail Street, The Trees, Pirojshanagar, Vikhroli, Mumbai, Maharashtra 400079, India"/>
        <s v="Jewel of chembur, Rd No. 1, opp. Bmc OFFice, near Natraj Cinema, Chembur Gaothan, Chembur, Mumbai, Maharashtra 400071, India"/>
        <s v="Shop 9 Jayant Villa Hingwala Lane, Tilak Road, Sindhu Wadi, Ghatkopar East, Mumbai, Maharashtra 400077, India"/>
        <s v="Building no. 15, Sarva Mangal towers, Shop no, 4, West, opp. Sahyadri Garden, Tilak Nagar, Chembur, Mumbai, Maharashtra 400089, India"/>
        <s v="Shop 3, veer apartment, 7th road, opp. from somiya college gate1, Vidyanagar, Vidya Vihar East, Vidyavihar, Mumbai, Maharashtra 400077, India"/>
        <s v="Shop No 1, Laxmi Shopping Centre, 2 &amp; 3, HD Road, near Railway Station, Bhatwadi, Kapol wadi, Ghatkopar West, Mumbai, Maharashtra 400086, India"/>
        <s v="Cafe Shalimar, Lal Bahadur Shastri Marg, opposite Dargha, near Damodar Park, Nityanand Nagar, Ghatkopar West, Mumbai, Maharashtra 400086, India"/>
        <s v="Happy Home, Vallabh Baug Ln, Raja Wadi, Sindhu Wadi, Ghatkopar East, Mumbai, Maharashtra 400077, India"/>
        <s v="Shop No.11, Vasant Nivas, Tilak Rd, corner, Sindhu Wadi, Ghatkopar East, Mumbai, Maharashtra 400077, India"/>
        <s v="Shop no.2, Shivkrupa Sadan, Karani Ln, Ghatkopar West, Mumbai, Maharashtra 400077, India"/>
        <s v="Ground Floor, Neelyog Square Mall, opp. Metro &amp; Railway Station, Shival Nagar, Saibaba Nagar, Pant Nagar, Ghatkopar East, Mumbai, Maharashtra 400077, India"/>
        <s v="R City Mall, Ground Ground Floor, Lal Bahadur Shastri Marg, Amrut Nagar, Ghatkopar West, Mumbai, Maharashtra 400086, India"/>
        <s v="Jhulelal Chowk, Sindhu Wadi, Ghatkopar (E, Mumbai, Maharashtra 400077, India"/>
        <s v="No.2, Shop No.5, Vallabh Baug Lane, Jalaram Nagar, opposite Laxmi Narayan Mandir, Sindhu Wadi, Ghatkopar East, Mumbai, Maharashtra 400077, India"/>
        <s v="Shop no 2, Ground Floor, Building no 32, near Brijwasi Sweets, Shival Nagar, Gaurishankar Wadi, Pant Nagar, Ghatkopar East, Mumbai, Maharashtra 400075, India"/>
        <s v="Patel chowk, opposite to Natural icecream, Ghatkopar East, Mumbai, Maharashtra 400077, India"/>
        <s v="RN, Kailash Tower, Ramnarayan Narkar Marg, opp. Rodeon Mall, MHADA Colony, Pant Nagar, Ghatkopar East, Mumbai, Maharashtra 400075, India"/>
        <s v="Bus stop, Eastern Express Hwy, near Nalanda Nagar, Ghatkopar, Nalanda Nagar, Ghatkopar East, Mumbai, Maharashtra 400075, India"/>
        <s v="Shop no4 Anthurium building 8 90feet road, t, Pant Nagar, Ghatkopar East, Mumbai, Maharashtra 400075, India"/>
        <s v="Shop Number 14, Runwal Anthurium, Lal Bahadur Shastri Marg, next to FabIndia Shop, Veena Nagar, Mulund West, Mumbai, Maharashtra 400080, India"/>
        <s v="Shop 36, Avior, Lal Bahadur Shastri Marg, P&amp;T Staff Colony, Mulund West, Mumbai, Maharashtra 400080, India"/>
        <s v="LG-38-39, Nirmal Galaxy, Avior Corporate Park, Lal Bahadur Shastri Marg, opp. Johnson &amp; Johnson, P&amp;T Staff Colony, Mulund West, Mumbai, Maharashtra 400080, India"/>
        <s v="Shop no. 4 and 5, Sai Madhuvan CHS, S.L ROAD, and, RHB Rd, junction, Mulund West, Mumbai, Maharashtra 400080, India"/>
        <s v="Shop No 26, Marathon Monte Plaza, Madan Mohan Malviya Rd, Asha Nagar, Mulund West, Mumbai, Maharashtra 400080, India"/>
        <s v="Shop no. 9, Manisha Corporate Park, MG Road, near Mulund Station, Mulund, Mulund West, Mumbai, Maharashtra 400080, India"/>
        <s v="Purshottam Kheraj Industrial Estate, G4 - Mehhal, Devi Dayal Rd, near Fire Station, Mulund West, Mumbai, Maharashtra 400080, India"/>
        <s v="College Of Commerce, E-4, Shanti Bhuvan, Sarojini Naidu Road, Opp. Mulund, Mulund West, Mumbai, Maharashtra 400080, India"/>
        <s v="G-3, Meghal Industrial Estate, Lala Devidayal Road, near Fire Brigade, Mumbai, Maharashtra 400080, India"/>
        <s v="The Food Studio, Mulund - Goregaon Link Rd, Nahur West, Sarvodaya Nagar, Mulund West, Mumbai, Maharashtra 400080, India"/>
        <s v="Shop No 56 &amp; 57 Ground Floor, RUNWAL GREENS, Mulund - Goregaon Link Rd, Nahur West, Industrial Area, Mulund West, Mumbai, Maharashtra 400078, India"/>
        <s v="shop no. 2 &amp; 3, Moreshwar Towers, MG Road, opp. Saarthi Health Care, Mulund West, Mumbai, Maharashtra 400080, India"/>
        <s v="Shop No: 7, vasant gardens, Willows Twin Tower Co-Operative Housing Society, Lal Bahadur Shastri Marg, Veena Nagar, Mulund West, Mumbai, Maharashtra 400080, India"/>
        <s v="6A/5B, Golden Willows Society, opp Silver Birch, next to ICICI Bank Swapna Nagari, near Shawarmaji Mulund outlet, Veena Nagar, Mulund West, Mumbai, Maharashtra 400080, India"/>
        <s v="Cypress CHS, Shop no 1&amp;2 Municipal Market Building, opposite GOLDEN WILLOWS, CHS, Mulund West, Mumbai, Maharashtra 400080, India"/>
        <s v="Shop 1\2. Ground floor Sainath nagar, VB Phadake Rd, opp. campus veg treat, Navghar, Mulund East, Mumbai, Maharashtra 400081, India"/>
        <s v="Ground Floor, Willow Tower, Willows Twin Tower Co-Operative Housing Society, Veena Nagar, Mulund West, Mumbai, Maharashtra 400082, India"/>
        <s v="Zenith Tower, Purushottam Kheraj Rd, opposite CafÃ© Gup-Shup, Keshav Pada, Mulund West, Mumbai, Maharashtra 400080, India"/>
        <s v="Cypress CHS, Shop No 19 Silver Birch, Mulund West, Mumbai, Maharashtra 400080, India"/>
        <s v="Gala No.1, Patil Bhavan, NS Rd, Mulund West, Mumbai, Maharashtra 400080, India"/>
        <s v="3rd Floor, R Mall, Lal Bahadur Shastri Marg, Kamgar Colony, Mulund West, Mumbai, Maharashtra 400080, India"/>
        <s v="near Chedda Petrol Pump, near ESIS hospital, Veena Nagar, Mulund West, Mumbai, Maharashtra 400080, India"/>
        <s v="Marathon Maxima, Lal Bahadur Shastri Marg, near Sonapur Signal, Moti Nagar, Mulund Colony, Mulund West, Mumbai, Maharashtra 400080, India"/>
        <s v="Monte Plaza, Madan Mohan Malviya Rd, MTNL Colony, Keshav Pada, Mulund West, Mumbai, Maharashtra 400080, India"/>
        <s v="Shop No. 4, Mam Trilok Building, VB Phadake Rd, Navghar, Mulund East, Mumbai, Maharashtra 400081, India"/>
        <s v="R' Galleria, G-39, Runwal Greens, Mulund - Goregaon Link Rd, Mulund (W, Mumbai, Maharashtra 400078, India"/>
        <s v="Shop No.7, Vista Amenity, D, P Road, Asha Nagar, Mulund West, Mumbai, Maharashtra 400080, India"/>
        <s v="Shop no 09, Golden Willows Rd, Silver Birch Society, Swapna Nagari, Veena Nagar, Mulund West, Mumbai, Maharashtra 400080, India"/>
        <s v="R Mall, Shop no 8,3 rd, Lal Bahadur Shastri Marg, opp. RICHARDSON CRUDDAS FACTORY, Kamgar Colony, Mulund West, Mumbai, Maharashtra 400080, India"/>
        <s v="RUNWAL GREENS, 21, Mulund - Goregaon Link Rd, next to Fortis Hospital, Nahur West, Industrial Area, Mulund West, Mumbai, Maharashtra 400081, India"/>
        <s v="Shop No. 4, Lalan Building, Devi Dayal Rd, near Murar Road, Chandraprabha Chs, Mulund, Mulund West, Mumbai, Maharashtra 400080, India"/>
        <s v="2nd Shop, Samriddhi commercial complex, madan mohan malvia road Near telephone exchange, opp. rally wolff, Mulund West, Mumbai, Maharashtra 400080, India"/>
        <s v="Shop number 6 , PMJP COLONY MHADA, near fire brigade, Gavanpada, Mulund East, Mumbai, Maharashtra 400081, India"/>
        <s v="Shop No 37, R Galleria, RUNWAL GREENS, Mulund - Goregaon Link Rd, Nahur West, Industrial Area, W, Mumbai, Maharashtra 400078, India"/>
        <s v="Shop Number 5, Rohini Residency, MG Road, Mulund, Mulund West, Mumbai, Maharashtra 400080, India"/>
        <s v="CTS No 762, Ground Floor, Krishnai Apartment, 90 Feet Rd, Sane Guruji Nagar, Mulund East, Mumbai, Maharashtra 400081, India"/>
        <s v="Shop no 14, Anutham chs, VB Phadake Rd, opp. MARATHA MANDAL HALL, Ambedkar Nagar, Sane Guruji Nagar, Mulund East, Mumbai, Maharashtra 400081, India"/>
        <s v="BAITHACK- TASTE OF KULHAD, SHOP NO. 10 SILVER BIRCH CHS, SWAPNA NAGARI VASANT GARDEN ROAD, 400080, Mulund West, Maharashtra 400080, India"/>
        <s v="Chandra Darshan Building, Murar Rd, Mulund West, Mumbai, Maharashtra 400080, India"/>
        <s v="The Playce, Marathon Maxima, LBS Road, Mulund West, beside Sonapur, Signal, Mumbai, Maharashtra 400080, India"/>
        <s v="RUNWAL GREENS, 73 R Galleria, Mulund West, Mumbai, Maharashtra 400080, India"/>
        <s v="Opp Ganesh Talkies londe mahal, Station Rd, Mulund East, Mumbai, Maharashtra 400081, India"/>
        <s v="Shop no.4,5 &amp; 6, Samriddhi CSL, Madan Mohan Malviya Rd, near MTNL Telephone Exchange, P&amp;T Staff Colony, Mulund West, Mumbai, Maharashtra 400080, India"/>
        <s v="Shop no 2, Akruti Elegance, Akruti Elegance Cooperative Housing Society, VB Phadake Rd, Gavanpada, Mahakali Nagar, Mulund East, Mumbai, Maharashtra 400081, India"/>
        <s v="Purushottam Kheraj Rd, Gokulesh Society, St Pius Colony, Mulund West, Mumbai, Maharashtra 400080, India"/>
        <s v="Ground Floor, Runwal Greens Complex, Mulund - Goregaon Link Rd, Nahur West, Industrial Area, Mulund West, Mumbai, Maharashtra 400080, India"/>
        <s v="Shop No 4,Matruchhaya,Dreamland Bungalows, Jai Shastri Nagar, Mulund Colony, Mulund West, Mumbai, Maharashtra 400082, India"/>
        <s v="Shop no. 26, Jakat Naka Shopping Society, opp. to Honda showroom, Sector Number 2, Shree Nagar, Thane West, Thane, Maharashtra 400604, India"/>
        <s v="B.P.S BHAVAN NO. 2, JALARAM ASHISH COMPOUND, Devi Dayal Rd, Mulund West, Mumbai, Maharashtra 400080, India"/>
        <s v="Shop No. 9, Amfotech IT Park, SG Barve Rd, Wagle Industrial Estate, Thane West, Thane, Maharashtra 400604, India"/>
        <s v="Commercial, Opp, WING-B, Nirmal Lifestyle Mall, Lal Bahadur Shastri Marg, Salpa Devi Pada, Mulund West, Mumbai, Maharashtra 400080, India"/>
        <s v="Shop no 4, Bramhjyoti, Dr Ambedkar Rd, Vidya Vihar, Mulund West, Mumbai, Maharashtra 400080, India"/>
        <s v="Shop No 06, Meghdoot Apt, Purushottam Kheraj Rd, opp. Kalidas AuditoriumLll Road, Mulund, Mulund West, Mumbai, Maharashtra 400080, India"/>
        <s v="Shop no. 13/14B, Bodke Building, opp. Mulund Railway Station, near by McDonald's, Mulund West, Mumbai, Maharashtra 400080, India"/>
        <s v="Shop 16B, CHS, Silver Birch, Mulund (W, Nirmal Nagar, Mulund West, Mumbai, Maharashtra 400080, India"/>
        <s v="Shop No, 151, near, HK Gidwani School, Mulund Colony, Mulund West, Mumbai, Maharashtra 400082, India"/>
        <s v="Shop No. 2, Murar Rd, Chandraprabha Chs, Mulund, Mulund West, Mumbai, Maharashtra 400080, India"/>
        <s v="Shahid Mangal Pandey Rd, Mulund, Mulund West, Mumbai, Maharashtra 400080, India"/>
        <s v="Shop No 2&amp;3, Bps Pratistha, CHS LTD, Devi Dayal Rd, Gavane Pada, Mulund, Mulund West, Mumbai, Maharashtra 400080, India"/>
        <s v="Shop #: 19, Plot #:, Palm Beach Galleria Mall, 17, Phase 2, Sector 19D, Vashi, Navi Mumbai, Maharashtra 400703, India"/>
        <s v="190-A, Vashi Kopar Khairane Rd, Juhu Nagar, Jui Nagar, Sector 12, Vashi, Navi Mumbai, Maharashtra 400703, India"/>
        <s v="plot no. 132, Tulip CHS, Shop no. 12, Sector 28, Vashi, Navi Mumbai, Maharashtra 400703, India"/>
        <s v="5th Floor, Palm Beach Galleria Mall, Palm Beach Rd, Phase 2, Sector 19D, Vashi, Navi Mumbai, Maharashtra 400703, India"/>
        <s v="Shop 8, 9 &amp; 10, The Affaires Building, Ground Floor, Palm Beach Rd, Sector 17, Sanpada, Navi Mumbai, Maharashtra 400703, India"/>
        <s v="Plot No.41, Floor, 1st Floor, Plot 41, Palm Beach Rd, above VLCC, near Furniture Mall, Phase 2, Sector 19E, Vashi, Navi Mumbai, Maharashtra 400703, India"/>
        <s v="Plot No 31/A, Hotel Yogi Executive, Sector 22, MAFCO Rd, opposite MAFCO Market, Sector 22, Vashi, Navi Mumbai, Maharashtra 400703, India"/>
        <s v="Shop No.7A, Ground Floor, Big Splash, Plot no.78 &amp; 79, Juhu Nagar, Sector 17, Vashi, Navi Mumbai, Maharashtra 400703, India"/>
        <s v="701, Cyber One, Sector 30A, Vashi, Navi Mumbai, Maharashtra 400703, India"/>
        <s v="Unit No. G49, 49 A, Inorbit Mall, Sector 30A, Vashi, Navi Mumbai, Maharashtra 400705, India"/>
        <s v="Unit No 9, Ground Floor, Shaha Signature, Sun Flower Road, opposite Abhyudaya Bank Marg, Sector 17, Vashi, Navi Mumbai, Maharashtra 410210, India"/>
        <s v="Shop no.8/9, Vasundhara Heights, Plot-no-5, Sector 11, Sanpada, Navi Mumbai, Maharashtra 400705, India"/>
        <s v="Shop no. 28/28A Ground Floor, Inorbit Mall, Sector 30A, Vashi, Navi Mumbai, Maharashtra 400705, India"/>
        <s v="1st floor, Unit - 104, sec-30A, Plot :39/2, Real Tech Park, near, Top 10, Sector 30A, Vashi, Navi Mumbai, Maharashtra 400703, India"/>
        <s v="Ground Floor, Inorbit Mall, opposite Vashi Railway Station, Sector 30A, Vashi, Navi Mumbai, Maharashtra 400705, India"/>
        <s v="F31 Plot No. 39, Inorbit Mall, 1, Palm Beach Rd, opposite Vashi, Sector 30A, Vashi, Navi Mumbai, Maharashtra 400703, India"/>
        <s v="G-197, Ground Floor, Haware Fantasia Business Park, Sector 30A, Vashi, Navi Mumbai, Maharashtra 400703, India"/>
        <s v="The Regenza by Tunga, Plot No. 37, Bhagwan Mahaveer Rd, Sector 30A, Vashi, Navi Mumbai, Maharashtra 400703, India"/>
        <s v="Shop no.03/A, shivlrupa mahila sangh, bus Depo, beside Vashi, Juhu Nagar, Sector 9A, Vashi, Navi Mumbai, Maharashtra 400703, India"/>
        <s v="3X8X+GCJ, Vashi Railway Station Rd, Sector 30A, Vashi, Navi Mumbai, Maharashtra 400703, India"/>
        <s v="Satra Plaza, Shop no 111, First Floor, Palm Beach Rd, Sector: 19D, Vashi, Navi Mumbai, Maharashtra 400705, India"/>
        <s v="Inorbit Mall, Palm Beach Rd, Sector 30A, Vashi, Navi Mumbai, Maharashtra 400703, India"/>
        <s v="marine center, Marine Street, Juhu Nagar, Juhu Village, Sector 11, Vashi, Navi Mumbai, Maharashtra 400703, India"/>
        <s v="Plot No. 10, Nirman Vyapar Kendra, next to Hotel Navaratna, Sector 17, Vashi, Navi Mumbai, Maharashtra 400703, India"/>
        <s v="shop No.05, Satra Plaza, Palm Beach Rd, Sec 19D, Vashi, Navi Mumbai, Maharashtra 400703, India"/>
        <s v="Shop No 1, Plot No 34, Sector 26, Vashi, Maharashtra 400703, India"/>
        <s v="Sector 30A, Vashi, Navi Mumbai, Maharashtra 400703, India"/>
        <s v="1st floor, Inorbit Mall, Palm Beach Rd, Sector 30A, Vashi, Navi Mumbai, Maharashtra 400703, India"/>
        <s v="Shop 120, 1st Floor, Satra Plaza, Sector 19-D, Palm Beach Rd, Juhu Nagar, Phase 2, Sector 19D, Vashi, Navi Mumbai, Maharashtra 400703, India"/>
        <s v="Shop no. 59, Satra Plaza, Palm Beach Rd, Phase 2, Sector 19D, Vashi, Navi Mumbai, Maharashtra 400703, India"/>
        <s v="Kopar Khairane Rd, near Reliance Digital, Sector 13, Kopar Khairane, Navi Mumbai, Maharashtra 400709, India"/>
        <s v="Swami Pranabananda Marg, Sector 30, Vashi, Navi Mumbai, Maharashtra 400703, India"/>
        <s v="Ground Floor, T wing, Akshar Business Park, Sector 25, Vashi, Navi Mumbai, Maharashtra 400703, India"/>
        <s v="First Floor, Inorbit Mall, Sector 30A, Vashi, Navi Mumbai, Maharashtra 400703, India"/>
        <s v="Inorbit Mall, Railway Station, Palm Beach Rd, Sector 30A, Vashi, Navi Mumbai, Maharashtra 400703, India"/>
        <s v="2, Plot no 104, Shagar Vihar, Sai Maya CHS, Shop no, Parmarth Niketan Marg, Sector 29, Vashi, Navi Mumbai, Maharashtra 400703, India"/>
        <s v="Shop 002, Abhimanyu-2 CHS, Off, Palm Beach Rd, beside Krishna Restaurant, opp. Suraj Hospital, Sector 1, Sanpada, Navi Mumbai, Maharashtra 400705, India"/>
        <s v="Shop 23, Satra Plaza, Phase 2, Sector 19D, Vashi, Navi Mumbai, Maharashtra 400703, India"/>
        <s v="Plot No: 17, near HDFC Bank, Juhu Nagar, Sector 28, Vashi, Navi Mumbai, Maharashtra 400703, India"/>
        <s v="near vashi station, Sector 30A, Turbhe, Navi Mumbai, Maharashtra 400703, India"/>
        <s v="No 4 and 2, JK Chambers Building, Vashi-Turbhe Rd, Sector 17, Vashi, Navi Mumbai, Maharashtra 400705, India"/>
        <s v="near Sagar Vihar, Sector 8, Vashi, Navi Mumbai, Maharashtra 400703, India"/>
        <s v="Nivasti Imperium, 3rd Floor, Sector 19, Palm Beach, Sanpada, Navi Mumbai, Maharashtra 400705, India"/>
        <s v="Achija Veg Restaurant, Satra Plaza, near Kohinoor, Phase 2, Sector 19D, Vashi, Navi Mumbai, Maharashtra 400703, India"/>
        <s v="Shop no-16, Giriraj Darshan society, near Megamart, below Ajayan's Hospital, Sector 9, Kopar Khairane, Navi Mumbai, Maharashtra 400709, India"/>
        <s v="Shree Durga Apartment CHS, Juinagar Station Rd, Sector 10, Sanpada, Navi Mumbai, Maharashtra 400705, India"/>
        <s v="Shop 8C, Vashi Station Food Court, opp. Real Tech Park, Sector 30, Vashi, Navi Mumbai, Maharashtra 400705, India"/>
        <s v="E-71, APMC Masala Market, APMC Market, Sector 19, Vashi, Navi Mumbai, Maharashtra 400703, India"/>
        <s v="shop no 2 &amp; 3, Navprerna Apartment, A-6/1, Maratha Bhavan Marg, opp. shiv Krupa society, Juhu Nagar, Sector 15, Vashi, Navi Mumbai, Maharashtra 400703, India"/>
        <s v="Shop 25, Ground Floor, Satra Plaza, Palm Beach Rd, Phase 2, Sector 19D, Vashi, Navi Mumbai, Maharashtra 400703, India"/>
        <s v="Inorbit Mall, Unit No - S-39, Second Floor, Palm Beach Rd Sector 30A Located, Vashi, Navi Mumbai, Maharashtra 400703, India"/>
        <s v="1st Floor, PLOT NO.- 88, 37, Sector 30A, Vashi, Navi Mumbai, Maharashtra 400703, India"/>
        <s v="G-36, Ground floor, Inorbit Mall, Palm Beach Rd, Sector 30A, Vashi, Navi Mumbai, Maharashtra 400705, India"/>
        <s v="Shop No-14, Mayuresh Cosmos, Sector 11, CBD Belapur, Navi Mumbai, Maharashtra 400614, India"/>
        <s v="Sector 3, Sanpada, Navi Mumbai, Maharashtra 400705, India"/>
        <s v="Centronic, Plot No. 18, Palm Beach Galleria Mall, Shop No. 26 &amp; 27, Ground Floor, Sector 19D, Vashi, Navi Mumbai, Maharashtra 400703, India"/>
        <s v="Shop No. 30, TOWER-II, Gyan Vikas Road, Sector 18, Kopar Khairane, Navi Mumbai, Maharashtra 400709, India"/>
        <s v="Plot Number 7, 13, Krishi Bhawan, Palm Beach Rd, Sector 19C, APMC Market 1, Vashi, Navi Mumbai, Maharashtra 400703, India"/>
        <s v="3285+H98, Sector 30A, Vashi, Navi Mumbai, Maharashtra 400705, India"/>
        <s v="Dr D Y Patil Vidyanagar, Sector 5, Nerul, Navi Mumbai, Maharashtra 400706, India"/>
        <s v="Shop 5, Ashirwad Apts, Nerul East, Sector 3, Nerul, Navi Mumbai, Maharashtra 400706, India"/>
        <s v="Punit Park Cosmopolitan Co-Operative Housing Society, Sector 17, Nerul, Navi Mumbai, Maharashtra 400706, India"/>
        <s v="Courtyard by Marriott, Sector 7, Nerul, Navi Mumbai, Maharashtra 400706, India"/>
        <s v="shop no 1, Varun CHS, plot no 305, Rock Garden Rd, near Yashwant Ground, Nerul East, Sector 21, Nerul, Navi Mumbai, Maharashtra 400706, India"/>
        <s v="shop no.2/3, Beverly Park, plot no.20, near Palm Beach Road, Sector no.6, Nerul, Navi Mumbai, Maharashtra 400706, India"/>
        <s v="Shop No.1, Sahara CHS, Plot 17, Seawoods West, Sector 40, Seawoods, Navi Mumbai, Maharashtra 400706, India"/>
        <s v="SHOP NO. 1, PLOT NO.95, SECTOR 18 A, NERUL (W) NAVI MUMBAI, Mumbai, Maharashtra 400706, India"/>
        <s v="SHOP NO.1A, CHS, Shreeji Plaza, PLOT NO.24, East, Seawoods Bridge, Sector 25, Navi Mumbai, Maharashtra 400706, India"/>
        <s v="91, Jagatguru Aadi Shankracharya Marg, Nerul East, Sector 19A, Nerul, Navi Mumbai, Maharashtra 400706, India"/>
        <s v="plot 22, Platinum Venecia, Nerul East, Sector 29, Nerul, Navi Mumbai, Maharashtra 400706, India"/>
        <s v="Shop No. 13, Progressive's Sea Lounge, Plot No.44, Sector 15, CBD Belapur, Navi Mumbai, Maharashtra 400614, India"/>
        <s v="Shop no. 26, Plot no. 13, Bhimashankar Shopping Complex, Nerul East, Sector 19A, Nerul, Navi Mumbai, Maharashtra 400706, India"/>
        <s v="Shop No. 02, Seawood Acrcade society, Kamaladevi Birajdar Marg, opp. Saraswati bank, Sector 19A, Nerul, Navi Mumbai, Maharashtra 400706, India"/>
        <s v="Nerul East, Sector 13, Nerul, Navi Mumbai, Maharashtra 400607, India"/>
        <s v="Shop No.3, Plot B-104, Sector 23/B, Darave Rd, Nerul, Navi Mumbai, Maharashtra 400706, India"/>
        <s v="Seawoods West, Kendriya Vihar, Sector 40, Nerul, Navi Mumbai, Maharashtra 400706, India"/>
        <s v="Seawoods Grand Central, Plot No. R-1 second floor, Sector 40, Seawoods, Navi Mumbai, Maharashtra 400706, India"/>
        <s v="Morya Ceramics, Shop 2, Plot 582, Laxmi Niwas, Besides, Sector 1, Shiravane, Nerul, Navi Mumbai, Maharashtra 400706, India"/>
        <s v="Shop no.4,5,6, Everest Heights, Parsik Hill, Sector 26, CBD Belapur, Navi Mumbai, Maharashtra 400614, India"/>
        <s v="Palm Beach Rd, Sector 17, Sanpada, Navi Mumbai, Maharashtra 400705, India"/>
        <s v="Sailors' Cafe, Shop no.9 CHS Belle Vista, Sector 15, CBD Belapur, Navi Mumbai, Maharashtra 400614, India"/>
        <s v="Shop No 6, 7, Ground Floor, Plot No 1, 1A, 1B, 1C, SHREEJI HEIGHTS, Sector-46/A, Sector 46A, Nerul, Navi Mumbai, Maharashtra 400706, India"/>
        <s v="Shop Number 2-3, Sandeep Apartment, Plot Number A-197, near Balaji Mandir, Sector 20, Nerul, W, Navi Mumbai, Maharashtra 400706, India"/>
        <s v="Shop number 28, SHREEJI HEIGHTS, Sector-46/A, Nerul west, Seawoods, Navi Mumbai, Maharashtra 400706, India"/>
        <s v="Shop No 4, Gahlot Majesty, Palm Beach Rd, Sector-46/A, Sector 46 A, Seawoods, Navi Mumbai, Maharashtra 400706, India"/>
        <s v="B001, Nerul Railway Station Complex Sector 15, Nerul West, Navi Mumbai, Maharashtra 400706, India"/>
        <s v="Amrita sadan chs , plot no : 13-14 , shop no : B, 16, Sector 20, Navi Mumbai, Maharashtra 400706, India"/>
        <s v="Shop 1, Sai Radiance, Sector 15, CBD Belapur, Navi Mumbai, Maharashtra 400614, India"/>
        <s v="4, Arenja Plaza, Plot No: 52, Sector 15, CBD Belapur, Navi Mumbai, Maharashtra 400614, India"/>
        <s v="Shop no 17/18, Belapur Sun City, Sector 15, CBD Belapur, Navi Mumbai, Maharashtra 400614, India"/>
        <s v="Shop No- 13, Plot no- 41, Shree Ambika Niwas Landmark- L&amp;T Grand central mall, Seawoods West, Sector 42, Seawoods, Navi Mumbai, Maharashtra 400706, India"/>
        <s v="Ground Floor, Beverly Park CHS, Palm Beach Rd, Sector 6, Nerul, Navi Mumbai, Maharashtra 400706, India"/>
        <s v="1, Seawoods Station Rd, Sector 40, Seawoods, Navi Mumbai, Maharashtra 400706, India"/>
        <s v="LG-137, Nexus, Grand Central, Seawoods Station Rd, Nerul East, Sector 28, Seawoods, Navi Mumbai, Maharashtra 400706, India"/>
        <s v="1, Plot No R1, L&amp;T Seawoods Residences Phase, D8/01, Seawoods East, Nerul East, Sector 25, Nerul, Navi Mumbai, Maharashtra 400706, India"/>
        <s v="Shop No, Cooperative Housing Society, Amrita Sadan, B-16, Sector 22, Nerul, Navi Mumbai, Maharashtra 400706, India"/>
        <s v="Shop No 5, Aroma Chai, Shree Ganesh Apartment, Plot No 265, Sector 23, Juinagar, Navi Mumbai, Maharashtra 400705, India"/>
        <s v="Shop No. 08, Safal Pride, CHS, Nerul East, Sector 25, Nerul, Navi Mumbai, Maharashtra 400706, India"/>
        <s v="Shop No.3, Plot No.5, Mahavir Shopping Centre, Opposite Nerul Best Bus Depot, East, Sector 11, Nerul, Navi Mumbai, Maharashtra 400706, India"/>
        <s v="Shop No 4, V Times Square, Palm Beach Rd, Sector 15, CBD Belapur, Navi Mumbai, Maharashtra 400607, India"/>
        <s v="Shop No.17, Ground Floor, Citi Tower, Plot No-55, opposite Brew House Cafe, Sector 15, CBD Belapur, Navi Mumbai, Maharashtra 400614, India"/>
        <s v="Shop no G 47 plot no 88, Hawares Centurion Mall, Nerul East, Sector 19A, Seawoods (E, Navi Mumbai, Maharashtra 400706, India"/>
        <s v="Ground Floor, Nexus Seawoods, Railway Station, Sector 28, Seawoods, Navi Mumbai, Maharashtra 400706, India"/>
        <s v="22C9+GJ8, Nerul East, Sector 40, Nerul, Navi Mumbai, Maharashtra 400706, India"/>
        <s v="Shop No. 4 &amp; 5, Ground Floor SHREEJI HEIGHTS, Sector-46/A, Nerul, Seawoods, Navi Mumbai, Maharashtra 400706, India"/>
        <s v="Parsik Hill Rd, Sector 26, CBD Belapur, Navi Mumbai, Maharashtra 400614, India"/>
        <s v="Seawoods Station Rd, Nerul East, Sector 40, Nerul, Navi Mumbai, Mumbai, Maharashtra 400706, India"/>
        <s v="Shop no 24-26, Belapur Sun City, Sector 15, CBD Belapur, Navi Mumbai, Maharashtra 400614, India"/>
        <s v="22CH+3PQ, Sector 23, Nerul, Navi Mumbai, Maharashtra 400614, India"/>
        <s v="Shop no-2, Sriji Seva, plot no -42, near Nexus Mall, Seawoods West, Sector 42, Seawoods, Navi Mumbai, Maharashtra 400706, India"/>
        <s v="B16, plot no, Amrita Sadan, 13 &amp; 14, near old dwarka hotel, opposite Nerul railway station, Nerul East, Nerul West, Nerul, Navi Mumbai, Maharashtra 400706, India"/>
        <s v="shop at, haware mall, Nerul East, Sector 19A, Nerul, Navi Mumbai, Maharashtra 400706, India"/>
        <s v="2nd Floor, Nexus Mall, F&amp;B04, Air Space, Seawoods Station Rd, Nerul East, Sector 40, Seawoods, Navi Mumbai, Maharashtra 400706, India"/>
        <s v="Bhoomi Tower, Simran Residency Service Road, Sector 4, Kharghar, Navi Mumbai, Maharashtra 410210, India"/>
        <s v="Plot 162, Cafe &amp; Eatery, Lake Side, Sector-9, New Panvel East, Panvel, Navi Mumbai, Maharashtra 410206, India"/>
        <s v="Shop No.07, Sai Arcade, Plot no 20, Sector 15, New Panvel East, city, Navi Mumbai, Maharashtra 410206, India"/>
        <s v="Shop no -12, Tulsi Heights Building, Chs Ltd, Plot no - 1, Gurudwara Rd, Sector 5, New Panvel East, Maharashtra 410206, India"/>
        <s v="shop no 9, PRECIOUS RESIDENCY, KK cinema road, near Dmart ready, Sector 19, Kamothe, Panvel, Navi Mumbai, Maharashtra 410209, India"/>
        <s v="Shop no.29-30, Neelkanth darshan,Plot No.124/4, near Nadkarani Hospital, Old Panvel, Mumbai, Maharashtra 410206, India"/>
        <s v="Plot No.2, Rd Number 16, near ayushman clinic, Sector 19, New Panvel East, Panvel, Mumbai, Navi Mumbai, Maharashtra 410206, India"/>
        <s v="Shop No-9, Sec-01, Om, Shri Niketan, Plot No-12a, Sector - 1, Khanda Colony, Panvel, Navi Mumbai, Maharashtra 410206, India"/>
        <s v="Shop No. 11, Ground Floor, Chs Ltd, Tulsi Heights Building, Plot No 1, Gurudwara Rd, Sector 5, New Panvel East, Panvel, Navi Mumbai, Maharashtra 410206, India"/>
        <s v="Unnamed Road, Triveni Society, Sector 16, New Panvel East, Panvel, Navi Mumbai, Maharashtra 410206, India"/>
        <s v="SHOP NO. 13, GOBBLE ENTERPRISES, PRAJAPATI ARCADE CHS, PLOT NO. 22-23, Sector 15A, New Panvel East, Panvel, Navi Mumbai, Maharashtra 410206, India"/>
        <s v="Shop No.18, Matruchaya CHS, CKT Collage Road, New Panvel (W, Sector - 13, Khanda Colony, Maharashtra 410206, India"/>
        <s v="Shop No -1,2,3, Devrshi Building, Plot No -6, Sector 4, New Panvel East, Panvel, Mumbai, Navi Mumbai, Maharashtra 410206, India"/>
        <s v="Ckt College Rd, Sector 11, Khanda Colony, Panvel, Navi Mumbai, Maharashtra 410206, India"/>
        <s v="Phoenix Heights Plot No. 56 Sector-17, Roadpali Rd, Roadpali, Kalamboli, Panvel, Navi Mumbai, Maharashtra 410218, India"/>
        <s v="Shop no 3 plot no 6A City Park, near Kokan Deep Hotel, Sector - 13, Khanda Colony, Navi Mumbai, Maharashtra 410206, India"/>
        <s v="SHOP NO.6 , Shri niketan CHS building, sector-1 , khanda colony, opposite to Mahatma School, New Panvel East, W, Navi Mumbai, Maharashtra 410206, India"/>
        <s v="second floor, food court, bus depot, Orion mall, near Panvel, Panvel, Maharashtra 410206, India"/>
        <s v="Pale Budruk, 105K, Panvel Vavanja Road, Panvel, Navi Mumbai, Pale Bk., Maharashtra 410208, India"/>
        <s v="Shop No 8, Shri Niketan, Plot No 2, New, Sector - 1, Khanda Colony, Panvel, Navi Mumbai, Maharashtra 410206, India"/>
        <s v="Shri Niketan, Tulsi Prerna Rd, Sector - 1, Khanda Colony, Panvel, Navi Mumbai, Maharashtra 410206, India"/>
        <s v="Shop Number 9 Neelkanth Darshan Building, Old Panvel, Panvel, Maharashtra 410206, India"/>
        <s v="Sector-1, New Panvel East, Panvel, Navi Mumbai, Maharashtra 410206, India"/>
        <s v="The ACE Cafe, Near Pillai's College, Behind Swad Hotel, near Phoenix Stationery Shop, Triveni Society, Sector 16, New Panvel East, Panvel, Navi Mumbai, Maharashtra 410206, India"/>
        <s v="Addicted, Sector 11, Khanda Colony, Panvel, Navi Mumbai, Maharashtra 410206, India"/>
        <s v="Darshan apartment, Oppo burlings, near dhutpapeshwar corner, Old Panvel, Navi Mumbai, Maharashtra 410206, India"/>
        <s v="Shop No 14, Hari Madhur Milan Building, near Dmart, Sector 5, New Panvel East, Panvel, Navi Mumbai, Maharashtra 410206, India"/>
        <s v="Shop-4, Sai Paradise, plot - 100, Sector-1, New Panvel East, Panvel, Navi Mumbai, Maharashtra 410206, India"/>
        <s v="Shop No 12, Kunj Complex, Plot 47, near Budhavihar, Sector 11, Kamothe, Panvel, Navi Mumbai, Maharashtra 410209, India"/>
        <s v="opposite SHREE SAMARTH CHS LTD PLOT 16 SECTOR 16, near PILLAI COLLEGE, Sector 16, New Panvel East, Panvel, Navi Mumbai, Maharashtra 410206, India"/>
        <s v="FP No 311, Orion Mall, Mumbai - Pune Expy, near Vijay Sales, Forest Colony, Panvel, Navi Mumbai, Maharashtra 410206, India"/>
        <s v="Shop No 24 , plot no :29, Silver Crest, Sector-25, Kamothe, Panvel, Navi Mumbai, Maharashtra 410209, India"/>
        <s v="PLOT-29, SILVERCREST CHS LTD, Shop-27, STATION, opposite KHANDESHWER, Sector-25, Kamothe, Maharashtra 410209, India"/>
        <s v="Shop No- 01, Govind Garden, plot- 70, 410206, Old Panvel, Maharashtra 410206, India"/>
        <s v="Shri Gayatri CHS, Sector 11, Khanda Colony, Panvel, Navi Mumbai, Maharashtra 410206, India"/>
        <s v="Pratik Harmony CHS Shop no. 6, Plot no 35 Sec 20, Roadpali, Kalamboli, Maharashtra 410218, India"/>
        <s v="Bhagat Wadi, near Rajiv Gandhi Maidan, Sector 11, New Panvel East, Maharashtra 410206, India"/>
        <s v="Shop no 01, Mahesh Heights, Plot no 97, Sect R3, Karanjade, Panvel, Navi Mumbai, Maharashtra 410206, India"/>
        <s v="Shop Number 7, Shubh Neel Shivam, Plot No.40, Sector 11, Kamothe, Panvel, Navi Mumbai, Maharashtra 410209, India"/>
        <s v="Shop No 36 , Plot No 198/A/205/14 SHREE, Raje Complex, MTNL Rd, opposite Chhatrapati Shivaji Maharaj Chowk, Old Panvel, Panvel, Navi Mumbai, Maharashtra 410206, India"/>
        <s v="Sector 2, AUTO STAND, Shop No 7, SADGURU APARTMENT, Karanjade, Raigad, Maharashtra 410206, India"/>
        <s v="105K, Panvel Vavanja Road, Village Pale Budruk, Panvel, Navi Mumbai, Pale Bk., Maharashtra 410208, India"/>
        <s v="Roadpali Main Rd, Sector 20, Kalamboli, Panvel, Navi Mumbai, Maharashtra 410218, India"/>
        <s v="Shop No 6, MANGALMURTI APARTMENT, PARDESHI ALI, SAVARKAR CHOWK, near SAVARKAR, Manek Nagar, HOC Colony, Panvel, Chouk, Navi Mumbai, Maharashtra 410206, India"/>
        <s v="7, Panvel Matheran Rd, Sukapur, Panvel, Navi Mumbai, Shilottar Raichur, Maharashtra 410206, India"/>
        <s v="shop no 1, SAI SITARA BUILDING, near Mumbai - Pune Expressway, Sector 6, New Panvel East, Maharashtra 410206, India"/>
        <s v="Shop No.5 Sector No.16, Gini Park, Chs, Sector 16, New Panvel East, Panvel, Navi Mumbai, Maharashtra 410206, India"/>
        <s v="3rd Floor, Orion Mall, Bus Depot, FP No 311, Mumbai - Pune Expy, Forest Colony, Panvel, Mumbai, Navi Mumbai, Maharashtra 410206, India"/>
        <s v="Vinayak Darpan, Jai Plaza, Shop Number 3 Vinayak darpan Building Plot Number 27 Sector 2 A, Karanjade, Panvel, Maharashtra 410206, India"/>
        <s v="Sho No 3 Sairaj Building Plot Number 51, Sector 3, Karanjade, Panvel, Maharashtra 410206, India"/>
        <s v="Shop no. 8 &amp; 9, Osho Kabir CHS, New, Sector 10, Khanda Colony, Panvel, W, Navi Mumbai, Maharashtra 410206, India"/>
        <s v="Shop no. 11, Gini Park, Plot no.26, near Pillai's College Girl's hostel, Sector 16, New Panvel East, Panvel, Navi Mumbai, Maharashtra 410206, India"/>
        <s v="Shop No. 4, Neel Orchid, Khanda Colony, Old Panvel, Shop Number 2, Neel Orchid Building, Plot Number 41, Sector 10, Panvel, Navi, Mumbai, Maharashtra 410206, India"/>
        <s v="Plot No, Jetking, 143, Vasudev Balwant Phadke Rd, MCCH Society, Panvel, Navi Mumbai, Maharashtra 410206, India"/>
        <s v="Shop no.2 Nandgaon, near Sunshine Valley School, Panvel, Maharashtra 410221, India"/>
        <s v="Shop No 2,3,4, SAMARTH APARTMENT, near MARUTI HANUMAN MANDIR, Line Ali, Old Panvel, Panvel, Navi Mumbai, Maharashtra 410206, India"/>
        <s v="Dombala, Panvel, Navi Mumbai, Maharashtra 410206, India"/>
        <s v="827, Mahatma Gandhi Rd, Tapal Naka, Old Panvel, Panvel, Navi Mumbai, Maharashtra 410206, India"/>
        <s v="Final Plot, Sai Arcade, 184, Shivaji Rd, opposite S.T.Stand, Old Panvel, Panvel, Navi Mumbai, Maharashtra 410206, India"/>
        <s v="Shop. No. 1, Shah Prima, Sector 2, Kharghar, Navi Mumbai, Maharashtra 410210, India"/>
        <s v="Bhoomi Heights, WING-A, Kharghar Station Rd, Wing F, Sector 8, Kharghar, Navi Mumbai, Maharashtra 410210, India"/>
        <s v="Glomax Mall, BBC, Cafeteria No.5, Sai Health Centre, Plot No.15, road, near petrol pump, Sector 2, Kharghar, Navi Mumbai, Maharashtra 410210, India"/>
        <s v="20, Kharghar Station Rd, Sector 2, Kharghar, Navi Mumbai, Maharashtra 410210, India"/>
        <s v="Shop No: 1&amp;2, Delta Central, Central Park Service Rd, Sector 23, Kharghar, Navi Mumbai, Maharashtra 410210, India"/>
        <s v="Shop no. 6 &amp; 7, Greenwood's Apt, Plot no 9-13,13A &amp; 13B, Sector 34 E, Sector 35E, Kharghar, Navi Mumbai, Maharashtra 410210, India"/>
        <s v="Shop no. 10, Plot Number 9, Sai Saakshaat, CHS, Sector 6, Kharghar, Navi Mumbai, Maharashtra 410210, India"/>
        <s v="Shop No.6, Sadguru Tower, Central Park Metro Rd, Sector-19, Kharghar, Navi Mumbai, Maharashtra 410210, India"/>
        <s v="Shilp Chowk, Sector 21, Kharghar, Navi Mumbai, Maharashtra 410210, India"/>
        <s v="Shop no 39, Hiranandani Crystal Plaza, Sector 7, Kharghar, Navi Mumbai, Maharashtra 410210, India"/>
        <s v="Shop No 9, Bhoomi Heights, Plot 5 &amp; 6, Wing F, Sector 8, Kharghar, Navi Mumbai, Maharashtra 410210, India"/>
        <s v="Unit No 16 &amp; 17,Little world Mall, Sector 2, Kharghar, Mumbai, Maharashtra 410210, India"/>
        <s v="Shop No. 32, GROWMORE TOWER, Sector 2, Kharghar, Navi Mumbai, Maharashtra 410210, India"/>
        <s v="Shop No 9 and 10, Bhagwati Greens, 1, Central Park Rd, Sector 23, Kharghar, Navi Mumbai, Maharashtra 410210, India"/>
        <s v="Shop 23&amp;24, Grow more Tower, Plot no: 5, Sector: 2, Kharghar, Navi Mumbai, Maharashtra 410210, India"/>
        <s v="GOODWILL GARDEN, Shop no 8A/9A, Plot 15/16, Sector 8, Kharghar, Navi Mumbai, Maharashtra 410210, India"/>
        <s v="FIRST FLOOR, VISHWAKARMA TOWER, PLOT 4, near GOLF COURSE AND ISKON TEMPLE, Sector 21, Kharghar, Navi Mumbai, Maharashtra 410210, India"/>
        <s v="SHAH HEIGHTS BLOCK-B, Shah Heights, Shop 14/15, Sector 7, Kharghar, Navi Mumbai, Maharashtra 410210, India"/>
        <s v="Shop no 7/8 3, Bhagwati Greens, Plot no-7, Central Park Service Rd, near Iskcon temple, Sector 23, Kharghar, Navi Mumbai, Maharashtra 410210, India"/>
        <s v="Shop no. 6, Shah Prima, Plot No. 13, Sector 2, Kharghar, Navi Mumbai, Maharashtra 410210, India"/>
        <s v="3 plot no E, bus stops, Shiv Krupa sector 3 Belpada kharghar opps railway station Shiv krupa chs sector, 68, Belpada Rd, next to nift institute, opposite realway station, Sector 3, Belpada, Kharghar, Navi Mumbai, Maharashtra 410210, India"/>
        <s v="Shop No:27, ITM College Rd, Sector 4, Kharghar, Navi Mumbai, Maharashtra 410210, India"/>
        <s v="No. 7 &amp; 8, Prajapati Gaurav, Station Rd, Sector 2, Kharghar, Navi Mumbai, Maharashtra 410210, India"/>
        <s v="Shop no.25, Hiranandani Crystal Plaza, Sector 7, Kharghar, Navi Mumbai, Maharashtra 410210, India"/>
        <s v="Shop no. 1, Sai Saakshaat, Sector no. 6, Kharghar, Navi Mumbai, Maharashtra 410210, India"/>
        <s v="Proviso Apartment, Sector 34 E, Sector 35E, Kharghar, Navi Mumbai, Maharashtra 410210, India"/>
        <s v="Shop No -04, Plot No 6, MONARCH LUXURIA, Vastu Vihar Rd, Sector 18, Kharghar, Navi Mumbai, Maharashtra 410210, India"/>
        <s v="Shop No. 5, Shah Prima, Sector 2, Kharghar, Navi Mumbai, Maharashtra 410210, India"/>
        <s v="Fountain Square Mall, Shop No.8,, Plot No.5, Utsaw Chowk Perimeter Rd, Sector 7, Kharghar, Navi Mumbai, Maharashtra 410210, India"/>
        <s v="Shop no. 8, SEAWOOD HERITAGE, opp. Yerla Medical College, Sector 4, Kharghar, Navi Mumbai, Maharashtra 410210, India"/>
        <s v="Shop-4, Rishab Complex, plot-5A, Belpada Rd, beside Bal Bharti Public school, Sector 4, Kharghar, Navi Mumbai, Maharashtra 410210, India"/>
        <s v="SHOP NO-13, CHS LTD, Elite Enclave, PLOT NO-260, Anushaktinagar, Sector 10, Kharghar, Mumbai, Navi Mumbai, Maharashtra 410210, India"/>
        <s v="BLOCK-4, Shree Krishna Paradise, Sector 12, Kharghar, Navi Mumbai, Maharashtra 410210, India"/>
        <s v="Shop No. 4, Dream Tower, Plot No. E 93, Sector 3, Belpada, Kharghar, Navi Mumbai, Maharashtra 410210, India"/>
        <s v="Balaji Angan, Sector 4, Kharghar, Navi Mumbai, Maharashtra 410210, India"/>
        <s v="Plot no 5 &amp; 6, Bhoomi Heights, Shop No-8, Sector 8, Kharghar, Mumbai, Maharashtra 410210, India"/>
        <s v="Metro Pillar Number 164, Shop No.12, Plot 48, Amrut Dhara Complex Infront of, Sector 20, Kharghar, Navi Mumbai, Maharashtra 410210, India"/>
        <s v="Sector 11, CBD Belapur, Navi Mumbai, Maharashtra 400614, India"/>
        <s v="Shop no 06, Shankeshwar heights, Block G, Sector 11, Kharghar, Navi Mumbai, Maharashtra 410210, India"/>
        <s v="Shop no 14, HARDROCK BUILDING, Plot no. 6 to 10, Sector 7, Kharghar, Navi Mumbai, Maharashtra 410210, India"/>
        <s v="BHOOMI TOWER SHOP NO-28 , PLOT-28, Sector 4, Kharghar, Navi Mumbai, Maharashtra 410210, India"/>
        <s v="Shop No: 2,3 &amp; 4, Seawood Avenue, Sector 3, Belpada, Kharghar, Navi Mumbai, Maharashtra 410210, India"/>
        <s v="Plot No-04, Shop No-06, Krishna Tower, Sector 35E, Kharghar, Navi Mumbai, Maharashtra 410210, India"/>
        <s v="Shop No 15, Goodwill Paradise, Plot 24, near Dmart, Gharkul, Sector 15, Kharghar, Navi Mumbai, Maharashtra 410210, India"/>
        <s v="Shop no 36/37, Green heritage chs, plot no 78, Jalvayu Rd, Sector 20, Kharghar, Navi Mumbai, Maharashtra 410210, India"/>
        <s v="Shop 23-24, plot no-B/2B,A, 24/c, Utsav Chowk - CISF Rd, Sector 12, Kharghar, Navi Mumbai, Maharashtra 410210, India"/>
        <s v="Shop No. 9, ADHIRAJ COMPLEX, Plot No. 8, Wing F, Sector 8, Kharghar, Navi Mumbai, Maharashtra 410210, India"/>
        <s v="Sector 33, Kharghar, Navi Mumbai, Maharashtra 410210, India"/>
        <s v="New CHS Ltd, 12A/1, RL Kelkar Rd, Sion West, Sion, Mumbai, Maharashtra 400022, India"/>
        <s v="Block No 12, East, 90 Feet Rd, Transit Camp, Rajiv Gandhi Nagar, Dharavi, Mumbai, Maharashtra 400017, India"/>
        <s v="90 Feet Rd, Muslim Nagar, Kumbhar Wada, Dharavi, Mumbai, Maharashtra 400017, India"/>
        <s v="2VR2+CWP, 60 Feet Rd, RP Nagar, Dharavi, Mumbai, Maharashtra 400017, India"/>
        <s v="2RVX+C7R, Dharavi Main Rd, Shammi Nagar, Dharavi, Mumbai, Maharashtra 400017, India"/>
        <s v="2VV5+H34, 90 Feet Rd, Sion Dharavi, Dharavi, Mumbai, Maharashtra 400017, India"/>
        <s v="90 Feet Rd, Sai Baba Nagar, Dharavi, Mumbai, Maharashtra 400017, India"/>
        <s v="Shop B- 200, 90 Feet Rd, near Kamraj School, P.K. Kunte Nagar, Dharavi, Mumbai, Maharashtra 400017, India"/>
        <s v="07, Block, 11, 90 Feet Rd, Block Number 11, Transit Camp, Rajiv Gandhi Nagar, Dharavi, Mumbai, Maharashtra 400017, India"/>
        <s v="MS/RB-T46, Lal Bahadur Shastri Marg, Mahanagar Palika Vasahat, Dharavi, Mumbai, Maharashtra 400017, India"/>
        <s v="Sion-Bandra Link Rd, Tjunction, Dharavi, Mumbai, Maharashtra 400017, India"/>
        <s v="G-34, Sulochana Shetty Marg, Muslim Nagar, Matunga Labour Camp, Dharavi, Mumbai, Maharashtra 400019, India"/>
        <s v="90 Feet Rd, Muslim Nagar, RP Nagar, Dharavi, Mumbai, Maharashtra 400017, India"/>
        <s v="Shop No 5.6 Gupta Chawl, Kalakilla, Dharavi, Mumbai, Maharashtra 400017, India"/>
        <s v="47, Anarya CHS, Jasmine Mill Road,Matunga Labour, Camp, Matunga, opp. Geetanjali Building, Mumbai, Maharashtra 400019, India"/>
        <s v="Chamda Bazar, Dharavi Main Rd, Habib Nagar, Sheshwadi, Dharavi, Mumbai, Maharashtra 400017, India"/>
        <s v="Mahim east sallu seth compund, near sunni jama masjid, Mumbai, Maharashtra 400017, India"/>
        <s v="IGC Chawl, Dharavi Main Rd, Mahim(E, Dharavi, Mumbai, Maharashtra 400017, India"/>
        <s v="5 Harak Niwas, Opposite Bank Of Baroda, Near Railway Station, Station Rd, Sion West, Sion, Mumbai, Maharashtra 400022, India"/>
        <s v="Shop No 13A, Lavji Bhimji Chawl, Kader Maidan, Bhatiya Nagar, Dharavi, Mumbai, Maharashtra 400017, India"/>
        <s v="2VW5+6Q6, 90 Feet Rd, Dharavi Slums, Laxmi Baug, Dharavi, Mumbai, Maharashtra 400017, India"/>
        <s v="2VQ2+R4R Post Office, Jasmine Mill Rd, opposite Shau Nagar, Mahim East, Shammi Nagar, Dharavi, Mumbai, Maharashtra 400019, India"/>
        <s v="D-3, Takandas Kataria Marg, Matunga Labour Camp, Dharavi, Mumbai, Maharashtra 400019, India"/>
        <s v="Shop no.1, Row -K, Block -10, Off Dharavi police Station, 90 feet Road, Transit Camp, Rajiv Gandhi Nagar, Dharavi, Mumbai, Maharashtra 400017, India"/>
        <s v="Matunga labour Camp 60 Feet Road, Sant Kabir Marg, opp. Kumbharwada, Mumbai, Maharashtra 400019, India"/>
        <s v="Indra chawl, B/32, Dharavi Cross Rd, Palkar Chawl, Dharavi, Mumbai, Maharashtra 400017, India"/>
        <s v="60 feet road A.K.G Nagar Mumbai maharashtra 17, Mumbai, Maharashtra 400017, India"/>
        <s v="2RWX+762, Mahim - Sion Link Rd, Naya Nagar, Navrang Compound, Dharavi, Mumbai, Maharashtra 400017, India"/>
        <s v="SHOP NO B7, DAMAR COMPANY, 90 Feet Rd, Mukund Nagar, Sion, Mumbai, Maharashtra 400017, India"/>
        <s v="2RVX+C2C, Dharavi Main Rd, Mahim East, Shammi Nagar, Dharavi, Mumbai, Maharashtra 400017, India"/>
        <s v="9, Dharavi Main Rd, Chanda Bazar, Sheshwadi, Dharavi, Mumbai, Maharashtra 400017, India"/>
        <s v="2VP3+549, Matunga Labour Camp, Dharavi, Mumbai, Maharashtra 400019, India"/>
        <s v="R1, Ankita Apartments, Navghar Rd, Ambedkar Nagar, Mulund East, Mumbai, Maharashtra 400081, India"/>
        <s v="2VR4+RC8, 90 Feet Rd, Balaji Nagar, Dharavi, Mumbai, Maharashtra 400017, India"/>
        <s v="40, Rd Number 24, near Sies College Of Arts, Science &amp; Commerce, Sion West, Sion, Mumbai, Maharashtra 400022, India"/>
        <s v="Jasmine Mill Rd, Baliga Nagar, kamla Nagar, Shammi Nagar, Dharavi, Mumbai, Maharashtra 400017, India"/>
        <s v="46, Kuttiwadi Cross Rd, Habib Nagar, Sheshwadi, Dharavi, Mumbai, Maharashtra 400017, India"/>
        <s v="Rajendra Prasad Nagar, 60 Feet Road, opp. Hanware Height, Muslim Nagar, Matunga Labour Camp, Dharavi, Mumbai, Maharashtra 400019, India"/>
        <s v="2VV7+XR4, Sion Railway Colony, Chunabhatti, Sion, Mumbai, Maharashtra 400022, India"/>
        <s v="2VW2+PVM, Sion-Bandra Link Rd, I Block BKC, Sheshwadi, Bandra East, Mumbai, Maharashtra 400017, India"/>
        <s v="Dharavi Main Rd, Mahim East, Navrang Compound, Dharavi, Mumbai, Maharashtra 400017, India"/>
        <s v="3V28+52X, Station Marg, Dharavi Depot Rd, Naik Nagar, Sion West, Mumbai, Maharashtra 400022, India"/>
        <s v="90 Feet Rd, Block Number 11, Transit Camp, Rajiv Gandhi Nagar, Dharavi, Mumbai, Maharashtra 400017, India"/>
        <s v="lok seva co-operative society shop no1 90feet road, Dharavi, Mumbai, Maharashtra 400017, India"/>
        <s v="2VR4+H89, P.K. Kunte Nagar, Kamala Nehru Nagar, Rajiv Gandhi Nagar, Dharavi, Mumbai, Maharashtra 400017, India"/>
        <s v="Ventura Building, G6, Central Ave, opposite DMart, Hiranandani Gardens, Powai, Mumbai, Maharashtra 400076, India"/>
        <s v="City Park, Central Ave, Hiranandani Gardens, Powai, Mumbai, Maharashtra 400076, India"/>
        <s v="G-01, Ventura, Central Ave, near Hiranandani Business Park, Hiranandani Gardens, Powai, Mumbai, Maharashtra 400076, India"/>
        <s v="Unit No 07 Ground Floor, Ventura Building, Hiranandani Gardens, Powai, Mumbai, Maharashtra 400076, India"/>
        <s v="The Westin Mumbai Powai Lake, Plot No 2 &amp; 3B, Saki Vihar Rd, near Chinmayanand Ashram, Powai, Mumbai, Maharashtra 400087, India"/>
        <s v="502, DNA 360, Knowledge Park Near Hiranandani Hospital, Powai, Mumbai, Maharashtra 400076, India"/>
        <s v="Delphi B Wing, 6, Orchard Ave, Hiranandani Gardens, Panchkutir Ganesh Nagar, Powai, Mumbai, Maharashtra 400076, India"/>
        <s v="Haiko Mall, Central Ave, Hiranandani Gardens, Powai, Mumbai, Maharashtra 400076, India"/>
        <s v="Powai campus, First floor between L1 &amp; L2 building, IIT, Powai, Mumbai, Maharashtra 400076, India"/>
        <s v="Trans Ocean House, Lake Blvd Rd, Hiranandani Gardens, MHADA Colony 19, Powai, Mumbai, Maharashtra 400076, India"/>
        <s v="Anmol Building Pawai V Complex, Shop No. 29, Gems CHS Powai Vihar Complex, Lake Homes Private Rd, MHADA Colony 20, Powai, Mumbai, Maharashtra 400076, India"/>
        <s v="PC Saxena Auditorium, Academic Section, IIT Area, Powai, Mumbai, Maharashtra 400076, India"/>
        <s v="3 &amp; 4 Ground Floor, Jheel Darshan, Jogeshwari - Vikhroli Link Rd, opposite Powai Lake, Rambaug, MHADA Colony 20, Powai, Mumbai, Maharashtra 400076, India"/>
        <s v="G3, Transocean House, Hiranandani Business Park, Lake Blvd Rd, Hiranandani Gardens, MHADA Colony 19, Powai, Mumbai, Maharashtra 400076, India"/>
        <s v="B-Wing, Delphi Building, Restaurant 1A Binge Central, 1st Floor, Orchard Ave, Hiranandani Gardens, Panchkutir Ganesh Nagar, Powai, Mumbai, Maharashtra 400076, India"/>
        <s v="SHOP NUMBER 8, GROUND FLOOR, Central Ave, next to Kotak Bank, Hiranandani Gardens, Powai, Mumbai, Maharashtra 400076, India"/>
        <s v="Shah Industrial Estate, Bus Stop, Saki Vihar Rd, opposite to Huntsman Building, next to John Baker, Ganesh Nagar, Marol, Andheri East, Mumbai, Maharashtra 400072, India"/>
        <s v="Office No. 4 (4th Floor, 4W94+WWF One Boulevard, Transocean House Lake Boulevard Road,Hiranandani Business Park, Lake Blvd Rd, Hiranandani Gardens, MHADA Colony 19, Powai, Mumbai, Maharashtra 400076, India"/>
        <s v="Hiranandani Business Park, Prudential Building, Powai, Mumbai, Maharashtra 400076, India"/>
        <s v="ARC Powai, Opp Powai Lake Adi Shankaracharya Marg, Jogeshwari - Vikhroli Link Rd, Panchkutir Ganesh Nagar, Powai, Mumbai, Maharashtra 400076, India"/>
        <s v="Ground Floor, Travancore Cafe, near Datta Samant Bungalow, Chaitanya Nagar, IIT Market, Powai, Mumbai, Maharashtra 400076, India"/>
        <s v="Shop G1A, Delphi, Hiranandani Business Park, Hiranandani Gardens, Panchkutir Ganesh Nagar, Powai, Mumbai, Maharashtra 400076, India"/>
        <s v="Sentinel, Hiranandani Gardens, Panchkutir Ganesh Nagar, Powai, Mumbai, Maharashtra 400076, India"/>
        <s v="B-Wing, SERVICE OFFICE, 8th Floor, South Avenue, Hiranandani Gardens, Powai, Mumbai, Maharashtra 400076, India"/>
        <s v="Junction, Krishanlal Marwah Marg, Ansa Industrial Estate, Chandivali, Andheri East, Mumbai, Maharashtra 400072, India"/>
        <s v="G5, Transocean house, Lake Boulevard Rd. Hiranandani Business Park, near Kaya skin clinic, Powai, Mumbai, Maharashtra 400076, India"/>
        <s v="1st floor, Delphi Building, Delphi Orchard Avenue, Unit No. 2, B-Wing, Hiranandani Gardens, Panchkutir Ganesh Nagar, Powai, Mumbai, Maharashtra 400076, India"/>
        <s v="opposite Kendriya Vidyalaya, IIT Area, Powai, Mumbai, Maharashtra 400076, India"/>
        <s v="No G2, Ground Floor, Orchard Ave, Hiranandani Gardens, MHADA Colony 19, Powai, Mumbai, Maharashtra 400076, India"/>
        <s v="Transocean House, Lake Blvd Rd, Hiranandani Gardens, MHADA Colony 19, Powai, Mumbai, Maharashtra 400076, India"/>
        <s v="8th floor, Yuhi lounge, A-WING, SUPREME BUSINESS PARK, Hiranandani Gardens, Powai, Mumbai, Maharashtra 400076, India"/>
        <s v="Shop No 14, Amaryllis Tower, Nahar Amrit Shakti, LOK Milan Colony, Chandivali, Powai, Mumbai, Maharashtra 400072, India"/>
        <s v="B-Wing, Delphi Building, Ground Floor, Orchard Ave, Powai, Mumbai, Maharashtra 400076, India"/>
        <s v="3rd floor, Civil Dept, IIT Area, Powai, Mumbai, Maharashtra 400076, India"/>
        <s v="Hiranandani Business Park, shop no 121, First Floor, Powai Plaza, Mumbai, Maharashtra 400076, India"/>
        <s v="Saki Vihar Rd, opp. 55 Corporate Avenue, Muranjan Wadi, Marol, Powai, Mumbai, Maharashtra 400072, India"/>
        <s v="Shop No. 61, Galleria Shopping Mall, Central Ave, Hiranandani Gardens, Panchkutir Ganesh Nagar, Powai, Mumbai, Maharashtra 400076, India"/>
        <s v="DAFFODIL BUILDING, Central Ave, Hiranandani Gardens, Powai, Mumbai, Maharashtra 400076, India"/>
        <s v="Shop 121, 1st Floor, Powai Plaza, Hiranandani Gardens, Sainath Nagar, Powai, Mumbai, Maharashtra 400076, India"/>
        <s v="Ventura Building, 13, Ventura Bldg Hiranandani Business Park, 400076, Central Ave, Hiranandani Gardens, Powai, Mumbai, Maharashtra 400076, India"/>
        <s v="Unit 1, Ground Floor, Ventura Building, Central Ave, Hiranandani Gardens, Powai, Mumbai, Maharashtra 400076, India"/>
        <s v="Lake Club, Lake Homes, Complex, Chandivali Farm Rd, Powai, Mumbai, Maharashtra 400076, India"/>
        <s v="Powai Plaza, Hiranandani Gardens, Sainath Nagar, Powai, Mumbai, Maharashtra 400076, India"/>
        <s v="CTS No - 68, Nr Telephone Exchange Office IIT, Students' Residential Zone, IIT Area, Powai, Mumbai, Maharashtra 400076, India"/>
        <s v="Saki Naka, Junction, Lokmanya Tilak Nagar, Andheri East, Mumbai, Maharashtra 400072, India"/>
        <s v="1st floor, Rodas Hotel, Hiranandani Gardens, Powai, Mumbai, Maharashtra 400076, India"/>
        <s v="Jheel Darshan, Rambaug, MHADA Colony 20, Powai, Mumbai, Maharashtra 400076, India"/>
        <s v="B-Wing, Delphi Building, Restaurant 1A Binge Central, 1st, Orchard Ave, Hiranandani Gardens, Panchkutir Ganesh Nagar, Powai, Mumbai, Maharashtra 400076, India"/>
        <s v="4WJ9+46H, IIT Area, Powai, Mumbai, Maharashtra 400076, India"/>
        <s v="SERVICE OFFICE, Hiranandani Gardens, Powai, Mumbai, Maharashtra 400076, India"/>
        <s v="Ground Floor, Sunny Estate, Sion - Trombay Rd, Chembur, Mumbai, Maharashtra 400071, India"/>
        <s v="Unit 16-C, Sion - Trombay Rd, inside Asha Studio, near RK Studio, Union Park, Chembur, Mumbai, Maharashtra 400071, India"/>
        <s v="Unit No.001 and 101, Ground, Ujagar Chambers, Compound, Deonar, Govandi East, Mumbai, Maharashtra 400088, India"/>
        <s v="shop 3, Nityanand Baug society, Chembur Colony, Azad Nagar, Chembur, Mumbai, Maharashtra 400074, India"/>
        <s v="Ground Floor, Cubic Mall, opp. BORLA SOCIETY, Vasant Vihar Complex, Chembur, Mumbai, Maharashtra 400074, India"/>
        <s v="KUKREJA ARCADE, 19th Rd, Chembur Gaothan, Chembur, Mumbai, Maharashtra 400071, India"/>
        <s v="Unit No. 2 and 3, Shah Industrial Estate, Deonar, Chembur, Mumbai, Maharashtra 400088, India"/>
        <s v="Shop No. 3, Coral Classic Commercial Complex, 20th Rd, Chembur Gaothan, Chembur, Mumbai, Maharashtra 400071, India"/>
        <s v="Ramakrishna Chemburkar Marg, opp. jama masjid, Ashok Nagar, Collector Colony, Chembur, Mumbai, Maharashtra 400074, India"/>
        <s v="Shop No. 102, 1st Floor, Yash Signature, the main road, opp. Telecom Factory Road, CHS, Deonar, On, Mumbai, Maharashtra 400088, India"/>
        <s v="Ground Floor, Vasudev Bhavan, 10th Road, Near, DK Sandu Marg, opposite Chembur Post office, Chembur, Mumbai, Maharashtra 400071, India"/>
        <s v="VN Purav Marg, next to Naturals Ice Cream, Diamond Garden, Chembur, Mumbai, Maharashtra 400071, India"/>
        <s v="CG Rd Natraj Compound, Near, Chatrapati Shivaji Maharaj Chowk, Union Park, Chembur, Mumbai, Maharashtra 400074, India"/>
        <s v="Shop No. 26, Pink Corner, Nichaldas Market, Sindhi Society, Chembur, Mumbai, Maharashtra 400071, India"/>
        <s v="Shop no 4, Fairlawn CHS, VN Purav Marg, opp. K Star Mall, near Near Bank of Baroda, Dreamland Society, Borla, Union Park, Chembur, Mumbai, Maharashtra 400071, India"/>
        <s v="Shop no.5, Bldg no.10, Durga Sadan, Society, Chembur West, Tilak Nagar, Chembur, Mumbai, Maharashtra 400089, India"/>
        <s v="Shop No 1, Garden Apartment, opp. K Star Mall, Dreamland Society, Borla, Union Park, Chembur, Mumbai, Maharashtra 400071, India"/>
        <s v="Plot No, 70C, Central Ave Rd, Mahadeo Wadi, Chembur Gaothan, Chembur, Mumbai, Maharashtra 400071, India"/>
        <s v="Shop 4, Bldg no 5, Matruchaya C.H.S, opposite Universal school, Gulshan Baug, Chembur West, Tilak Nagar, Chembur, Mumbai, Maharashtra 400089, India"/>
        <s v="opposite Fine arts, Chembur Gaothan, Chembur, Mumbai, Maharashtra 400071, India"/>
        <s v="2nd Floor, Hotel Bahri Residency, Sion - Trombay Rd, near Diamond Garden, Dreamland Society, Borla, Union Park, Chembur, Mumbai, Maharashtra 400071, India"/>
        <s v="Bldg no 15 , shop no 9, 89, Chembur West, Tilak Nagar, Chembur, Mumbai, Maharashtra 400089, India"/>
        <s v="The Amore Cafe, Ganesh Estate Agency, CG Rd, near Golf Club, Chembur Camp, Indira Nagar, Chembur, Mumbai, Maharashtra 400074, India"/>
        <s v="Ground Floor, Patil Villa Building, Sion - Trombay Rd, Chembur, Mumbai, Maharashtra 400088, India"/>
        <s v="Monorail Pillar No. 20, Hub Town Seasons, A-4, Ramakrishna Chemburkar Marg, near Jain Temple, Postal Colony, Chembur, Mumbai, Maharashtra 400071, India"/>
        <s v="Shop no13&amp;14, Rajkamal bldg, Tilak Nagar, Chembur, Mumbai-89, Mumbai, Maharashtra 400089, India"/>
        <s v="CG Road, Next to Raj Restaurant Opposite Hira Stores, behind Krishna Restaurant, Chembur Camp, Mumbai, Maharashtra 400074, India"/>
        <s v="V N, VN Purav Marg, next to R K Studio, Union Park, Chembur, Mumbai, Maharashtra 400071, India"/>
        <s v="70, Central Ave Rd, Near Ambedkar Garden, Chembur Gaothan, Chembur, Mumbai, Maharashtra 400071, India"/>
        <s v="PN 57, Gr&amp;1st Flr, Girivan Pristino Bldg Sy No 961 A, Road No 19, Kurla, Chembur, Mumbai, Maharashtra 400071, India"/>
        <s v="CG Rd, near Kings snacks and bar, Camp(E), Chembur Colony, Chembur, Mumbai, Maharashtra 400074, India"/>
        <s v="Shop No. 20 &amp; 21, Sri Sunder Co-op Hsg Soc Ltd V. N. Purav Marg, Sion - Trombay Rd, opp. Diamond Garden, near Saraswat Bank, Chembur, Mumbai, Maharashtra 400071, India"/>
        <s v="Cafe Amar, Amar Cinema Compound, W. T. P. Marg, Ghatla, Chembur, Mumbai, Maharashtra 400071, India"/>
        <s v="Shop no 17, Pink Corner, Nichaldas Market, Sindhi Society, Chembur, Mumbai, Maharashtra 400071, India"/>
        <s v="1st floor, Amul commercial society Ltd, E, Rd No. 1, opp. BMC Office, Chembur Gaothan, Chembur, Mumbai, Maharashtra 400071, India"/>
        <s v="Shop no 14, Pestom Sagar Rd Number 4, opposite khushal tower, Chembur West, Pestom Sagar Colony, Chembur, Mumbai, Maharashtra 400089, India"/>
        <s v="Hemu Kalani Marg, beside Wasan Toyota, Sindhi Society, Chembur, Mumbai, Maharashtra 400071, India"/>
        <s v="1, PL Lokhande Marg, Bhim wadhi, New Gautam Nagar, Govandi East, Mumbai, Maharashtra 400043, India"/>
        <s v="MS Bldg No 22, Flat 768, Ground Floor Hari Om Co-op Housing Society, opposite Vijay General Store, Chembur Colony, Mumbai, Maharashtra 400074, India"/>
        <s v="72, HIRA BAUG, STATIO, opp. CANARA BANK, Chembur, Mumbai, Maharashtra 400071, India"/>
        <s v="Shop Number 4, Vasinaka, Ramakrishna Chemburkar Marg, Chembur, Mumbai, Maharashtra 400074, India"/>
        <s v="3W96+233 G.M. Link Road Jay Ambe Nagar, Chembur West, Akruti Rising City, Mumbai, Maharashtra 400089, India"/>
        <s v="Shop No.6, Building Number 15, Sarva Mangal CHS, opposite Sahyadri Grounds, Chembur West, Tilak Nagar, Chembur, Mumbai, Maharashtra 400089, India"/>
        <s v="Ghatkopar - Mahul Rd, opposite KRUSHAL TOWERS, near Bharat Petrol Pump, Chembur West, Pestom Sagar Colony, Chembur, Mumbai, Maharashtra 400089, India"/>
        <s v="Central Ave Rd, Chembur Gaothan, Chembur, Mumbai, Maharashtra 400071, India"/>
        <s v="Shop no. 28, Nichaldas market, Sindhi Society, Chembur, Mumbai, Maharashtra 400071, India"/>
        <s v="baigan wadi, Jeejabai Bhosale Marg, Govandi Slums, Raman Mama Nagar, Govandi East, Mumbai, Maharashtra 400043, India"/>
        <s v="Hirabaug Kamawadi, Sion - Trombay Rd, opp. Radio Bar, Chembur, Mumbai, Maharashtra 400088, India"/>
        <s v="Opp Ranjeet Daa Dhaba, Sattu's Lane Dr.C.G.Road, Chembur Colony, Mumbai, Maharashtra 400074, India"/>
        <s v="Trishul Bunglows, Sindhi Society Rd Number 1, Sector 44A, Sindhi Society, Chembur, Mumbai, Maharashtra 400071, India"/>
        <s v="Grey Craving, next to MG Motors, Union Park, Chembur, Mumbai, Maharashtra 400074, India"/>
        <s v="3V3W+HG4, Sion - Trombay Rd, Jai Ambe Nagar, Chembur Gaothan, Chembur, Mumbai, Maharashtra 400071, India"/>
        <s v="Plot no 109, Laxmi Bhavan, Building Opp Budda Buddi Garden, Sies College Of Arts, Science &amp; Commerce, near old, Sion, Maharashtra 400022, India"/>
        <s v="Building No 2, 1/1, Rd Number 29, opposite Croma showroom, Namdev Koli Marg, Sion, Mumbai, Sion Koliwada, Maharashtra 400022, India"/>
        <s v="Om Shiv Shakti, GTB Nagar JK Bhasin Marg, Sion Koliwada, opposite Building No.1, G.T.B.Nagar, Sector V, Sion East, Antop Hill, Mumbai, Maharashtra 400037, India"/>
        <s v="R V Building, Rd No 1, near Sion Railway Station, Sion Railway Colony, Sion West, Sion, Mumbai, Maharashtra 400022, India"/>
        <s v="11, Harak Niwas, near Railway Station, Sion Railway Colony, Sion East, Mumbai, Maharashtra 400022, India"/>
        <s v="Shop No 22, Indra Market, opp. Sion Post Office, Sindhi Colony, Sion, Mumbai, Maharashtra 400022, India"/>
        <s v="Shop No.7, Pratiksha Nagar Rd, near mala garden, Pratikhsha Nagar, Sion East, Sion, Mumbai, Maharashtra 400022, India"/>
        <s v="Shop No. 88, Near Samsung Showroom, Satyam Shivam Sundaram Building Road No 28 B, Sion Cir, Mumbai, Maharashtra 400022, India"/>
        <s v="118, Thomas Villa Opp. Cine Planet (Rupam Cinema, Sion East, Mumbai, Maharashtra 400022, India"/>
        <s v="7, Rupam Building, Sion Cir, near Movie Max Theatre, Sion East, Sion, Mumbai, Maharashtra 400022, India"/>
        <s v="5A-5, Rd Number 24, West, opposite to Gurukripa, Sindhi Colony, Sion, Mumbai, Maharashtra 400022, India"/>
        <s v="Vios Tower, Bus Depot, Sewri - Chembur Rd, off Eastern Express Highway, near Anik Nagar, Sion, Mumbai, Maharashtra 400037, India"/>
        <s v="Kalpak Estate, Antop Hill, Mumbai, Maharashtra 400037, India"/>
        <s v="Shivaji Nagar Housing Society, 19, Bhaudaji Rd, opp. Mindas Tower, W, Sion, Mumbai, Maharashtra 400022, India"/>
        <s v="Plot no. 249, Kripa Niwas, Sion, Mumbai, Maharashtra 400022, India"/>
        <s v="shop No 2, Gajanan Chaya Building, 3, VN Purav Marg, Samarth Nagar, Chunabhatti, Sion, Mumbai, Maharashtra 400022, India"/>
        <s v="Shop U.A.C 20, near building no. 01, Punjabi Camp, Sion Koliwada, Guru Teg Bahadur Nagar, Sion, Mumbai, Maharashtra 400037, India"/>
        <s v="Sion West, Sion, Mumbai, Maharashtra 400022, India"/>
        <s v="SN 09, Plot No 1A, Basant Court CHS Ltd Sion, opposite Sion Railway, Station, Mumbai, Maharashtra 400603, India"/>
        <s v="TV Chidambaran Marg, Sion East, Sion, Mumbai, Maharashtra 400022, India"/>
        <s v="Sion Bhagini Samaj, plot6/A, Rd Number 24, opp. gurukripa hotel, above Bank Of Baroda, Sion West, Sion, Mumbai, Maharashtra 400022, India"/>
        <s v="Indralay building, K Ozha Marg, Jain Society, Sion, Mumbai, Maharashtra 400022, India"/>
        <s v="Shop No. 12, Rameshwar Bhavan, Mahatma Gandhi Market, opp. Sri Shanmukhananda Chandrasekarendra Saraswathi Auditorium, Sion East, Sion, Mumbai, Maharashtra 400022, India"/>
        <s v="Shop No:15, Hukumchand C, Julka Chowk, Koliwada, Guru Teg Bahadur Nagar, Sion, Mumbai, Maharashtra 400037, India"/>
        <s v="N S Mankikar road shop no 1 near Sion tank Mumbai 400022, Mumbai, Maharashtra 400022, India"/>
        <s v="Ground floor, Off, Eastern freeway, near Wadala Truck terminal, Wadala, Mumbai, Maharashtra 400037, India"/>
        <s v="Plot No 12, Near Sion Railway Station, Below Hotel Ashray International, Lohiya Nagar, Sion East, Mumbai, Maharashtra 400022, India"/>
        <s v="Dr Babasaheb Ambedkar Marg, opp. Gandhi Market, Sion Hospital Colony, Sion, Mumbai, Maharashtra 400022, India"/>
        <s v="M Parekh Marg, UDCT College, Shop No. 07, Ground Floor, Plot No. 164-166 Siddheya CHS, Nathalal Parekh Marg, Wadala, Mumbai, Maharashtra 400031, India"/>
        <s v="Anand Nagar Housing Society, Sion East, Sion, Mumbai, Maharashtra 400037, India"/>
        <s v="Shop 3-6 ground floor, Jamnadas Mansion, bazar, Laxmi Narayan Ln, Matunga (C.R.), Matunga East, Mumbai, Maharashtra 400019, India"/>
        <s v="Shop No 06, Devdarshan, Mogul Ln, Mahim West, Mahim, Mumbai, Maharashtra 400016, India"/>
        <s v="4, Pratap CHS Limited, Shivaji Road, Bridge, near Vakola, Santacruz East, Mumbai, Maharashtra 400055, India"/>
        <s v="2VQ8+QWC, Hemant Manjrekar Rd, Sardar Nagar Number 1, K D Gaikwad Nagar, Sion East, Sion, Mumbai, Maharashtra 400022, India"/>
        <s v="Shop No. 05, Mohanlal Mansion, Dr Babasaheb Ambedkar Marg, Kings Circle, Matunga East, Mumbai, Maharashtra 400019, India"/>
        <s v="Radha Bhawan, 471, Matunga Cir, Matunga East, Mumbai, Maharashtra 400019, India"/>
        <s v="Shop No 8 &amp; 9, Pratiksha Nagar, Flank Rd W, opposite to Baba Ramdevji CHS, Sion Koliwada, Mumbai, Maharashtra 400022, India"/>
        <s v="Sion Mansion, Shop No. 3 &amp; 4, Sion Main Rd, Sion, Mumbai, Maharashtra 400022, India"/>
        <s v="Basant Court Building, Plot No.1A, Ground Floor, Opposite Sion Railway, Station, Sion West, Mumbai, Maharashtra 400022, India"/>
        <s v="Meghdoot, Shop No. 12, 283, Flank Rd, Sion East, Sion, Mumbai, Maharashtra 400022, India"/>
        <s v="1, Owner's Colony, near Canara Bank, Anand Nagar Housing Society, Guru Teg Bahadur Nagar, Sion, Sion Koliwada, Mumbai, Maharashtra 400037, India"/>
        <s v="Shop no. 5, A Parampara, Cosmos Heritage, Manpada, Thane West, Thane, Maharashtra 400607, India"/>
        <s v="12, Sunrise Shopping Complex, Behind Hiranandani Meadows, Off Ghodbunder Road, Manpada, Thane West, Thane, Maharashtra 400610, India"/>
        <s v="The Thane Club, Mohan Koppikar Road, Teen Hath Naka Flyover, opposite Raheja Garden, Thane, Maharashtra 400601, India"/>
        <s v="Shop 17&amp; 18, Ground Flr, Krishna Tower, Sita vihar Chs, Lal Bahadur Shastri Marg, Near, Teen Hath Naka Flyover, Vishnu Nagar, Thane, Maharashtra 400602, India"/>
        <s v="Unique Vistas, Neelkanth Grns Rd, opposite Satyam Ford Service Center, Manpada, Thane, Maharashtra 400607, India"/>
        <s v="Shop No:- 10, Vijay Galaxy Apartment, Waghbil Naka Flyover, Anu Nagar, Vijay Nagari, Thane West, Thane, Maharashtra 400607, India"/>
        <s v="Jambhali Naka,The Chocolate Bar, beside Bhavana Hotel, Talav Pali, Thane West, Maharashtra 400601, India"/>
        <s v="Kolshet, khadi, Thane, Maharashtra 400607, India"/>
        <s v="Plot No. 40, Mahesh Smruti, near Brahman Sabha Hall, opp. Talav Pali, Thane, Maharashtra 400601, India"/>
        <s v="Shop no.14, Coffee Culture, Pokharan Rd Number 2, Swastik Garden, Thane West, Thane, Mumbai, Maharashtra 400610, India"/>
        <s v="Meenatai Thakre Rd, opp. Sripal complex, Bhakti Mandir, Panch Pakhdi, Thane West, Thane, Maharashtra 400602, India"/>
        <s v="HIRANANDANI MEADOWS, Sunrise Shopping Centre, near Hyde Park, Thane, Maharashtra 400610, India"/>
        <s v="Ground Floor, Centrum IT Park, Plot NO 3, SG Barve Rd, Thane West, Thane, Maharashtra 400604, India"/>
        <s v="CHS, Shop No. 1 Brentford, Hiranandani Estate, Thane West, Thane, Maharashtra 400607, India"/>
        <s v="Cadbury Junction, Hans Nagar, Thane West, Thane, Maharashtra 400601, India"/>
        <s v="HIRANANDANI MEADOWS, Shop no. 26, G-floor Block no. 3, Emerald Plaza, Market, opp. currae speciality clinic, Mumbai, Maharashtra 421204, India"/>
        <s v="Kulkarni CHS, Ghantali Devi Rd, near Sai Baba Mandir, Naupada, Thane West, Thane, Maharashtra 400602, India"/>
        <s v="Shop No.04, The Walk High Street, Atlanta Shopping Centre Hiranandani Estate Road Hiranandani Estate, Patlipada, Thane West, Thane, Maharashtra 400607, India"/>
        <s v="Shop No. 1, Ashar Belleza, Rd Number 16, near Ashar IT park, Brodma, Neheru Nagar, Wagle Industrial Estate, Thane West, Thane, Maharashtra 400604, India"/>
        <s v="Veer Baji Prabhu Deshpande Rd, Naupada, Thane West, Thane, Maharashtra 400602, India"/>
        <s v="Shop no 13, Sita Vihar Complex Lal Bahadur Shastri Marg, Teen Hath Naka Flyover, Thane, Maharashtra 400602, India"/>
        <s v="Viviana Mall, Service Road, Eastern Express Hwy, Thane West, Thane, Maharashtra 400601, India"/>
        <s v="Shop no.5, Vikas Shopping Complex, Lalbahadur Shashtri Marg, Meenatai Thakrey Chowk, near Meenatai Thakrey Chowk, Uthalsar, Thane, Maharashtra 400601, India"/>
        <s v="Plot No, 253, Ghodbunder Rd, beside R Mall, Manorama Nagar, Thane West, Thane, Maharashtra 400607, India"/>
        <s v="Shop No 5, Ground Floor And Basement, Acme Ozone, Khewra Circle, Manpada, Thane West, Mumbai, Maharashtra, India"/>
        <s v="HIRANANDANI MEADOWS, Emerald Plaza, Shop no.16, Block no. - 1, Thane, Maharashtra 400607, India"/>
        <s v="Shop no.2, Avila Building, Ghodbunder Rd, next to The Walk, near HDFC Bank, Hiranandani Estate, Thane West, Thane, Maharashtra 400607, India"/>
        <s v="Shop 1, Celio Shopping Centre, HIRANANDANI MEADOWS, Pokharan Rd Number 2, Manpada, Thane West, Thane, Maharashtra 400610, India"/>
        <s v="Shop no. 21, 22. Block No. 1, Emerald Plaza, HIRANANDANI MEADOWS, Gladys Alwares Rd, behind Saraswat Bank, Manpada, Thane West, Thane, Maharashtra 400610, India"/>
        <s v="RATS Pit Stop, Ram Mandir Road, off Ghodbunder Service Road, next to Kasarvadavali, Bhawani Nagar, Kasarvadavali, Thane West, Thane, Maharashtra 400615, India"/>
        <s v="Shop No S-03, Ground Floor, Quantum Building, Ghodbunder Road, Central Ave, Hiranandani Estate, Thane West, Thane, Maharashtra 400607, India"/>
        <s v="HIRANANDANI MEADOWS, Shop C6, Greenwood Complex, Apricot Road, Vidhyapith, Service Rd, near RK Motor, Thane, Maharashtra 400610, India"/>
        <s v="Opposite Thane Jilha Sahakari Bank Mantri plot, Shivaji Path, Thane Station Rd, W, Thane, Maharashtra 400601, India"/>
        <s v="Ground Floor, Hiranandani Estate Rd, Hiranandani Estate, Thane West, Thane, Maharashtra 400607, India"/>
        <s v="HIRANANDANI MEADOWS, Emerald Plaza, Shop 12, Block 3, Thane West, Thane, Maharashtra 400607, India"/>
        <s v="Shop No.6, Gladys Alwares Rd, next to Dogs world India, near Khewra Circle Marg, Hill Garden, Manpada, Thane West, Thane, Maharashtra 400607, India"/>
        <s v="Off, Eastern Express Hwy, Laxmi Nagar, Thane West, Thane, Maharashtra 400606, India"/>
        <s v="Shop no.7, Unique Vistas Rd, near Mahabi, Patlipada, Thane West, Thane, Maharashtra 400607, India"/>
        <s v="Shop No. 7 Ezzi Co Op Housing Society Opp Dmart Dokali, Kolshet Rd, Kailash Nagar, Thane, Maharashtra 400607, India"/>
        <s v="Shop 5, BUILDING-4, Cosmos Hills, Pokharan Rd Number 1, opposite Bombay dock restaurant, Upvan, Saptgiri, Thane, Maharashtra 400606, India"/>
        <s v="Shop No.4, Giri Heaven CHS. LTD, near, Hariniwas Cir, Naupada, Thane West, Thane, Maharashtra 400602, India"/>
        <s v="Shop-7, Shivai Nagar Circle, Opposite Salt n Pepper, Pokharan Rd Number 1, Vartak Nagar, Thane West, Thane, Mumbai, Maharashtra 400606, India"/>
        <s v="Shop No. 4, Mezzanine Floor, Amrapali Arcade, opp. Jasmine Tower, opposite Vasant Vihar High School &amp; Junior College, Vasant Vihar, Thane West, Thane, Maharashtra 400610, India"/>
        <s v="Shop no 3, Sai sadan Bungalow, Wagle Estate, Shree Nagar, Thane, Maharashtra 400604, India"/>
        <s v="Masan Wada, Azad Nagar, Thane West, Thane, Maharashtra 400601, India"/>
        <s v="HIRANANDANI MEADOWS, Pokhran Road, beside Star Bazaar, Manpada, Thane West, Thane, Maharashtra 400609, India"/>
        <s v="No. S/2, The Walk Mall, beside KFC, Hiranandani Estate, Thane West, Thane, Mumbai, Maharashtra 400607, India"/>
        <s v="SF-32, Second Floor, Viviana Mall, Eastern Express Hwy Tenant Space, Thane West, Thane, Maharashtra 400601, India"/>
        <s v="7, Uthalsar Naka, Uthalsar, Thane West, Thane, Maharashtra 400601, India"/>
        <s v="The Walk, Hiranandani Estate, Thane West, Thane, Maharashtra 400607, India"/>
        <s v="Shop No.10, Soham Plaza, Ghodbunder Rd, nr. Manpada Flyover, Manpada Flyover, Manpada, Thane West, Thane, Maharashtra 400610, India"/>
        <s v="shree mangal society, D-6, plot no.14, Savarkar Nagar, Thane West, Thane, Maharashtra 400606, India"/>
        <s v="Block 2, Gate No. 3, HIRANANDANI MEADOWS, Shop No. 18, Emerald Plaza, Thane West, Thane, Maharashtra 400610, India"/>
        <s v="Unit No 39, FF, Viviana Mall, Laxmi Nagar, Thane West, Thane, Maharashtra 400606, India"/>
        <s v="Shop No. 2, Jangid Heights CHS, next to Cinemax, Kapurbawdi, Thane West, Thane, Maharashtra 400601, India"/>
        <s v="195, Dr Moose Marg, Ghantali, Thane West, Thane, Maharashtra 400602, India"/>
        <s v="Chaitanya Tower, Dada Patil Marg, Dada Patil Wadi, Shivaji Nagar, Thane West, Thane, Maharashtra 400602, India"/>
        <s v="Shop No.02, kavesar, opp. Rosa Manhattan, Hiranandani Estate, waghbil, Thane, Maharashtra 400615, India"/>
        <s v="Shop No.3, Shalimar CHS, Tulsi Chawk, Thane East, Thane, Maharashtra 400603, India"/>
      </sharedItems>
    </cacheField>
    <cacheField name="Latitude" numFmtId="0">
      <sharedItems containsSemiMixedTypes="0" containsString="0" containsNumber="1" minValue="18.900426400000001" maxValue="19.2674612" count="1070">
        <n v="18.918783000000001"/>
        <n v="18.9226402"/>
        <n v="18.918851400000001"/>
        <n v="18.919908100000001"/>
        <n v="18.922108600000001"/>
        <n v="18.924050300000001"/>
        <n v="18.922885999999998"/>
        <n v="18.9216619"/>
        <n v="18.928066999999999"/>
        <n v="18.928495399999999"/>
        <n v="18.927662600000001"/>
        <n v="18.918294400000001"/>
        <n v="18.935252999999999"/>
        <n v="18.9192596"/>
        <n v="18.922120400000001"/>
        <n v="18.9190833"/>
        <n v="18.918352899999999"/>
        <n v="18.900426400000001"/>
        <n v="18.922621299999999"/>
        <n v="18.921697399999999"/>
        <n v="18.914994499999999"/>
        <n v="18.933501499999998"/>
        <n v="18.922055400000001"/>
        <n v="18.936138199999998"/>
        <n v="18.921534000000001"/>
        <n v="18.918354000000001"/>
        <n v="18.924175999999999"/>
        <n v="18.9175127"/>
        <n v="18.921610999999999"/>
        <n v="18.9215418"/>
        <n v="18.922256999999998"/>
        <n v="18.928277099999999"/>
        <n v="18.9248583"/>
        <n v="18.935954500000001"/>
        <n v="18.937572299999999"/>
        <n v="18.9200035"/>
        <n v="18.9176936"/>
        <n v="18.919003"/>
        <n v="18.924903700000002"/>
        <n v="18.923235900000002"/>
        <n v="18.922880599999999"/>
        <n v="18.928371500000001"/>
        <n v="18.9242381"/>
        <n v="18.915061099999999"/>
        <n v="18.917366399999999"/>
        <n v="18.923784600000001"/>
        <n v="18.923695899999998"/>
        <n v="18.923876799999999"/>
        <n v="18.9296112"/>
        <n v="18.9242223"/>
        <n v="18.9276746"/>
        <n v="18.9256998"/>
        <n v="18.924139100000001"/>
        <n v="18.905807200000002"/>
        <n v="18.921908200000001"/>
        <n v="18.924929800000001"/>
        <n v="18.930039000000001"/>
        <n v="18.902339099999999"/>
        <n v="18.9337105"/>
        <n v="18.9318071"/>
        <n v="18.931263900000001"/>
        <n v="18.9334913"/>
        <n v="18.9324944"/>
        <n v="18.937878999999999"/>
        <n v="18.932700499999999"/>
        <n v="18.930181999999999"/>
        <n v="18.932120999999999"/>
        <n v="18.927624000000002"/>
        <n v="18.932224300000001"/>
        <n v="18.929934599999999"/>
        <n v="18.9427208"/>
        <n v="18.930776699999999"/>
        <n v="18.930410999999999"/>
        <n v="18.932879"/>
        <n v="18.933803600000001"/>
        <n v="18.9312024"/>
        <n v="18.9430169"/>
        <n v="18.9350323"/>
        <n v="18.957948200000001"/>
        <n v="18.931485500000001"/>
        <n v="18.953211"/>
        <n v="18.933139099999998"/>
        <n v="18.928695900000001"/>
        <n v="18.931060200000001"/>
        <n v="18.926181700000001"/>
        <n v="18.942909799999999"/>
        <n v="18.931219800000001"/>
        <n v="18.930366299999999"/>
        <n v="18.9286554"/>
        <n v="18.926452099999999"/>
        <n v="18.928684799999999"/>
        <n v="18.954806600000001"/>
        <n v="18.955420199999999"/>
        <n v="18.942869399999999"/>
        <n v="18.939498799999999"/>
        <n v="18.9414567"/>
        <n v="18.933391499999999"/>
        <n v="18.932031599999998"/>
        <n v="18.955721"/>
        <n v="19.0168049"/>
        <n v="19.016320799999999"/>
        <n v="19.028188100000001"/>
        <n v="19.015682699999999"/>
        <n v="19.017466299999999"/>
        <n v="19.021225900000001"/>
        <n v="19.0118069"/>
        <n v="19.006262400000001"/>
        <n v="19.0186867"/>
        <n v="19.011390599999999"/>
        <n v="19.017140300000001"/>
        <n v="19.019539099999999"/>
        <n v="19.025475799999999"/>
        <n v="19.0255689"/>
        <n v="19.016491500000001"/>
        <n v="19.027620299999999"/>
        <n v="19.029471399999998"/>
        <n v="19.0290097"/>
        <n v="19.0408896"/>
        <n v="19.016371100000001"/>
        <n v="19.0390084"/>
        <n v="19.011507999999999"/>
        <n v="19.031528699999999"/>
        <n v="19.026431500000001"/>
        <n v="19.029337300000002"/>
        <n v="19.0182802"/>
        <n v="19.019210099999999"/>
        <n v="19.000219999999999"/>
        <n v="19.016950900000001"/>
        <n v="19.024792900000001"/>
        <n v="19.024669500000002"/>
        <n v="19.005612599999999"/>
        <n v="19.024196"/>
        <n v="19.019376600000001"/>
        <n v="19.027432699999999"/>
        <n v="19.0012553"/>
        <n v="19.023062100000001"/>
        <n v="19.0019192"/>
        <n v="19.0241069"/>
        <n v="19.0256738"/>
        <n v="19.012695999999998"/>
        <n v="19.0067083"/>
        <n v="19.025401299999999"/>
        <n v="19.025138599999998"/>
        <n v="19.010125800000001"/>
        <n v="19.0272942"/>
        <n v="18.992530299999999"/>
        <n v="19.026518599999999"/>
        <n v="19.014835399999999"/>
        <n v="19.030428100000002"/>
        <n v="19.011612899999999"/>
        <n v="19.026073400000001"/>
        <n v="19.0276757"/>
        <n v="19.025843699999999"/>
        <n v="19.023957800000002"/>
        <n v="19.0276064"/>
        <n v="19.018442"/>
        <n v="19.010279499999999"/>
        <n v="19.024987100000001"/>
        <n v="19.031223099999998"/>
        <n v="18.994295600000001"/>
        <n v="19.0023096"/>
        <n v="19.0014295"/>
        <n v="19.012579299999999"/>
        <n v="18.988186500000001"/>
        <n v="18.995413599999999"/>
        <n v="19.006120200000002"/>
        <n v="19.006134100000001"/>
        <n v="19.017247000000001"/>
        <n v="19.002952799999999"/>
        <n v="18.990999800000001"/>
        <n v="19.016840800000001"/>
        <n v="19.005868199999998"/>
        <n v="18.994710300000001"/>
        <n v="19.012530000000002"/>
        <n v="19.005454400000001"/>
        <n v="18.998222999999999"/>
        <n v="18.998154899999999"/>
        <n v="18.9947512"/>
        <n v="18.9927408"/>
        <n v="18.9942125"/>
        <n v="19.0041689"/>
        <n v="18.994436400000001"/>
        <n v="19.006212999999999"/>
        <n v="18.989159399999998"/>
        <n v="18.991372800000001"/>
        <n v="18.9893839"/>
        <n v="19.003741300000002"/>
        <n v="18.988290500000002"/>
        <n v="18.987947900000002"/>
        <n v="19.0490016"/>
        <n v="18.9886649"/>
        <n v="19.013422899999998"/>
        <n v="18.9882861"/>
        <n v="18.985974299999999"/>
        <n v="18.993870099999999"/>
        <n v="18.9985103"/>
        <n v="18.993742399999999"/>
        <n v="18.9987897"/>
        <n v="19.002875400000001"/>
        <n v="19.002970900000001"/>
        <n v="19.0103735"/>
        <n v="19.005611300000002"/>
        <n v="19.0025054"/>
        <n v="18.994718299999999"/>
        <n v="19.060597900000001"/>
        <n v="19.062201999999999"/>
        <n v="19.061086599999999"/>
        <n v="19.059071400000001"/>
        <n v="19.0632296"/>
        <n v="19.055782199999999"/>
        <n v="19.060407699999999"/>
        <n v="19.062470900000001"/>
        <n v="19.0573519"/>
        <n v="19.062742799999999"/>
        <n v="19.059307100000002"/>
        <n v="19.047786800000001"/>
        <n v="19.0524466"/>
        <n v="19.050620599999998"/>
        <n v="19.054622299999998"/>
        <n v="19.061212699999999"/>
        <n v="19.063306999999998"/>
        <n v="19.053175899999999"/>
        <n v="19.048618900000001"/>
        <n v="19.0562814"/>
        <n v="19.047501700000002"/>
        <n v="19.050561200000001"/>
        <n v="19.0649962"/>
        <n v="19.070728899999999"/>
        <n v="19.048597999999998"/>
        <n v="19.050127799999999"/>
        <n v="19.062784300000001"/>
        <n v="19.063641199999999"/>
        <n v="19.047521199999998"/>
        <n v="19.065242099999999"/>
        <n v="19.049568099999998"/>
        <n v="19.070349199999999"/>
        <n v="19.0507025"/>
        <n v="19.073190700000001"/>
        <n v="19.0603786"/>
        <n v="19.060931100000001"/>
        <n v="19.062415399999999"/>
        <n v="19.0519426"/>
        <n v="19.0669428"/>
        <n v="19.065197900000001"/>
        <n v="19.0671356"/>
        <n v="19.063201599999999"/>
        <n v="19.072638900000001"/>
        <n v="19.070534899999998"/>
        <n v="19.065120100000001"/>
        <n v="19.074238300000001"/>
        <n v="19.0550724"/>
        <n v="19.062465799999998"/>
        <n v="19.0669696"/>
        <n v="19.051028899999999"/>
        <n v="19.064805799999998"/>
        <n v="19.106172999999998"/>
        <n v="19.0506685"/>
        <n v="19.066475700000002"/>
        <n v="19.061571099999998"/>
        <n v="19.0667875"/>
        <n v="19.0627958"/>
        <n v="19.054071199999999"/>
        <n v="19.059938599999999"/>
        <n v="19.137402999999999"/>
        <n v="19.148222100000002"/>
        <n v="19.1387888"/>
        <n v="19.109420400000001"/>
        <n v="19.149543300000001"/>
        <n v="19.111668000000002"/>
        <n v="19.113821999999999"/>
        <n v="19.106872500000001"/>
        <n v="19.1265453"/>
        <n v="19.139346700000001"/>
        <n v="19.149571099999999"/>
        <n v="19.1400398"/>
        <n v="19.132836999999999"/>
        <n v="19.128625499999998"/>
        <n v="19.117584099999998"/>
        <n v="19.137415399999998"/>
        <n v="19.1329998"/>
        <n v="19.133372000000001"/>
        <n v="19.146730600000001"/>
        <n v="19.1289871"/>
        <n v="19.109677099999999"/>
        <n v="19.114759500000002"/>
        <n v="19.146611100000001"/>
        <n v="19.152528199999999"/>
        <n v="19.1131891"/>
        <n v="19.136251999999999"/>
        <n v="19.1497092"/>
        <n v="19.111430599999998"/>
        <n v="19.103168"/>
        <n v="19.115672700000001"/>
        <n v="19.106129200000002"/>
        <n v="19.1307759"/>
        <n v="19.141111500000001"/>
        <n v="19.127327699999999"/>
        <n v="19.136759999999999"/>
        <n v="19.147060700000001"/>
        <n v="19.148246"/>
        <n v="19.117372799999998"/>
        <n v="19.108096499999998"/>
        <n v="19.141498200000001"/>
        <n v="19.130531399999999"/>
        <n v="19.149786500000001"/>
        <n v="19.113774800000002"/>
        <n v="19.1310477"/>
        <n v="19.110417000000002"/>
        <n v="19.112267599999999"/>
        <n v="19.123038099999999"/>
        <n v="19.128332199999999"/>
        <n v="19.118502599999999"/>
        <n v="19.1130949"/>
        <n v="19.124683000000001"/>
        <n v="19.102402600000001"/>
        <n v="19.117787400000001"/>
        <n v="19.136799799999999"/>
        <n v="19.1033051"/>
        <n v="19.1359177"/>
        <n v="19.148792400000001"/>
        <n v="19.139378600000001"/>
        <n v="19.1502813"/>
        <n v="19.1186027"/>
        <n v="19.157133300000002"/>
        <n v="19.163674199999999"/>
        <n v="19.155877499999999"/>
        <n v="19.1544177"/>
        <n v="19.173725900000001"/>
        <n v="19.162067499999999"/>
        <n v="19.1740101"/>
        <n v="19.1679253"/>
        <n v="19.166500800000001"/>
        <n v="19.155766700000001"/>
        <n v="19.1546649"/>
        <n v="19.174045799999998"/>
        <n v="19.1741077"/>
        <n v="19.1891593"/>
        <n v="19.173808000000001"/>
        <n v="19.154374300000001"/>
        <n v="19.161905999999998"/>
        <n v="19.1715971"/>
        <n v="19.169727200000001"/>
        <n v="19.1713342"/>
        <n v="19.173141300000001"/>
        <n v="19.1742706"/>
        <n v="19.150974399999999"/>
        <n v="19.1622907"/>
        <n v="19.1597887"/>
        <n v="19.193973799999998"/>
        <n v="19.173820500000001"/>
        <n v="19.196663900000001"/>
        <n v="19.185884900000001"/>
        <n v="19.174382699999999"/>
        <n v="19.1770958"/>
        <n v="19.1508748"/>
        <n v="19.1730397"/>
        <n v="19.1622156"/>
        <n v="19.160822799999998"/>
        <n v="19.171024500000001"/>
        <n v="19.1525918"/>
        <n v="19.2135535"/>
        <n v="19.1721562"/>
        <n v="19.1818302"/>
        <n v="19.147110699999999"/>
        <n v="19.152195899999999"/>
        <n v="19.153015400000001"/>
        <n v="19.1494453"/>
        <n v="19.16329"/>
        <n v="19.172647000000001"/>
        <n v="19.152671000000002"/>
        <n v="19.178987100000001"/>
        <n v="19.189025000000001"/>
        <n v="19.166383100000001"/>
        <n v="19.223737100000001"/>
        <n v="19.2321293"/>
        <n v="19.2497644"/>
        <n v="19.218458999999999"/>
        <n v="19.236167399999999"/>
        <n v="19.220610400000002"/>
        <n v="19.221572200000001"/>
        <n v="19.239304799999999"/>
        <n v="19.220670699999999"/>
        <n v="19.220461199999999"/>
        <n v="19.2284541"/>
        <n v="19.221299500000001"/>
        <n v="19.220981200000001"/>
        <n v="19.220029499999999"/>
        <n v="19.241682999999998"/>
        <n v="19.246457199999998"/>
        <n v="19.229567400000001"/>
        <n v="19.2427311"/>
        <n v="19.248138000000001"/>
        <n v="19.254640200000001"/>
        <n v="19.220757899999999"/>
        <n v="19.242041400000002"/>
        <n v="19.250579099999999"/>
        <n v="19.250822500000002"/>
        <n v="19.2280981"/>
        <n v="19.213317400000001"/>
        <n v="19.223655900000001"/>
        <n v="19.2427654"/>
        <n v="19.2548934"/>
        <n v="19.228558799999998"/>
        <n v="19.218018600000001"/>
        <n v="19.218133300000002"/>
        <n v="19.250371699999999"/>
        <n v="19.229896499999999"/>
        <n v="19.214727199999999"/>
        <n v="19.224091099999999"/>
        <n v="19.231347800000002"/>
        <n v="19.2233521"/>
        <n v="19.236942299999999"/>
        <n v="19.239961999999998"/>
        <n v="19.2149134"/>
        <n v="19.2224565"/>
        <n v="19.222591300000001"/>
        <n v="19.215497899999999"/>
        <n v="19.2499985"/>
        <n v="19.227692900000001"/>
        <n v="19.213444800000001"/>
        <n v="19.2288362"/>
        <n v="19.222928400000001"/>
        <n v="19.2275189"/>
        <n v="19.245398999999999"/>
        <n v="19.222405500000001"/>
        <n v="19.2179644"/>
        <n v="19.234054"/>
        <n v="19.233814500000001"/>
        <n v="19.250648099999999"/>
        <n v="19.234904499999999"/>
        <n v="19.220508500000001"/>
        <n v="19.231182199999999"/>
        <n v="19.2349076"/>
        <n v="19.086548400000002"/>
        <n v="19.067784"/>
        <n v="19.0718611"/>
        <n v="19.070182599999999"/>
        <n v="19.0592644"/>
        <n v="19.0634038"/>
        <n v="19.0863741"/>
        <n v="19.0635385"/>
        <n v="19.0865814"/>
        <n v="19.070120500000002"/>
        <n v="19.086154499999999"/>
        <n v="19.083734499999998"/>
        <n v="19.080453299999999"/>
        <n v="19.0624623"/>
        <n v="19.085432999999998"/>
        <n v="19.073816000000001"/>
        <n v="19.0766195"/>
        <n v="19.0866319"/>
        <n v="19.086236499999998"/>
        <n v="19.086688599999999"/>
        <n v="19.086301599999999"/>
        <n v="19.086811300000001"/>
        <n v="19.061946800000001"/>
        <n v="19.070233300000002"/>
        <n v="19.059376799999999"/>
        <n v="19.059371800000001"/>
        <n v="19.068366099999999"/>
        <n v="19.065328900000001"/>
        <n v="19.060616700000001"/>
        <n v="19.075983699999998"/>
        <n v="19.0537642"/>
        <n v="19.075987300000001"/>
        <n v="19.0759474"/>
        <n v="19.0631953"/>
        <n v="19.054140799999999"/>
        <n v="19.098666000000001"/>
        <n v="19.076447699999999"/>
        <n v="19.076406299999999"/>
        <n v="19.0758093"/>
        <n v="19.077392799999998"/>
        <n v="19.079141400000001"/>
        <n v="19.0694509"/>
        <n v="19.076461800000001"/>
        <n v="19.068217300000001"/>
        <n v="19.0640441"/>
        <n v="19.053632400000001"/>
        <n v="19.0612198"/>
        <n v="19.0863704"/>
        <n v="19.0665075"/>
        <n v="19.064433099999999"/>
        <n v="19.0605431"/>
        <n v="19.071451799999998"/>
        <n v="19.064975100000002"/>
        <n v="19.075210999999999"/>
        <n v="19.0898656"/>
        <n v="19.0752141"/>
        <n v="19.070259199999999"/>
        <n v="19.073863100000001"/>
        <n v="19.086335200000001"/>
        <n v="19.076845800000001"/>
        <n v="19.084400299999999"/>
        <n v="19.084101499999999"/>
        <n v="19.099355800000001"/>
        <n v="19.0783825"/>
        <n v="19.083770900000001"/>
        <n v="19.0727236"/>
        <n v="19.085657399999999"/>
        <n v="19.099660700000001"/>
        <n v="19.077449099999999"/>
        <n v="19.0846491"/>
        <n v="19.099697599999999"/>
        <n v="19.0999087"/>
        <n v="19.080745"/>
        <n v="19.078949699999999"/>
        <n v="19.0745757"/>
        <n v="19.076944399999999"/>
        <n v="19.079191399999999"/>
        <n v="19.099504199999998"/>
        <n v="19.079868000000001"/>
        <n v="19.078955499999999"/>
        <n v="19.0785084"/>
        <n v="19.075835600000001"/>
        <n v="19.087616000000001"/>
        <n v="19.0772187"/>
        <n v="19.0799691"/>
        <n v="19.0774583"/>
        <n v="19.075049199999999"/>
        <n v="19.0800628"/>
        <n v="19.078859099999999"/>
        <n v="19.0794827"/>
        <n v="19.085650300000001"/>
        <n v="19.082504"/>
        <n v="19.077398500000001"/>
        <n v="19.0823477"/>
        <n v="19.079111900000001"/>
        <n v="19.098803400000001"/>
        <n v="19.078827400000002"/>
        <n v="19.099654399999999"/>
        <n v="19.093147200000001"/>
        <n v="19.061594199999998"/>
        <n v="19.082859200000001"/>
        <n v="19.069397200000001"/>
        <n v="19.077157100000001"/>
        <n v="19.086579799999999"/>
        <n v="19.0963089"/>
        <n v="19.079921200000001"/>
        <n v="19.079788300000001"/>
        <n v="19.087069499999998"/>
        <n v="19.085387600000001"/>
        <n v="19.075226499999999"/>
        <n v="19.080446899999998"/>
        <n v="19.085251400000001"/>
        <n v="19.0839535"/>
        <n v="19.079289299999999"/>
        <n v="19.074612599999998"/>
        <n v="19.0824569"/>
        <n v="19.180744499999999"/>
        <n v="19.172873899999999"/>
        <n v="19.1724341"/>
        <n v="19.171517300000001"/>
        <n v="19.170914"/>
        <n v="19.172840000000001"/>
        <n v="19.175584400000002"/>
        <n v="19.174410999999999"/>
        <n v="19.1755423"/>
        <n v="19.161836600000001"/>
        <n v="19.159941"/>
        <n v="19.176824199999999"/>
        <n v="19.181168499999998"/>
        <n v="19.180487299999999"/>
        <n v="19.180924300000001"/>
        <n v="19.168358999999999"/>
        <n v="19.181123599999999"/>
        <n v="19.170770999999998"/>
        <n v="19.1808397"/>
        <n v="19.173580600000001"/>
        <n v="19.183812100000001"/>
        <n v="19.1781215"/>
        <n v="19.164312299999999"/>
        <n v="19.1714503"/>
        <n v="19.166946100000001"/>
        <n v="19.1607719"/>
        <n v="19.170562"/>
        <n v="19.180570299999999"/>
        <n v="19.183879099999999"/>
        <n v="19.161019599999999"/>
        <n v="19.175779599999998"/>
        <n v="19.1719714"/>
        <n v="19.174689900000001"/>
        <n v="19.160776899999998"/>
        <n v="19.1763105"/>
        <n v="19.167837299999999"/>
        <n v="19.165175300000001"/>
        <n v="19.1808403"/>
        <n v="19.1757122"/>
        <n v="19.164366999999999"/>
        <n v="19.159556299999998"/>
        <n v="19.170681800000001"/>
        <n v="19.1719112"/>
        <n v="19.1722176"/>
        <n v="19.1687625"/>
        <n v="19.161275"/>
        <n v="19.171229199999999"/>
        <n v="19.189578300000001"/>
        <n v="19.1756879"/>
        <n v="19.191727199999999"/>
        <n v="19.1648526"/>
        <n v="19.172131400000001"/>
        <n v="19.1731601"/>
        <n v="19.172881100000001"/>
        <n v="19.180919899999999"/>
        <n v="19.175964"/>
        <n v="19.175011000000001"/>
        <n v="19.177381400000002"/>
        <n v="19.176058600000001"/>
        <n v="19.084952300000001"/>
        <n v="19.091699200000001"/>
        <n v="19.089621699999999"/>
        <n v="19.0845637"/>
        <n v="19.056582800000001"/>
        <n v="19.086806800000002"/>
        <n v="19.070995700000001"/>
        <n v="19.074182"/>
        <n v="19.0676557"/>
        <n v="19.065485800000001"/>
        <n v="19.072171000000001"/>
        <n v="19.055643400000001"/>
        <n v="19.065708999999998"/>
        <n v="19.0662366"/>
        <n v="19.065691399999999"/>
        <n v="19.065827800000001"/>
        <n v="19.065326800000001"/>
        <n v="19.066978200000001"/>
        <n v="19.074826300000002"/>
        <n v="19.066336"/>
        <n v="19.083051600000001"/>
        <n v="19.065547599999999"/>
        <n v="19.086683600000001"/>
        <n v="19.073132900000001"/>
        <n v="19.083490000000001"/>
        <n v="19.0893196"/>
        <n v="19.065710500000002"/>
        <n v="19.066102399999998"/>
        <n v="19.082450900000001"/>
        <n v="19.082727500000001"/>
        <n v="19.0973389"/>
        <n v="19.066737199999999"/>
        <n v="19.078833700000001"/>
        <n v="19.065773499999999"/>
        <n v="19.087420900000001"/>
        <n v="19.0629895"/>
        <n v="19.08229"/>
        <n v="19.091576700000001"/>
        <n v="19.065766499999999"/>
        <n v="19.073940700000001"/>
        <n v="19.075427099999999"/>
        <n v="19.0539673"/>
        <n v="19.0835328"/>
        <n v="19.100381500000001"/>
        <n v="19.057032299999999"/>
        <n v="19.0658025"/>
        <n v="19.075148299999999"/>
        <n v="19.080896500000001"/>
        <n v="19.0827299"/>
        <n v="19.065738799999998"/>
        <n v="19.067298000000001"/>
        <n v="19.015790599999999"/>
        <n v="19.064215699999998"/>
        <n v="19.085107099999998"/>
        <n v="19.103729900000001"/>
        <n v="19.079420299999999"/>
        <n v="19.0664221"/>
        <n v="19.0657973"/>
        <n v="19.042125899999998"/>
        <n v="19.040775499999999"/>
        <n v="19.035841699999999"/>
        <n v="19.043312499999999"/>
        <n v="19.025829999999999"/>
        <n v="19.043808500000001"/>
        <n v="19.0217691"/>
        <n v="19.0329871"/>
        <n v="19.022916299999999"/>
        <n v="19.024753499999999"/>
        <n v="19.037030900000001"/>
        <n v="19.006477"/>
        <n v="19.031068699999999"/>
        <n v="19.029653"/>
        <n v="19.0339052"/>
        <n v="19.0237658"/>
        <n v="19.019092499999999"/>
        <n v="19.0211857"/>
        <n v="19.043336199999999"/>
        <n v="19.048749600000001"/>
        <n v="19.023695"/>
        <n v="19.057972100000001"/>
        <n v="19.007045699999999"/>
        <n v="19.010544700000001"/>
        <n v="19.0331084"/>
        <n v="19.0112536"/>
        <n v="19.010225200000001"/>
        <n v="19.033962899999999"/>
        <n v="19.032525"/>
        <n v="19.007391200000001"/>
        <n v="19.009949500000001"/>
        <n v="19.0077094"/>
        <n v="19.0205099"/>
        <n v="19.043410099999999"/>
        <n v="19.022217600000001"/>
        <n v="19.0214441"/>
        <n v="19.021365100000001"/>
        <n v="19.032508"/>
        <n v="19.052326499999999"/>
        <n v="19.023726700000001"/>
        <n v="19.0391689"/>
        <n v="19.011971599999999"/>
        <n v="19.009855900000002"/>
        <n v="19.024813300000002"/>
        <n v="19.021294000000001"/>
        <n v="19.021276"/>
        <n v="19.010467299999998"/>
        <n v="19.023741900000001"/>
        <n v="19.0211355"/>
        <n v="19.008059299999999"/>
        <n v="19.020203299999999"/>
        <n v="19.020493200000001"/>
        <n v="19.032343300000001"/>
        <n v="19.024648500000001"/>
        <n v="19.0226994"/>
        <n v="19.0337949"/>
        <n v="19.0046845"/>
        <n v="18.991242700000001"/>
        <n v="19.005620499999999"/>
        <n v="19.012565800000001"/>
        <n v="18.993385700000001"/>
        <n v="18.997335199999998"/>
        <n v="19.008202099999998"/>
        <n v="19.0054993"/>
        <n v="18.990948199999998"/>
        <n v="18.9914849"/>
        <n v="19.003719400000001"/>
        <n v="19.001841500000001"/>
        <n v="19.001585899999998"/>
        <n v="19.040529899999999"/>
        <n v="19.005751799999999"/>
        <n v="19.008147000000001"/>
        <n v="18.993264199999999"/>
        <n v="19.044628599999999"/>
        <n v="19.008025499999999"/>
        <n v="19.008016399999999"/>
        <n v="18.993548100000002"/>
        <n v="18.996887300000001"/>
        <n v="18.990200999999999"/>
        <n v="19.003156100000002"/>
        <n v="18.991533"/>
        <n v="19.003935899999998"/>
        <n v="18.999312700000001"/>
        <n v="19.020493299999998"/>
        <n v="18.989127"/>
        <n v="18.9933552"/>
        <n v="19.009671699999998"/>
        <n v="19.009954700000002"/>
        <n v="18.997271399999999"/>
        <n v="19.003395300000001"/>
        <n v="19.035999199999999"/>
        <n v="18.999866600000001"/>
        <n v="18.986701"/>
        <n v="19.0191649"/>
        <n v="18.987435300000001"/>
        <n v="18.9790554"/>
        <n v="19.045988000000001"/>
        <n v="19.0363796"/>
        <n v="18.991697299999998"/>
        <n v="19.000768399999998"/>
        <n v="19.011319100000001"/>
        <n v="18.9884682"/>
        <n v="18.992989999999999"/>
        <n v="18.9829191"/>
        <n v="18.977092599999999"/>
        <n v="19.005118100000001"/>
        <n v="18.988357700000002"/>
        <n v="19.0058902"/>
        <n v="18.9876456"/>
        <n v="18.967628399999999"/>
        <n v="18.9900941"/>
        <n v="18.9770927"/>
        <n v="18.985402400000002"/>
        <n v="18.992104999999999"/>
        <n v="19.0298105"/>
        <n v="19.032056399999998"/>
        <n v="19.0292849"/>
        <n v="19.029783900000002"/>
        <n v="19.054744899999999"/>
        <n v="19.069331099999999"/>
        <n v="19.045189199999999"/>
        <n v="19.048718000000001"/>
        <n v="19.047885300000001"/>
        <n v="19.033505000000002"/>
        <n v="19.030774099999999"/>
        <n v="19.029751300000001"/>
        <n v="19.052885799999999"/>
        <n v="19.029661900000001"/>
        <n v="19.033672899999999"/>
        <n v="19.049991899999998"/>
        <n v="19.035401499999999"/>
        <n v="19.0550818"/>
        <n v="19.029829500000002"/>
        <n v="19.028469300000001"/>
        <n v="19.033762200000002"/>
        <n v="19.030655200000002"/>
        <n v="19.044675900000001"/>
        <n v="19.0693126"/>
        <n v="19.045449399999999"/>
        <n v="19.035737399999999"/>
        <n v="19.0324454"/>
        <n v="19.034163499999998"/>
        <n v="19.036231799999999"/>
        <n v="19.042507100000002"/>
        <n v="19.0297926"/>
        <n v="19.029670500000002"/>
        <n v="19.032081000000002"/>
        <n v="19.049526400000001"/>
        <n v="19.017197100000001"/>
        <n v="19.039453999999999"/>
        <n v="19.036698900000001"/>
        <n v="19.033724899999999"/>
        <n v="19.027446900000001"/>
        <n v="19.0696099"/>
        <n v="19.040275999999999"/>
        <n v="19.052339199999999"/>
        <n v="19.044977599999999"/>
        <n v="19.032331500000002"/>
        <n v="19.064930100000002"/>
        <n v="19.041910000000001"/>
        <n v="19.041802000000001"/>
        <n v="19.046613900000001"/>
        <n v="19.0410942"/>
        <n v="19.043622899999999"/>
        <n v="19.043898200000001"/>
        <n v="19.045112499999998"/>
        <n v="19.0415204"/>
        <n v="19.042049800000001"/>
        <n v="19.047924600000002"/>
        <n v="19.047019800000001"/>
        <n v="19.0381578"/>
        <n v="19.038628599999999"/>
        <n v="19.0474107"/>
        <n v="19.038790500000001"/>
        <n v="19.043817000000001"/>
        <n v="19.0437178"/>
        <n v="19.043851100000001"/>
        <n v="19.045294500000001"/>
        <n v="19.043055800000001"/>
        <n v="19.045548199999999"/>
        <n v="19.039620899999999"/>
        <n v="19.037456599999999"/>
        <n v="19.042857600000001"/>
        <n v="19.038035199999999"/>
        <n v="19.0424218"/>
        <n v="19.043220999999999"/>
        <n v="19.0456292"/>
        <n v="19.046265200000001"/>
        <n v="19.043562300000001"/>
        <n v="19.044955900000001"/>
        <n v="19.035401"/>
        <n v="19.051199"/>
        <n v="19.042036100000001"/>
        <n v="19.0429043"/>
        <n v="19.041708199999999"/>
        <n v="19.0441161"/>
        <n v="19.038103599999999"/>
        <n v="19.044892300000001"/>
        <n v="19.046849300000002"/>
        <n v="19.043824999999998"/>
        <n v="19.050506599999999"/>
        <n v="19.042317100000002"/>
        <n v="19.046227600000002"/>
        <n v="19.041358899999999"/>
        <n v="19.116927700000002"/>
        <n v="19.115683799999999"/>
        <n v="19.117204999999998"/>
        <n v="19.116056199999999"/>
        <n v="19.134335100000001"/>
        <n v="19.120161499999998"/>
        <n v="19.1205079"/>
        <n v="19.1186878"/>
        <n v="19.1307887"/>
        <n v="19.120090900000001"/>
        <n v="19.116477100000001"/>
        <n v="19.132177500000001"/>
        <n v="19.119576599999998"/>
        <n v="19.119988599999999"/>
        <n v="19.120491399999999"/>
        <n v="19.115667699999999"/>
        <n v="19.114965300000001"/>
        <n v="19.120169799999999"/>
        <n v="19.116104"/>
        <n v="19.122349"/>
        <n v="19.125161599999998"/>
        <n v="19.119866099999999"/>
        <n v="19.1234246"/>
        <n v="19.110952699999999"/>
        <n v="19.110046100000002"/>
        <n v="19.119916700000001"/>
        <n v="19.130005300000001"/>
        <n v="19.119738999999999"/>
        <n v="19.119808800000001"/>
        <n v="19.1117472"/>
        <n v="19.112470299999998"/>
        <n v="19.120558800000001"/>
        <n v="19.132683700000001"/>
        <n v="19.118979100000001"/>
        <n v="19.116963399999999"/>
        <n v="19.1191569"/>
        <n v="19.115127900000001"/>
        <n v="19.123391999999999"/>
        <n v="19.116298100000002"/>
        <n v="19.116203299999999"/>
        <n v="19.115239299999999"/>
        <n v="19.123325300000001"/>
        <n v="19.134477799999999"/>
        <n v="19.099816300000001"/>
        <n v="19.1184598"/>
        <n v="19.119612100000001"/>
        <n v="19.130307200000001"/>
        <n v="19.111243099999999"/>
        <n v="19.053038000000001"/>
        <n v="19.047415300000001"/>
        <n v="19.046987099999999"/>
        <n v="19.041826799999999"/>
        <n v="19.0455665"/>
        <n v="19.0603613"/>
        <n v="19.051201800000001"/>
        <n v="19.059688399999999"/>
        <n v="19.048492"/>
        <n v="19.0444645"/>
        <n v="19.056580700000001"/>
        <n v="19.052778"/>
        <n v="19.046042400000001"/>
        <n v="19.051893"/>
        <n v="19.051459099999999"/>
        <n v="19.0701863"/>
        <n v="19.051912699999999"/>
        <n v="19.0614822"/>
        <n v="19.0693093"/>
        <n v="19.061724099999999"/>
        <n v="19.051871800000001"/>
        <n v="19.069580800000001"/>
        <n v="19.046012900000001"/>
        <n v="19.0441419"/>
        <n v="19.059703200000001"/>
        <n v="19.070433900000001"/>
        <n v="19.0456103"/>
        <n v="19.046616100000001"/>
        <n v="19.060717199999999"/>
        <n v="19.060486000000001"/>
        <n v="19.045520499999999"/>
        <n v="19.052115199999999"/>
        <n v="19.052711299999999"/>
        <n v="19.052257900000001"/>
        <n v="19.0610617"/>
        <n v="19.070277399999998"/>
        <n v="19.0530027"/>
        <n v="19.060827199999999"/>
        <n v="19.045271100000001"/>
        <n v="19.061550700000002"/>
        <n v="19.031685"/>
        <n v="19.067507200000001"/>
        <n v="19.069506400000002"/>
        <n v="19.0703526"/>
        <n v="19.0613323"/>
        <n v="19.051908300000001"/>
        <n v="19.059586199999998"/>
        <n v="19.046165599999998"/>
        <n v="19.0451762"/>
        <n v="19.0484507"/>
        <n v="19.046037599999998"/>
        <n v="19.0539019"/>
        <n v="19.0407774"/>
        <n v="19.040451900000001"/>
        <n v="19.034059299999999"/>
        <n v="19.0455495"/>
        <n v="19.0452957"/>
        <n v="19.045309199999998"/>
        <n v="19.042041999999999"/>
        <n v="19.042752199999999"/>
        <n v="19.041842599999999"/>
        <n v="19.042007399999999"/>
        <n v="19.042818199999999"/>
        <n v="19.0397462"/>
        <n v="19.0307861"/>
        <n v="19.035329000000001"/>
        <n v="19.035129000000001"/>
        <n v="19.052607999999999"/>
        <n v="19.034498500000002"/>
        <n v="19.043691200000001"/>
        <n v="19.045632099999999"/>
        <n v="19.0428748"/>
        <n v="19.0434029"/>
        <n v="19.039558400000001"/>
        <n v="19.031037999999999"/>
        <n v="19.0344461"/>
        <n v="19.047563100000001"/>
        <n v="19.039823299999998"/>
        <n v="19.045266300000002"/>
        <n v="19.032071299999998"/>
        <n v="19.022539099999999"/>
        <n v="19.033331"/>
        <n v="19.027998799999999"/>
        <n v="19.036265700000001"/>
        <n v="19.0774717"/>
        <n v="19.039430400000001"/>
        <n v="19.0273173"/>
        <n v="19.026062499999998"/>
        <n v="19.0433807"/>
        <n v="19.0436497"/>
        <n v="19.045499899999999"/>
        <n v="19.032011099999998"/>
        <n v="19.0341123"/>
        <n v="19.236003"/>
        <n v="19.2271027"/>
        <n v="19.187657600000001"/>
        <n v="19.189621299999999"/>
        <n v="19.240100600000002"/>
        <n v="19.253601700000001"/>
        <n v="19.1949817"/>
        <n v="19.244108700000002"/>
        <n v="19.192506099999999"/>
        <n v="19.2162462"/>
        <n v="19.1930549"/>
        <n v="19.227010100000001"/>
        <n v="19.1886945"/>
        <n v="19.250929599999999"/>
        <n v="19.204369499999999"/>
        <n v="19.227101000000001"/>
        <n v="19.192499300000001"/>
        <n v="19.255773699999999"/>
        <n v="19.197184199999999"/>
        <n v="19.187557000000002"/>
        <n v="19.189751300000001"/>
        <n v="19.2086994"/>
        <n v="19.2056881"/>
        <n v="19.231204000000002"/>
        <n v="19.232445299999998"/>
        <n v="19.226470500000001"/>
        <n v="19.255536800000002"/>
        <n v="19.228470999999999"/>
        <n v="19.226272900000001"/>
        <n v="19.2674612"/>
        <n v="19.260932499999999"/>
        <n v="19.224918800000001"/>
        <n v="19.189713300000001"/>
        <n v="19.255120000000002"/>
        <n v="19.2272322"/>
        <n v="19.233571999999999"/>
        <n v="19.2087407"/>
        <n v="19.240196900000001"/>
        <n v="19.223208"/>
        <n v="19.220536200000002"/>
        <n v="19.191551199999999"/>
        <n v="19.2153043"/>
        <n v="19.222900299999999"/>
        <n v="19.190577900000001"/>
        <n v="19.206500900000002"/>
        <n v="19.227807299999998"/>
        <n v="19.255913199999998"/>
        <n v="19.208813899999999"/>
        <n v="19.201384000000001"/>
        <n v="19.255545900000001"/>
        <n v="19.234888600000001"/>
        <n v="19.207293400000001"/>
        <n v="19.226998500000001"/>
        <n v="19.208517000000001"/>
        <n v="19.2224699"/>
        <n v="19.1915315"/>
        <n v="19.186715700000001"/>
        <n v="19.257775200000001"/>
        <n v="19.1840543"/>
      </sharedItems>
    </cacheField>
    <cacheField name="Longitude" numFmtId="0">
      <sharedItems containsSemiMixedTypes="0" containsString="0" containsNumber="1" minValue="72.805011800000003" maxValue="73.134175499999998" count="1069">
        <n v="72.830501999999996"/>
        <n v="72.831640100000001"/>
        <n v="72.831991500000001"/>
        <n v="72.830269099999995"/>
        <n v="72.832415599999905"/>
        <n v="72.832154700000004"/>
        <n v="72.831385599999905"/>
        <n v="72.832298399999999"/>
        <n v="72.832415999999995"/>
        <n v="72.8322067"/>
        <n v="72.832998000000003"/>
        <n v="72.830873699999998"/>
        <n v="72.838378599999999"/>
        <n v="72.829184499999997"/>
        <n v="72.832554399999907"/>
        <n v="72.831969399999906"/>
        <n v="72.827715699999999"/>
        <n v="72.805011800000003"/>
        <n v="72.832557199999997"/>
        <n v="72.8322608"/>
        <n v="72.823645099999993"/>
        <n v="72.826274999999995"/>
        <n v="72.833038700000003"/>
        <n v="72.837612300000004"/>
        <n v="72.828177999999994"/>
        <n v="72.828256499999995"/>
        <n v="72.833066899999906"/>
        <n v="72.827568200000002"/>
        <n v="72.833305099999905"/>
        <n v="72.832518699999994"/>
        <n v="72.832141300000004"/>
        <n v="72.831861000000004"/>
        <n v="72.831855599999997"/>
        <n v="72.840635300000002"/>
        <n v="72.833657099999996"/>
        <n v="72.8301917"/>
        <n v="72.827708599999994"/>
        <n v="72.830482000000003"/>
        <n v="72.831838599999998"/>
        <n v="72.832522599999905"/>
        <n v="72.832390000000004"/>
        <n v="72.833741599999996"/>
        <n v="72.833314099999996"/>
        <n v="72.824283499999893"/>
        <n v="72.824587199999996"/>
        <n v="72.832608899999997"/>
        <n v="72.832431599999893"/>
        <n v="72.833338900000001"/>
        <n v="72.834567699999994"/>
        <n v="72.833541499999995"/>
        <n v="72.820946000000006"/>
        <n v="72.829637199999993"/>
        <n v="72.832957100000002"/>
        <n v="72.816851599999893"/>
        <n v="72.833253299999996"/>
        <n v="72.821540599999906"/>
        <n v="72.826060099999907"/>
        <n v="72.8080085"/>
        <n v="72.827086299999905"/>
        <n v="72.828059999999994"/>
        <n v="72.826985899999997"/>
        <n v="72.8270287"/>
        <n v="72.827559999999906"/>
        <n v="72.832886599999995"/>
        <n v="72.823598199999907"/>
        <n v="72.826759799999905"/>
        <n v="72.828144199999997"/>
        <n v="72.822002999999995"/>
        <n v="72.834240199999996"/>
        <n v="72.826206999999997"/>
        <n v="72.826841000000002"/>
        <n v="72.832023999999905"/>
        <n v="72.826265999999904"/>
        <n v="72.826101299999905"/>
        <n v="72.824869999999905"/>
        <n v="72.823126199999905"/>
        <n v="72.8276477"/>
        <n v="72.824201000000002"/>
        <n v="72.810955399999997"/>
        <n v="72.827008599999999"/>
        <n v="72.817983299999995"/>
        <n v="72.824899500000001"/>
        <n v="72.822745599999905"/>
        <n v="72.8339888"/>
        <n v="72.825935000000001"/>
        <n v="72.828975"/>
        <n v="72.833408899999995"/>
        <n v="72.826398099999906"/>
        <n v="72.832139799999993"/>
        <n v="72.822676899999905"/>
        <n v="72.832267899999906"/>
        <n v="72.823354999999907"/>
        <n v="72.813679699999994"/>
        <n v="72.828422699999905"/>
        <n v="72.828173699999994"/>
        <n v="72.827862499999995"/>
        <n v="72.823882099999906"/>
        <n v="72.831901500000001"/>
        <n v="72.813020299999906"/>
        <n v="72.846186899999907"/>
        <n v="72.835219999999893"/>
        <n v="72.841099"/>
        <n v="72.837904899999998"/>
        <n v="72.848709299999996"/>
        <n v="72.836906999999997"/>
        <n v="72.845613299999997"/>
        <n v="72.840791799999906"/>
        <n v="72.846830999999995"/>
        <n v="72.835269199999999"/>
        <n v="72.844657499999997"/>
        <n v="72.831898199999998"/>
        <n v="72.835516999999996"/>
        <n v="72.840978800000002"/>
        <n v="72.835392799999994"/>
        <n v="72.855041499999999"/>
        <n v="72.840066399999998"/>
        <n v="72.838479199999995"/>
        <n v="72.846201800000003"/>
        <n v="72.830413399999998"/>
        <n v="72.842680099999995"/>
        <n v="72.846718499999994"/>
        <n v="72.838803900000002"/>
        <n v="72.834798399999997"/>
        <n v="72.838066400000002"/>
        <n v="72.839340500000006"/>
        <n v="72.837106399999996"/>
        <n v="72.830248999999995"/>
        <n v="72.845926199999994"/>
        <n v="72.841970899999893"/>
        <n v="72.842014199999994"/>
        <n v="72.831034599999995"/>
        <n v="72.837619000000004"/>
        <n v="72.836246000000003"/>
        <n v="72.857090900000003"/>
        <n v="72.829367599999998"/>
        <n v="72.849080499999999"/>
        <n v="72.829302499999997"/>
        <n v="72.837660999999997"/>
        <n v="72.835225299999905"/>
        <n v="72.823788999999906"/>
        <n v="72.832725499999995"/>
        <n v="72.839640500000002"/>
        <n v="72.835923600000001"/>
        <n v="72.842715099999893"/>
        <n v="72.854620299999993"/>
        <n v="72.831305799999996"/>
        <n v="72.856184499999998"/>
        <n v="72.832108399999996"/>
        <n v="72.838623600000005"/>
        <n v="72.843729499999995"/>
        <n v="72.854984599999995"/>
        <n v="72.851663000000002"/>
        <n v="72.835785200000004"/>
        <n v="72.837996700000005"/>
        <n v="72.855504400000001"/>
        <n v="72.856666899999993"/>
        <n v="72.835153300000002"/>
        <n v="72.841512299999906"/>
        <n v="72.838468699999893"/>
        <n v="72.814949499999997"/>
        <n v="72.827494099999996"/>
        <n v="72.8149327"/>
        <n v="72.821957400000002"/>
        <n v="72.824329599999999"/>
        <n v="72.822766599999994"/>
        <n v="72.820299499999905"/>
        <n v="72.827433299999996"/>
        <n v="72.817520999999999"/>
        <n v="72.828035"/>
        <n v="72.814403799999994"/>
        <n v="72.820503700000003"/>
        <n v="72.826654599999998"/>
        <n v="72.824474199999997"/>
        <n v="72.822256099999905"/>
        <n v="72.826074199999994"/>
        <n v="72.824360999999996"/>
        <n v="72.825471300000004"/>
        <n v="72.824594099999999"/>
        <n v="72.822006199999905"/>
        <n v="72.824110300000001"/>
        <n v="72.8275589"/>
        <n v="72.824665999999993"/>
        <n v="72.821799400000003"/>
        <n v="72.814945699999996"/>
        <n v="72.814237499999905"/>
        <n v="72.834759599999998"/>
        <n v="72.814806199999893"/>
        <n v="72.824456900000001"/>
        <n v="72.828720199999907"/>
        <n v="72.823651999999996"/>
        <n v="72.815400999999994"/>
        <n v="72.827512099999893"/>
        <n v="72.814170399999995"/>
        <n v="72.815636999999995"/>
        <n v="72.8241522"/>
        <n v="72.817853200000002"/>
        <n v="72.8202742"/>
        <n v="72.839302599999996"/>
        <n v="72.828747300000003"/>
        <n v="72.822246399999997"/>
        <n v="72.822487699999996"/>
        <n v="72.827450599999906"/>
        <n v="72.8294298"/>
        <n v="72.825195800000003"/>
        <n v="72.824389999999994"/>
        <n v="72.829388799999904"/>
        <n v="72.8266907"/>
        <n v="72.834037999999893"/>
        <n v="72.834758499999893"/>
        <n v="72.834012799999996"/>
        <n v="72.824325999999999"/>
        <n v="72.8310496"/>
        <n v="72.827677399999999"/>
        <n v="72.834511699999993"/>
        <n v="72.828907399999906"/>
        <n v="72.820885799999999"/>
        <n v="72.828589800000003"/>
        <n v="72.826599099999996"/>
        <n v="72.825842899999998"/>
        <n v="72.826943200000002"/>
        <n v="72.824928099999994"/>
        <n v="72.830108899999999"/>
        <n v="72.825940500000002"/>
        <n v="72.834321199999906"/>
        <n v="72.8201562"/>
        <n v="72.826788800000003"/>
        <n v="72.831066399999997"/>
        <n v="72.822468299999997"/>
        <n v="72.825850399999993"/>
        <n v="72.826337199999998"/>
        <n v="72.832786799999994"/>
        <n v="72.829390899999893"/>
        <n v="72.820126399999907"/>
        <n v="72.8334823"/>
        <n v="72.829932999999997"/>
        <n v="72.822748099999998"/>
        <n v="72.829990600000002"/>
        <n v="72.826379899999907"/>
        <n v="72.829317399999994"/>
        <n v="72.832459200000002"/>
        <n v="72.832679599999906"/>
        <n v="72.829369"/>
        <n v="72.831006599999995"/>
        <n v="72.829634599999906"/>
        <n v="72.824096699999998"/>
        <n v="72.830011999999996"/>
        <n v="72.8343718"/>
        <n v="72.822739200000001"/>
        <n v="72.831064599999905"/>
        <n v="72.825031600000003"/>
        <n v="72.828321099999997"/>
        <n v="72.823579100000003"/>
        <n v="72.832881999999998"/>
        <n v="72.827395199999998"/>
        <n v="72.829911299999907"/>
        <n v="72.826383899999996"/>
        <n v="72.827291199999905"/>
        <n v="72.823221700000005"/>
        <n v="72.8335747"/>
        <n v="72.830312599999999"/>
        <n v="72.832789199999993"/>
        <n v="72.827199499999907"/>
        <n v="72.833992199999997"/>
        <n v="72.827039399999904"/>
        <n v="72.831577099999905"/>
        <n v="72.813389999999998"/>
        <n v="72.881181099999907"/>
        <n v="72.831697499999905"/>
        <n v="72.871333000000007"/>
        <n v="72.864102199999905"/>
        <n v="72.8638823"/>
        <n v="72.820882100000006"/>
        <n v="72.832314999999994"/>
        <n v="72.828068999999999"/>
        <n v="72.834998499999998"/>
        <n v="72.812349100000006"/>
        <n v="72.819467000000003"/>
        <n v="72.864727799999997"/>
        <n v="72.827190299999998"/>
        <n v="72.812262199999907"/>
        <n v="72.811536899999993"/>
        <n v="72.828678400000001"/>
        <n v="72.817658399999999"/>
        <n v="72.875981600000003"/>
        <n v="72.861147099999997"/>
        <n v="72.828694999999996"/>
        <n v="72.831272400000003"/>
        <n v="72.882127699999998"/>
        <n v="72.821344199999999"/>
        <n v="72.8270208"/>
        <n v="72.878641099999996"/>
        <n v="72.877701999999999"/>
        <n v="72.856945400000001"/>
        <n v="72.825709399999994"/>
        <n v="72.826207799999906"/>
        <n v="72.812974599999905"/>
        <n v="72.838376199999999"/>
        <n v="72.829373399999994"/>
        <n v="72.829269400000001"/>
        <n v="72.831577299999907"/>
        <n v="72.850504200000003"/>
        <n v="72.864653399999995"/>
        <n v="72.831446700000001"/>
        <n v="72.837418099999994"/>
        <n v="72.831734799999893"/>
        <n v="72.841743899999997"/>
        <n v="72.813866599999997"/>
        <n v="72.874231999999907"/>
        <n v="72.8679877"/>
        <n v="72.846654099999995"/>
        <n v="72.829192599999999"/>
        <n v="72.844822899999997"/>
        <n v="72.844556999999995"/>
        <n v="72.864808199999999"/>
        <n v="72.888413200000002"/>
        <n v="72.848220499999996"/>
        <n v="72.829338100000001"/>
        <n v="72.886342099999993"/>
        <n v="72.832615399999995"/>
        <n v="72.832024099999998"/>
        <n v="72.832043200000001"/>
        <n v="72.831805899999907"/>
        <n v="72.8522021"/>
        <n v="72.845750999999893"/>
        <n v="72.847295500000001"/>
        <n v="72.886346899999893"/>
        <n v="72.843415499999907"/>
        <n v="72.860708000000002"/>
        <n v="72.836821499999999"/>
        <n v="72.860992799999906"/>
        <n v="72.854330899999994"/>
        <n v="72.847348999999994"/>
        <n v="72.853613499999994"/>
        <n v="72.886794899999998"/>
        <n v="72.860487499999905"/>
        <n v="72.860602599999893"/>
        <n v="72.834676399999907"/>
        <n v="72.860594300000002"/>
        <n v="72.843415800000002"/>
        <n v="72.857401400000001"/>
        <n v="72.860323399999999"/>
        <n v="72.859232899999995"/>
        <n v="72.8572712"/>
        <n v="72.8738393"/>
        <n v="72.863319300000001"/>
        <n v="72.8356675"/>
        <n v="72.857105399999995"/>
        <n v="72.834868"/>
        <n v="72.837964099999994"/>
        <n v="72.861087699999999"/>
        <n v="72.827389499999995"/>
        <n v="72.830240000000003"/>
        <n v="72.863476199999994"/>
        <n v="72.842085299999994"/>
        <n v="72.887380100000001"/>
        <n v="72.835895100000002"/>
        <n v="72.857138499999905"/>
        <n v="72.945387199999999"/>
        <n v="72.869128000000003"/>
        <n v="72.855930799999996"/>
        <n v="72.872632400000001"/>
        <n v="72.873487099999906"/>
        <n v="72.853336299999995"/>
        <n v="72.8310405"/>
        <n v="72.854581499999995"/>
        <n v="72.884372999999997"/>
        <n v="72.831244799999993"/>
        <n v="72.841458099999997"/>
        <n v="72.835402999999999"/>
        <n v="72.854801399999999"/>
        <n v="72.835623799999993"/>
        <n v="72.833950999999999"/>
        <n v="72.8529056"/>
        <n v="72.851815999999999"/>
        <n v="72.852687099999997"/>
        <n v="72.849020899999999"/>
        <n v="72.838132000000002"/>
        <n v="72.837495200000006"/>
        <n v="72.850012399999997"/>
        <n v="72.847695299999998"/>
        <n v="72.842684399999996"/>
        <n v="72.850291900000002"/>
        <n v="72.8477259"/>
        <n v="72.852663100000001"/>
        <n v="72.847728799999999"/>
        <n v="72.862117400000002"/>
        <n v="72.848031699999893"/>
        <n v="72.844860999999995"/>
        <n v="72.851136699999998"/>
        <n v="72.852605299999993"/>
        <n v="72.844791499999999"/>
        <n v="72.853431999999998"/>
        <n v="72.8490824"/>
        <n v="72.850186299999905"/>
        <n v="72.845063499999995"/>
        <n v="72.846293000000003"/>
        <n v="72.846233299999994"/>
        <n v="72.858189799999906"/>
        <n v="72.842260899999999"/>
        <n v="72.841161900000003"/>
        <n v="72.845858699999994"/>
        <n v="72.848951599999907"/>
        <n v="72.854664599999893"/>
        <n v="72.842161099999998"/>
        <n v="72.838131399999995"/>
        <n v="72.846058799999994"/>
        <n v="72.862084099999905"/>
        <n v="72.867216599999907"/>
        <n v="72.846323900000002"/>
        <n v="72.859981899999994"/>
        <n v="72.841061400000001"/>
        <n v="72.853710800000002"/>
        <n v="72.8392695"/>
        <n v="72.868282399999998"/>
        <n v="72.849232000000001"/>
        <n v="72.868078999999994"/>
        <n v="72.847911799999906"/>
        <n v="72.855286499999906"/>
        <n v="72.838064099999997"/>
        <n v="72.857319599999997"/>
        <n v="72.854545299999998"/>
        <n v="72.849493999999893"/>
        <n v="72.850939499999996"/>
        <n v="72.848050499999999"/>
        <n v="72.842257799999999"/>
        <n v="72.853424500000003"/>
        <n v="72.853820900000002"/>
        <n v="72.846229199999996"/>
        <n v="72.840994199999997"/>
        <n v="72.841148599999997"/>
        <n v="72.824813699999893"/>
        <n v="72.844816499999993"/>
        <n v="72.889735399999907"/>
        <n v="72.868971799999997"/>
        <n v="72.876555600000003"/>
        <n v="72.898175600000002"/>
        <n v="72.864664199999893"/>
        <n v="72.875044799999998"/>
        <n v="72.889836299999999"/>
        <n v="72.861966899999999"/>
        <n v="72.890038899999993"/>
        <n v="72.8975121"/>
        <n v="72.889519899999996"/>
        <n v="72.883161599999994"/>
        <n v="72.889644500000003"/>
        <n v="72.876644499999998"/>
        <n v="72.887681299999997"/>
        <n v="72.8817193"/>
        <n v="72.880073699999997"/>
        <n v="72.889421999999996"/>
        <n v="72.890171100000003"/>
        <n v="72.890236599999994"/>
        <n v="72.888437499999995"/>
        <n v="72.890064199999998"/>
        <n v="72.8833032"/>
        <n v="72.875476800000001"/>
        <n v="72.865386099999995"/>
        <n v="72.865197600000002"/>
        <n v="72.868303799999893"/>
        <n v="72.875344299999995"/>
        <n v="72.8646928"/>
        <n v="72.877655899999993"/>
        <n v="72.851673499999904"/>
        <n v="72.876933600000001"/>
        <n v="72.874136999999905"/>
        <n v="72.861653099999998"/>
        <n v="72.851351800000003"/>
        <n v="72.883408000000003"/>
        <n v="72.877914899999993"/>
        <n v="72.883090899999999"/>
        <n v="72.876691199999996"/>
        <n v="72.880414799999997"/>
        <n v="72.880369999999999"/>
        <n v="72.897071799999907"/>
        <n v="72.880100599999906"/>
        <n v="72.878705099999905"/>
        <n v="72.895866400000003"/>
        <n v="72.850844100000003"/>
        <n v="72.899378299999995"/>
        <n v="72.889925599999998"/>
        <n v="72.877959799999999"/>
        <n v="72.881819100000001"/>
        <n v="72.865209699999994"/>
        <n v="72.883819700000004"/>
        <n v="72.876574399999996"/>
        <n v="72.879126299999996"/>
        <n v="72.883241999999996"/>
        <n v="72.8770557"/>
        <n v="72.875644500000007"/>
        <n v="72.8700154"/>
        <n v="72.888983999999994"/>
        <n v="72.903571299999996"/>
        <n v="72.909052199999905"/>
        <n v="72.904312199999893"/>
        <n v="72.916342099999994"/>
        <n v="72.903865400000001"/>
        <n v="72.909148000000002"/>
        <n v="72.9069413"/>
        <n v="72.907378899999998"/>
        <n v="72.916021099999995"/>
        <n v="72.898932500000001"/>
        <n v="72.9076357"/>
        <n v="72.9166685"/>
        <n v="72.917145599999998"/>
        <n v="72.904340899999994"/>
        <n v="72.909579600000001"/>
        <n v="72.905437499999906"/>
        <n v="72.903028899999995"/>
        <n v="72.908625899999905"/>
        <n v="72.916644300000002"/>
        <n v="72.905751899999998"/>
        <n v="72.904257200000004"/>
        <n v="72.903891099999996"/>
        <n v="72.905298799999997"/>
        <n v="72.909305099999997"/>
        <n v="72.899657300000001"/>
        <n v="72.911089699999906"/>
        <n v="72.907296700000003"/>
        <n v="72.903907099999998"/>
        <n v="72.905370300000001"/>
        <n v="72.910521000000003"/>
        <n v="72.909287599999999"/>
        <n v="72.911476899999997"/>
        <n v="72.904930300000004"/>
        <n v="72.899722099999906"/>
        <n v="72.908811799999995"/>
        <n v="72.905678100000003"/>
        <n v="72.916628699999904"/>
        <n v="72.909940800000001"/>
        <n v="72.916262699999905"/>
        <n v="72.920238499999996"/>
        <n v="72.899740999999906"/>
        <n v="72.9070179"/>
        <n v="72.896929599999893"/>
        <n v="72.900784399999907"/>
        <n v="72.908104999999907"/>
        <n v="72.915329599999893"/>
        <n v="72.905660900000001"/>
        <n v="72.906141399999996"/>
        <n v="72.904443999999998"/>
        <n v="72.909024399999893"/>
        <n v="72.905197299999998"/>
        <n v="72.904587399999997"/>
        <n v="72.912363200000001"/>
        <n v="72.909147300000001"/>
        <n v="72.910098500000004"/>
        <n v="72.9131237"/>
        <n v="72.9127723"/>
        <n v="72.946734499999906"/>
        <n v="72.941472899999994"/>
        <n v="72.941307799999905"/>
        <n v="72.952986899999999"/>
        <n v="72.943690699999905"/>
        <n v="72.9555194"/>
        <n v="72.943590499999999"/>
        <n v="72.958136999999994"/>
        <n v="72.943579299999996"/>
        <n v="72.944497699999999"/>
        <n v="72.945495999999906"/>
        <n v="72.951477499999996"/>
        <n v="72.940707399999994"/>
        <n v="72.940049500000001"/>
        <n v="72.93974"/>
        <n v="72.960910499999997"/>
        <n v="72.940634500000002"/>
        <n v="72.947432499999906"/>
        <n v="72.939138999999997"/>
        <n v="72.956178999999906"/>
        <n v="72.951226599999998"/>
        <n v="72.94426"/>
        <n v="72.937183699999906"/>
        <n v="72.943235599999994"/>
        <n v="72.960529299999905"/>
        <n v="72.945395899999994"/>
        <n v="72.942765199999997"/>
        <n v="72.9400531"/>
        <n v="72.951723299999998"/>
        <n v="72.944760700000003"/>
        <n v="72.951496899999995"/>
        <n v="72.941849399999995"/>
        <n v="72.965934899999993"/>
        <n v="72.945376400000001"/>
        <n v="72.951663699999997"/>
        <n v="72.9610062"/>
        <n v="72.958810599999893"/>
        <n v="72.939138299999996"/>
        <n v="72.952114399999999"/>
        <n v="72.937244100000001"/>
        <n v="72.944882899999996"/>
        <n v="72.956671399999905"/>
        <n v="72.941999999999993"/>
        <n v="72.962598399999905"/>
        <n v="72.946007799999904"/>
        <n v="72.944356999999997"/>
        <n v="72.933519599999997"/>
        <n v="72.945082900000003"/>
        <n v="72.948129100000003"/>
        <n v="72.954816600000001"/>
        <n v="72.938122499999906"/>
        <n v="72.950681700000004"/>
        <n v="72.949538699999906"/>
        <n v="72.9566236"/>
        <n v="72.939210399999993"/>
        <n v="72.937445199999999"/>
        <n v="72.950225000000003"/>
        <n v="72.951298899999998"/>
        <n v="72.950677200000001"/>
        <n v="73.007646100000002"/>
        <n v="73.005358000000001"/>
        <n v="73.007448099999905"/>
        <n v="73.007719399999999"/>
        <n v="73.0032037"/>
        <n v="73.008460499999998"/>
        <n v="73.0093478"/>
        <n v="72.998292199999995"/>
        <n v="72.992965999999996"/>
        <n v="73.000705799999906"/>
        <n v="72.9978014"/>
        <n v="73.015022399999907"/>
        <n v="73.001230899999996"/>
        <n v="72.999246299999996"/>
        <n v="72.999819299999999"/>
        <n v="73.001049699999996"/>
        <n v="73.002129099999905"/>
        <n v="72.999138899999906"/>
        <n v="72.997605499999906"/>
        <n v="72.998512399999996"/>
        <n v="73.005971700000003"/>
        <n v="73.001178699999997"/>
        <n v="72.999505799999994"/>
        <n v="72.998255700000001"/>
        <n v="73.006404699999905"/>
        <n v="73.014051999999893"/>
        <n v="73.000793099999996"/>
        <n v="73.000553299999893"/>
        <n v="73.005690999999999"/>
        <n v="73.006421099999997"/>
        <n v="73.005842399999906"/>
        <n v="72.992912099999998"/>
        <n v="73.013362799999996"/>
        <n v="73.000738599999906"/>
        <n v="73.007493099999905"/>
        <n v="73.005710399999998"/>
        <n v="73.005936899999995"/>
        <n v="73.005654300000003"/>
        <n v="73.000945199999904"/>
        <n v="72.999619099999904"/>
        <n v="72.985011799999995"/>
        <n v="73.006282599999906"/>
        <n v="73.0063873"/>
        <n v="73.009225299999997"/>
        <n v="73.016008099999993"/>
        <n v="72.998540300000002"/>
        <n v="73.0079183"/>
        <n v="73.000470300000003"/>
        <n v="73.006397100000001"/>
        <n v="73.000942699999996"/>
        <n v="72.999228700000003"/>
        <n v="73.041221499999907"/>
        <n v="73.010543099999893"/>
        <n v="73.007780799999907"/>
        <n v="73.001069900000005"/>
        <n v="73.0053743"/>
        <n v="73.008458699999906"/>
        <n v="73.000631999999996"/>
        <n v="73.024180799999996"/>
        <n v="73.020984999999996"/>
        <n v="73.024197200000003"/>
        <n v="73.0270625"/>
        <n v="73.021027000000004"/>
        <n v="73.009150899999995"/>
        <n v="73.015452999999994"/>
        <n v="73.012118700000002"/>
        <n v="73.021074799999994"/>
        <n v="73.022224499999993"/>
        <n v="73.018918599999907"/>
        <n v="73.033076399999999"/>
        <n v="73.027243499999997"/>
        <n v="73.023086399999997"/>
        <n v="73.026971000000003"/>
        <n v="73.019487900000001"/>
        <n v="73.015524599999907"/>
        <n v="73.019555299999993"/>
        <n v="73.027075600000003"/>
        <n v="73.020482700000002"/>
        <n v="73.0317656"/>
        <n v="73.0021244"/>
        <n v="73.033661699999996"/>
        <n v="73.011974100000003"/>
        <n v="73.014905499999998"/>
        <n v="73.012016299999999"/>
        <n v="73.012336500000004"/>
        <n v="73.018720899999906"/>
        <n v="73.016647399999997"/>
        <n v="73.034680999999907"/>
        <n v="73.0326412"/>
        <n v="73.035687999999993"/>
        <n v="73.0174935"/>
        <n v="73.008622000000003"/>
        <n v="73.017619400000001"/>
        <n v="73.018523700000003"/>
        <n v="73.021175399999905"/>
        <n v="73.0167632"/>
        <n v="73.016473399999995"/>
        <n v="73.0235074"/>
        <n v="73.020130399999999"/>
        <n v="73.035754400000002"/>
        <n v="73.033355999999998"/>
        <n v="73.021537899999998"/>
        <n v="73.018042999999906"/>
        <n v="73.019064599999993"/>
        <n v="73.012030100000004"/>
        <n v="73.031774799999994"/>
        <n v="73.019169099999999"/>
        <n v="73.035542499999906"/>
        <n v="73.029364000000001"/>
        <n v="73.017490699999996"/>
        <n v="73.016746999999995"/>
        <n v="73.022199299999997"/>
        <n v="73.018271400000003"/>
        <n v="73.063767099999893"/>
        <n v="73.123357999999996"/>
        <n v="73.1241196"/>
        <n v="73.119294299999893"/>
        <n v="73.092007899999999"/>
        <n v="73.114075700000001"/>
        <n v="73.121928199999999"/>
        <n v="73.109537399999994"/>
        <n v="73.119350400000002"/>
        <n v="73.126230800000002"/>
        <n v="73.123441599999893"/>
        <n v="73.1115803"/>
        <n v="73.117569899999907"/>
        <n v="73.111657600000001"/>
        <n v="73.095887199999893"/>
        <n v="73.111167899999998"/>
        <n v="73.109281199999998"/>
        <n v="73.115628099999995"/>
        <n v="73.1300004"/>
        <n v="73.109344100000001"/>
        <n v="73.109343499999994"/>
        <n v="73.114695599999905"/>
        <n v="73.1175961"/>
        <n v="73.127096600000002"/>
        <n v="73.111871499999907"/>
        <n v="73.110828999999995"/>
        <n v="73.116609199999999"/>
        <n v="73.117944199999997"/>
        <n v="73.091391599999994"/>
        <n v="73.127335799999997"/>
        <n v="73.115659399999998"/>
        <n v="73.099554900000001"/>
        <n v="73.099405399999995"/>
        <n v="73.108659799999998"/>
        <n v="73.111907500000001"/>
        <n v="73.090154999999996"/>
        <n v="73.127952999999906"/>
        <n v="73.093838599999998"/>
        <n v="73.091880199999906"/>
        <n v="73.112692999999993"/>
        <n v="73.097232399999996"/>
        <n v="73.128586299999995"/>
        <n v="73.092307199999993"/>
        <n v="73.109494799999993"/>
        <n v="73.134175499999998"/>
        <n v="73.117857099999995"/>
        <n v="73.127944299999996"/>
        <n v="73.115874199999993"/>
        <n v="73.098695300000003"/>
        <n v="73.100992699999907"/>
        <n v="73.114607300000003"/>
        <n v="73.127979299999893"/>
        <n v="73.110370399999994"/>
        <n v="73.114994600000003"/>
        <n v="73.117081799999994"/>
        <n v="73.112465999999998"/>
        <n v="73.100992499999904"/>
        <n v="73.1095136"/>
        <n v="73.115236799999906"/>
        <n v="73.065200199999893"/>
        <n v="73.066987099999906"/>
        <n v="73.065797099999997"/>
        <n v="73.065389400000001"/>
        <n v="73.067894299999907"/>
        <n v="73.077723800000001"/>
        <n v="73.063368199999999"/>
        <n v="73.075754500000002"/>
        <n v="73.068530199999998"/>
        <n v="73.065545999999998"/>
        <n v="73.066622899999999"/>
        <n v="73.063547900000003"/>
        <n v="73.066831800000003"/>
        <n v="73.063317299999994"/>
        <n v="73.069488800000002"/>
        <n v="73.064977200000001"/>
        <n v="73.067321399999997"/>
        <n v="73.067111199999999"/>
        <n v="73.065351699999994"/>
        <n v="73.059371099999893"/>
        <n v="73.063755399999906"/>
        <n v="73.064812899999893"/>
        <n v="73.063241500000004"/>
        <n v="73.076232500000003"/>
        <n v="73.0810168"/>
        <n v="73.063070499999995"/>
        <n v="73.060091200000002"/>
        <n v="73.062940699999999"/>
        <n v="73.077604600000001"/>
        <n v="73.064024699999905"/>
        <n v="73.059505000000001"/>
        <n v="73.060358100000002"/>
        <n v="73.0669532"/>
        <n v="73.075468200000003"/>
        <n v="73.044353000000001"/>
        <n v="73.071453399999996"/>
        <n v="73.063908999999995"/>
        <n v="73.063721099999995"/>
        <n v="73.057933899999995"/>
        <n v="73.075875699999997"/>
        <n v="73.076477499999996"/>
        <n v="73.070701099999994"/>
        <n v="73.0643891"/>
        <n v="73.067851199999893"/>
        <n v="73.077763199999893"/>
        <n v="72.861122799999904"/>
        <n v="72.856489699999997"/>
        <n v="72.860266499999994"/>
        <n v="72.852332099999998"/>
        <n v="72.848143999999905"/>
        <n v="72.857706199999996"/>
        <n v="72.858642199999906"/>
        <n v="72.8557457"/>
        <n v="72.856475699999905"/>
        <n v="72.863352599999999"/>
        <n v="72.852325800000003"/>
        <n v="72.853323099999997"/>
        <n v="72.853916900000002"/>
        <n v="72.860754999999997"/>
        <n v="72.850883299999893"/>
        <n v="72.851374100000001"/>
        <n v="72.851175599999905"/>
        <n v="72.850586699999994"/>
        <n v="72.864222499999997"/>
        <n v="72.850999000000002"/>
        <n v="72.859397999999999"/>
        <n v="72.850275400000001"/>
        <n v="72.853077900000002"/>
        <n v="72.857282400000003"/>
        <n v="72.853544200000002"/>
        <n v="72.8535605"/>
        <n v="72.847906999999907"/>
        <n v="72.848022999999998"/>
        <n v="72.857750600000003"/>
        <n v="72.847505999999996"/>
        <n v="72.852566899999999"/>
        <n v="72.852856299999999"/>
        <n v="72.864183699999998"/>
        <n v="72.856076599999994"/>
        <n v="72.861876499999994"/>
        <n v="72.848399000000001"/>
        <n v="72.851426099999998"/>
        <n v="72.853419700000003"/>
        <n v="72.864584699999995"/>
        <n v="72.852132299999994"/>
        <n v="72.848335499999905"/>
        <n v="72.865108399999997"/>
        <n v="72.856722099999999"/>
        <n v="72.859600200000003"/>
        <n v="72.855917499999904"/>
        <n v="72.909896799999999"/>
        <n v="72.9090305"/>
        <n v="72.909686299999905"/>
        <n v="72.908977499999907"/>
        <n v="72.901352899999907"/>
        <n v="72.916308299999997"/>
        <n v="72.909278200000003"/>
        <n v="72.911358100000001"/>
        <n v="72.917240699999994"/>
        <n v="72.907065500000002"/>
        <n v="72.901579299999995"/>
        <n v="72.915937200000002"/>
        <n v="72.901091199999996"/>
        <n v="72.907105099999995"/>
        <n v="72.909051300000002"/>
        <n v="72.908939699999905"/>
        <n v="72.888896799999998"/>
        <n v="72.907008500000003"/>
        <n v="72.909806000000003"/>
        <n v="72.908635099999998"/>
        <n v="72.919349499999996"/>
        <n v="72.908950099999998"/>
        <n v="72.912469599999994"/>
        <n v="72.908296699999994"/>
        <n v="72.888003799999893"/>
        <n v="72.907131300000003"/>
        <n v="72.918790099999995"/>
        <n v="72.908049899999995"/>
        <n v="72.907341199999905"/>
        <n v="72.909514299999998"/>
        <n v="72.897706900000003"/>
        <n v="72.909351399999906"/>
        <n v="72.916424699999993"/>
        <n v="72.912512100000001"/>
        <n v="72.889099399999907"/>
        <n v="72.911959099999905"/>
        <n v="72.907099000000002"/>
        <n v="72.913145"/>
        <n v="72.909161299999994"/>
        <n v="72.909040599999997"/>
        <n v="72.901121799999999"/>
        <n v="72.913108800000003"/>
        <n v="72.910039400000002"/>
        <n v="72.8891074"/>
        <n v="72.911565199999998"/>
        <n v="72.901198600000001"/>
        <n v="72.918111099999905"/>
        <n v="72.908766900000003"/>
        <n v="72.897680999999906"/>
        <n v="72.906936700000003"/>
        <n v="72.910994399999893"/>
        <n v="72.8938323"/>
        <n v="72.903101399999997"/>
        <n v="72.898915399999893"/>
        <n v="72.918116299999994"/>
        <n v="72.898968400000001"/>
        <n v="72.893210999999994"/>
        <n v="72.917659899999904"/>
        <n v="72.897811199999893"/>
        <n v="72.899598099999906"/>
        <n v="72.908238400000002"/>
        <n v="72.889983399999906"/>
        <n v="72.9020431"/>
        <n v="72.898086500000005"/>
        <n v="72.900778399999993"/>
        <n v="72.900430099999994"/>
        <n v="72.899453299999905"/>
        <n v="72.898037199999905"/>
        <n v="72.901080499999907"/>
        <n v="72.896940799999996"/>
        <n v="72.897610599999993"/>
        <n v="72.918695799999995"/>
        <n v="72.896427099999997"/>
        <n v="72.898780099999996"/>
        <n v="72.895061999999996"/>
        <n v="72.906934100000001"/>
        <n v="72.900001199999906"/>
        <n v="72.898553999999905"/>
        <n v="72.894493599999905"/>
        <n v="72.900217400000002"/>
        <n v="72.910345499999906"/>
        <n v="72.890100199999907"/>
        <n v="72.899697099999997"/>
        <n v="72.901405099999906"/>
        <n v="72.890419399999999"/>
        <n v="72.916293999999994"/>
        <n v="72.8970463"/>
        <n v="72.900831499999995"/>
        <n v="72.897010899999998"/>
        <n v="72.910164299999906"/>
        <n v="72.896918399999905"/>
        <n v="72.901348999999996"/>
        <n v="72.900725800000004"/>
        <n v="72.889997600000001"/>
        <n v="72.9234115"/>
        <n v="72.908248799999996"/>
        <n v="72.894623600000003"/>
        <n v="72.887706100000003"/>
        <n v="72.9081513"/>
        <n v="72.896321499999999"/>
        <n v="72.860838599999994"/>
        <n v="72.865048000000002"/>
        <n v="72.863132499999907"/>
        <n v="72.864501599999997"/>
        <n v="72.864223299999907"/>
        <n v="72.863601599999996"/>
        <n v="72.870870699999998"/>
        <n v="72.8644642"/>
        <n v="72.864761700000003"/>
        <n v="72.864156499999893"/>
        <n v="72.861564299999998"/>
        <n v="72.879436599999906"/>
        <n v="72.867304000000004"/>
        <n v="72.857272699999996"/>
        <n v="72.8611547"/>
        <n v="72.871633199999906"/>
        <n v="72.863080100000005"/>
        <n v="72.864030499999998"/>
        <n v="72.863506399999906"/>
        <n v="72.861902899999905"/>
        <n v="72.861677599999993"/>
        <n v="72.861467099999999"/>
        <n v="72.859948099999997"/>
        <n v="72.862913399999996"/>
        <n v="72.865520099999998"/>
        <n v="72.879319699999996"/>
        <n v="72.864417000000003"/>
        <n v="72.858370699999995"/>
        <n v="72.857116699999906"/>
        <n v="72.861379599999907"/>
        <n v="72.851720799999995"/>
        <n v="72.846831199999997"/>
        <n v="72.849217799999906"/>
        <n v="72.867253099999999"/>
        <n v="72.854574900000003"/>
        <n v="72.855417899999907"/>
        <n v="72.872026199999993"/>
        <n v="72.864081400000003"/>
        <n v="72.863466500000001"/>
        <n v="72.860050299999997"/>
        <n v="72.862191699999997"/>
        <n v="72.970084"/>
        <n v="72.973938199999907"/>
        <n v="72.960639799999996"/>
        <n v="72.965772799999996"/>
        <n v="72.969297799999893"/>
        <n v="72.973418499999994"/>
        <n v="72.976551799999996"/>
        <n v="72.995818999999997"/>
        <n v="72.976871299999999"/>
        <n v="72.972896800000001"/>
        <n v="72.967446100000004"/>
        <n v="72.973902499999994"/>
        <n v="72.954631800000001"/>
        <n v="72.981668099999993"/>
        <n v="72.969797299999996"/>
        <n v="72.9705479"/>
        <n v="72.971007999999998"/>
        <n v="72.983936200000002"/>
        <n v="72.955520899999996"/>
        <n v="72.969451699999993"/>
        <n v="72.965825299999906"/>
        <n v="72.971461599999998"/>
        <n v="72.977210499999998"/>
        <n v="72.977219199999993"/>
        <n v="72.971576299999995"/>
        <n v="72.970475199999996"/>
        <n v="72.983393800000002"/>
        <n v="72.972144099999994"/>
        <n v="72.970444499999999"/>
        <n v="72.967325500000001"/>
        <n v="72.985196199999905"/>
        <n v="72.975511599999905"/>
        <n v="72.976278899999997"/>
        <n v="72.984193300000001"/>
        <n v="72.970379199999996"/>
        <n v="72.969427499999995"/>
        <n v="72.971464900000001"/>
        <n v="72.969308099999907"/>
        <n v="72.978978900000001"/>
        <n v="72.953458999999995"/>
        <n v="72.968378299999998"/>
        <n v="72.957339399999995"/>
        <n v="72.966675899999998"/>
        <n v="72.944148999999996"/>
        <n v="72.977805500000002"/>
        <n v="72.970236"/>
        <n v="72.983690199999998"/>
        <n v="72.971338699999905"/>
        <n v="72.977657399999998"/>
        <n v="72.984277300000002"/>
        <n v="72.975804499999995"/>
        <n v="72.955878900000002"/>
        <n v="72.970484599999907"/>
        <n v="72.971673499999994"/>
        <n v="72.977074599999995"/>
        <n v="72.975070500000001"/>
        <n v="72.973918599999905"/>
        <n v="72.977321000000003"/>
        <n v="72.974393199999994"/>
      </sharedItems>
    </cacheField>
    <cacheField name="Popularity Score" numFmtId="0">
      <sharedItems containsSemiMixedTypes="0" containsString="0" containsNumber="1" minValue="0" maxValue="152340.4" count="1010">
        <n v="5052.6000000000004"/>
        <n v="125882.40000000001"/>
        <n v="14460.6"/>
        <n v="12332.4"/>
        <n v="5645.2000000000007"/>
        <n v="20143.2"/>
        <n v="26625.599999999999"/>
        <n v="39858"/>
        <n v="15166.800000000001"/>
        <n v="21306.5"/>
        <n v="4884.8"/>
        <n v="2276.4"/>
        <n v="5998.5"/>
        <n v="17274.400000000001"/>
        <n v="647.4"/>
        <n v="6813.3"/>
        <n v="2872.4"/>
        <n v="17470.8"/>
        <n v="1440.5"/>
        <n v="3216.4"/>
        <n v="6004.8"/>
        <n v="30967.200000000001"/>
        <n v="8390.8000000000011"/>
        <n v="9077.2999999999993"/>
        <n v="576"/>
        <n v="12228"/>
        <n v="13206.599999999999"/>
        <n v="1492"/>
        <n v="5561.6"/>
        <n v="3105"/>
        <n v="15453"/>
        <n v="3296.3999999999996"/>
        <n v="18823.2"/>
        <n v="10190.400000000001"/>
        <n v="2103.2000000000003"/>
        <n v="18977.399999999998"/>
        <n v="5899.9"/>
        <n v="625.5"/>
        <n v="283.8"/>
        <n v="612.29999999999995"/>
        <n v="2687.1"/>
        <n v="89824.900000000009"/>
        <n v="37010.699999999997"/>
        <n v="13217.6"/>
        <n v="5147.0999999999995"/>
        <n v="249.39999999999998"/>
        <n v="11013.2"/>
        <n v="484.00000000000006"/>
        <n v="6903.6"/>
        <n v="569.9"/>
        <n v="11800"/>
        <n v="4342.5"/>
        <n v="2143.6"/>
        <n v="80"/>
        <n v="5451.6"/>
        <n v="886.5"/>
        <n v="345.6"/>
        <n v="2605.7999999999997"/>
        <n v="4216.5"/>
        <n v="4972"/>
        <n v="3684"/>
        <n v="1254.5999999999999"/>
        <n v="121.5"/>
        <n v="5437.8"/>
        <n v="2054.1"/>
        <n v="4386.8"/>
        <n v="11242.199999999999"/>
        <n v="17787"/>
        <n v="7398.3"/>
        <n v="13182.400000000001"/>
        <n v="11035.4"/>
        <n v="124.69999999999999"/>
        <n v="10768"/>
        <n v="12361.499999999998"/>
        <n v="394.8"/>
        <n v="30605.4"/>
        <n v="564"/>
        <n v="2838"/>
        <n v="668.3"/>
        <n v="2931.6"/>
        <n v="13545"/>
        <n v="197.79999999999998"/>
        <n v="1339.2"/>
        <n v="59826.8"/>
        <n v="4862"/>
        <n v="604.80000000000007"/>
        <n v="484.79999999999995"/>
        <n v="552"/>
        <n v="2342.2000000000003"/>
        <n v="23694.000000000004"/>
        <n v="1931.9999999999998"/>
        <n v="1419"/>
        <n v="6316.7"/>
        <n v="2847.3999999999996"/>
        <n v="2037.8"/>
        <n v="6344"/>
        <n v="70.400000000000006"/>
        <n v="589.6"/>
        <n v="107860.20000000001"/>
        <n v="1122"/>
        <n v="12029.4"/>
        <n v="34673.699999999997"/>
        <n v="6244"/>
        <n v="7971.6"/>
        <n v="1724.9999999999998"/>
        <n v="3553.2000000000003"/>
        <n v="468"/>
        <n v="822.5"/>
        <n v="11554.1"/>
        <n v="4416"/>
        <n v="1560"/>
        <n v="8307"/>
        <n v="3483"/>
        <n v="414"/>
        <n v="103.5"/>
        <n v="81.599999999999994"/>
        <n v="108240.00000000001"/>
        <n v="2390.2999999999997"/>
        <n v="5428.8"/>
        <n v="6650.5"/>
        <n v="139.5"/>
        <n v="25476.000000000004"/>
        <n v="264"/>
        <n v="17480.400000000001"/>
        <n v="178.6"/>
        <n v="4481.2999999999993"/>
        <n v="1079.3"/>
        <n v="2185"/>
        <n v="2688.4"/>
        <n v="16137.599999999999"/>
        <n v="4044"/>
        <n v="117"/>
        <n v="7035"/>
        <n v="13938.6"/>
        <n v="117.5"/>
        <n v="677.6"/>
        <n v="1135.2"/>
        <n v="285.2"/>
        <n v="774.40000000000009"/>
        <n v="10127"/>
        <n v="16398.800000000003"/>
        <n v="10113.6"/>
        <n v="1320.1999999999998"/>
        <n v="2121"/>
        <n v="3185.6000000000004"/>
        <n v="789.6"/>
        <n v="7813.0999999999995"/>
        <n v="1156.5"/>
        <n v="2902.5"/>
        <n v="58.800000000000004"/>
        <n v="1010.5"/>
        <n v="1992.8999999999999"/>
        <n v="13800.5"/>
        <n v="696"/>
        <n v="351"/>
        <n v="33239"/>
        <n v="21361.200000000001"/>
        <n v="3320.9999999999995"/>
        <n v="3471.6000000000004"/>
        <n v="88.2"/>
        <n v="268.8"/>
        <n v="12530.699999999999"/>
        <n v="865.2"/>
        <n v="582.19999999999993"/>
        <n v="534.1"/>
        <n v="1770.9999999999998"/>
        <n v="284.20000000000005"/>
        <n v="817"/>
        <n v="32546.699999999997"/>
        <n v="29069.5"/>
        <n v="12240.800000000001"/>
        <n v="712.80000000000007"/>
        <n v="56.400000000000006"/>
        <n v="26536.400000000001"/>
        <n v="21809.599999999999"/>
        <n v="2238.1999999999998"/>
        <n v="6961.5"/>
        <n v="2802.8"/>
        <n v="1247"/>
        <n v="1738.8000000000002"/>
        <n v="2230.8000000000002"/>
        <n v="4756.4000000000005"/>
        <n v="13620.199999999999"/>
        <n v="220.79999999999998"/>
        <n v="25886"/>
        <n v="6561.8"/>
        <n v="544.5"/>
        <n v="73.099999999999994"/>
        <n v="428.40000000000003"/>
        <n v="2560.8000000000002"/>
        <n v="19"/>
        <n v="3802.5"/>
        <n v="36107.1"/>
        <n v="46.2"/>
        <n v="166.5"/>
        <n v="21"/>
        <n v="12051.6"/>
        <n v="319.5"/>
        <n v="3582.6000000000004"/>
        <n v="27"/>
        <n v="393.59999999999997"/>
        <n v="255.20000000000002"/>
        <n v="13132.199999999999"/>
        <n v="1281.3999999999999"/>
        <n v="17140.5"/>
        <n v="8830.8000000000011"/>
        <n v="73478.399999999994"/>
        <n v="6358.0000000000009"/>
        <n v="12679.800000000001"/>
        <n v="16984"/>
        <n v="6248.0000000000009"/>
        <n v="4061.4"/>
        <n v="10516"/>
        <n v="6647.7999999999993"/>
        <n v="10634.800000000001"/>
        <n v="4021.6000000000004"/>
        <n v="2443.5"/>
        <n v="2564"/>
        <n v="2601.5"/>
        <n v="3058.0000000000005"/>
        <n v="10235.4"/>
        <n v="10844.6"/>
        <n v="499.2"/>
        <n v="600.6"/>
        <n v="2444.4"/>
        <n v="644"/>
        <n v="1474.8999999999999"/>
        <n v="1430.8999999999999"/>
        <n v="16852.5"/>
        <n v="12095.6"/>
        <n v="3700.4"/>
        <n v="3226.5"/>
        <n v="8487"/>
        <n v="7959.9"/>
        <n v="13717.2"/>
        <n v="3968.7999999999997"/>
        <n v="2331"/>
        <n v="20240.099999999999"/>
        <n v="322.5"/>
        <n v="18567.399999999998"/>
        <n v="1226.7"/>
        <n v="1264.5"/>
        <n v="869.4"/>
        <n v="1271.3999999999999"/>
        <n v="3445.2000000000003"/>
        <n v="32778.9"/>
        <n v="10393.1"/>
        <n v="424.20000000000005"/>
        <n v="6032.9"/>
        <n v="3027.2"/>
        <n v="15342.6"/>
        <n v="9244"/>
        <n v="360"/>
        <n v="1557.9999999999998"/>
        <n v="9150.4"/>
        <n v="804.1"/>
        <n v="127.60000000000001"/>
        <n v="301"/>
        <n v="1425.9"/>
        <n v="12398.1"/>
        <n v="9219.1999999999989"/>
        <n v="5766.6"/>
        <n v="9775"/>
        <n v="11909.4"/>
        <n v="7654"/>
        <n v="1856.4"/>
        <n v="3762.5"/>
        <n v="4867.2"/>
        <n v="3280.9"/>
        <n v="10285.6"/>
        <n v="14956.2"/>
        <n v="296.7"/>
        <n v="5654.5"/>
        <n v="878.9"/>
        <n v="4423.5"/>
        <n v="723.80000000000007"/>
        <n v="7620.8"/>
        <n v="11795.699999999999"/>
        <n v="7308"/>
        <n v="3656.6000000000004"/>
        <n v="647.79999999999995"/>
        <n v="10453.299999999999"/>
        <n v="5217"/>
        <n v="3927.7999999999997"/>
        <n v="427.79999999999995"/>
        <n v="427.7"/>
        <n v="13960.999999999998"/>
        <n v="11216.4"/>
        <n v="11283.8"/>
        <n v="784.9"/>
        <n v="80942.400000000009"/>
        <n v="1767.1"/>
        <n v="1743"/>
        <n v="670.8"/>
        <n v="1881.8999999999999"/>
        <n v="5035.8"/>
        <n v="1666.0000000000002"/>
        <n v="3702.9999999999995"/>
        <n v="11972.400000000001"/>
        <n v="3763.5"/>
        <n v="553.5"/>
        <n v="4395.3"/>
        <n v="1824.4999999999998"/>
        <n v="799.8"/>
        <n v="209.1"/>
        <n v="3490.5"/>
        <n v="953.8"/>
        <n v="4148"/>
        <n v="638.4"/>
        <n v="430"/>
        <n v="3623.1"/>
        <n v="13856"/>
        <n v="366.6"/>
        <n v="1061.8999999999999"/>
        <n v="225"/>
        <n v="240.10000000000002"/>
        <n v="3184"/>
        <n v="1137.4000000000001"/>
        <n v="289.8"/>
        <n v="2115.6"/>
        <n v="736"/>
        <n v="464.59999999999997"/>
        <n v="16120.699999999999"/>
        <n v="956.8"/>
        <n v="3045.6"/>
        <n v="135"/>
        <n v="1353.6000000000001"/>
        <n v="585.19999999999993"/>
        <n v="168"/>
        <n v="10633.9"/>
        <n v="9196.2999999999993"/>
        <n v="6640.2000000000007"/>
        <n v="526.5"/>
        <n v="745"/>
        <n v="300"/>
        <n v="3683.4"/>
        <n v="1707.1"/>
        <n v="136.80000000000001"/>
        <n v="2812.6"/>
        <n v="18298.3"/>
        <n v="2619.8999999999996"/>
        <n v="1447.6000000000001"/>
        <n v="482.99999999999994"/>
        <n v="578.09999999999991"/>
        <n v="6039.2999999999993"/>
        <n v="1008"/>
        <n v="11229.9"/>
        <n v="128.79999999999998"/>
        <n v="1680"/>
        <n v="9"/>
        <n v="802.2"/>
        <n v="871.2"/>
        <n v="4879"/>
        <n v="5347.2"/>
        <n v="5"/>
        <n v="1176"/>
        <n v="175.5"/>
        <n v="1435.5"/>
        <n v="432.6"/>
        <n v="98.7"/>
        <n v="184"/>
        <n v="911.59999999999991"/>
        <n v="585.6"/>
        <n v="7714.2"/>
        <n v="55.1"/>
        <n v="4126.2"/>
        <n v="827.2"/>
        <n v="30.800000000000004"/>
        <n v="8181.6"/>
        <n v="8049.5999999999995"/>
        <n v="4304.3"/>
        <n v="763.59999999999991"/>
        <n v="1220"/>
        <n v="3230.4"/>
        <n v="2754.4"/>
        <n v="8437.8000000000011"/>
        <n v="6451.2000000000007"/>
        <n v="8288"/>
        <n v="6592"/>
        <n v="2204.4"/>
        <n v="11428.2"/>
        <n v="11972"/>
        <n v="13472.800000000001"/>
        <n v="1696.7"/>
        <n v="5424.2999999999993"/>
        <n v="987"/>
        <n v="506.00000000000006"/>
        <n v="9739.1999999999989"/>
        <n v="6812.4000000000005"/>
        <n v="4985.5999999999995"/>
        <n v="764.40000000000009"/>
        <n v="6486"/>
        <n v="20360.599999999999"/>
        <n v="2173.5"/>
        <n v="2214"/>
        <n v="301.5"/>
        <n v="820"/>
        <n v="267.90000000000003"/>
        <n v="8857.8000000000011"/>
        <n v="233.7"/>
        <n v="1331.4"/>
        <n v="176"/>
        <n v="114.4"/>
        <n v="1293.6000000000001"/>
        <n v="7444"/>
        <n v="196"/>
        <n v="230"/>
        <n v="5316.2"/>
        <n v="14049"/>
        <n v="3141.3"/>
        <n v="4851"/>
        <n v="1236.4000000000001"/>
        <n v="9085.5999999999985"/>
        <n v="78.199999999999989"/>
        <n v="617.4"/>
        <n v="937.2"/>
        <n v="91.2"/>
        <n v="963.49999999999989"/>
        <n v="4351.2"/>
        <n v="153"/>
        <n v="1793.9999999999998"/>
        <n v="39102"/>
        <n v="63.7"/>
        <n v="159.80000000000001"/>
        <n v="5084"/>
        <n v="11565"/>
        <n v="2058"/>
        <n v="460.6"/>
        <n v="6535.2000000000007"/>
        <n v="171.5"/>
        <n v="4676"/>
        <n v="8408.4"/>
        <n v="3116.4"/>
        <n v="10138.5"/>
        <n v="242.00000000000003"/>
        <n v="340.8"/>
        <n v="218.4"/>
        <n v="1216.8999999999999"/>
        <n v="230.3"/>
        <n v="2648.6"/>
        <n v="2160.6"/>
        <n v="127.4"/>
        <n v="7013.6"/>
        <n v="11180"/>
        <n v="205.8"/>
        <n v="125"/>
        <n v="5436.5999999999995"/>
        <n v="22097.7"/>
        <n v="799"/>
        <n v="206.4"/>
        <n v="1635.8999999999999"/>
        <n v="189"/>
        <n v="205.2"/>
        <n v="25741.8"/>
        <n v="725.69999999999993"/>
        <n v="6763.9"/>
        <n v="5271.2000000000007"/>
        <n v="192.7"/>
        <n v="0"/>
        <n v="514.80000000000007"/>
        <n v="40"/>
        <n v="211.2"/>
        <n v="85"/>
        <n v="55"/>
        <n v="159.6"/>
        <n v="395.2"/>
        <n v="10"/>
        <n v="2714.8"/>
        <n v="277.2"/>
        <n v="2257.1999999999998"/>
        <n v="14.100000000000001"/>
        <n v="381.1"/>
        <n v="199.8"/>
        <n v="2562.7000000000003"/>
        <n v="71.400000000000006"/>
        <n v="28.799999999999997"/>
        <n v="43"/>
        <n v="379.2"/>
        <n v="252"/>
        <n v="17883.7"/>
        <n v="2291.9"/>
        <n v="6429.6"/>
        <n v="1392.3"/>
        <n v="7135.8"/>
        <n v="10405.799999999999"/>
        <n v="609.6"/>
        <n v="1964"/>
        <n v="38181"/>
        <n v="774"/>
        <n v="444.40000000000003"/>
        <n v="524"/>
        <n v="3772.7999999999997"/>
        <n v="3636"/>
        <n v="399.9"/>
        <n v="312"/>
        <n v="326.59999999999997"/>
        <n v="3474.3999999999996"/>
        <n v="1086.8"/>
        <n v="332"/>
        <n v="703"/>
        <n v="382.2"/>
        <n v="611"/>
        <n v="206.8"/>
        <n v="617.40000000000009"/>
        <n v="1764.4"/>
        <n v="2709"/>
        <n v="41311.599999999999"/>
        <n v="1712"/>
        <n v="352"/>
        <n v="8224"/>
        <n v="630"/>
        <n v="122.2"/>
        <n v="343"/>
        <n v="3328"/>
        <n v="896.4"/>
        <n v="3177.7"/>
        <n v="10150.800000000001"/>
        <n v="1306.3999999999999"/>
        <n v="13868.800000000001"/>
        <n v="2318.3999999999996"/>
        <n v="310.2"/>
        <n v="5829.6"/>
        <n v="3522.6"/>
        <n v="9541.6999999999989"/>
        <n v="2222.1999999999998"/>
        <n v="135.29999999999998"/>
        <n v="22504.5"/>
        <n v="4269.8999999999996"/>
        <n v="7601.4"/>
        <n v="254.2"/>
        <n v="2411.1"/>
        <n v="1788.8"/>
        <n v="181.3"/>
        <n v="264.60000000000002"/>
        <n v="15"/>
        <n v="6574.7"/>
        <n v="7164"/>
        <n v="1575.2"/>
        <n v="10960.699999999999"/>
        <n v="739.6"/>
        <n v="1628.3999999999999"/>
        <n v="1100.8"/>
        <n v="5496"/>
        <n v="6974.0000000000009"/>
        <n v="30577.799999999996"/>
        <n v="266.79999999999995"/>
        <n v="1170.4000000000001"/>
        <n v="672"/>
        <n v="649.29999999999995"/>
        <n v="697.5"/>
        <n v="6454.3"/>
        <n v="297"/>
        <n v="887.8"/>
        <n v="523.6"/>
        <n v="21934.3"/>
        <n v="3271.8"/>
        <n v="4700"/>
        <n v="13850.3"/>
        <n v="926.59999999999991"/>
        <n v="1328.3999999999999"/>
        <n v="3019.8"/>
        <n v="565.79999999999995"/>
        <n v="227.89999999999998"/>
        <n v="4244"/>
        <n v="9442.7999999999993"/>
        <n v="8166.4000000000005"/>
        <n v="2999.1"/>
        <n v="640"/>
        <n v="6808.2000000000007"/>
        <n v="2741.7"/>
        <n v="60"/>
        <n v="672.1"/>
        <n v="13259.400000000001"/>
        <n v="273.59999999999997"/>
        <n v="215"/>
        <n v="3561.6000000000004"/>
        <n v="465.3"/>
        <n v="3718.0000000000005"/>
        <n v="8954"/>
        <n v="2505.6"/>
        <n v="686.4"/>
        <n v="1048.5"/>
        <n v="2313"/>
        <n v="10024.5"/>
        <n v="83.600000000000009"/>
        <n v="73.5"/>
        <n v="2092.7999999999997"/>
        <n v="245.00000000000003"/>
        <n v="110"/>
        <n v="6699.4"/>
        <n v="4866.7"/>
        <n v="10428"/>
        <n v="5482.4000000000005"/>
        <n v="2697.7999999999997"/>
        <n v="2301.2000000000003"/>
        <n v="370.5"/>
        <n v="6896"/>
        <n v="9557.0999999999985"/>
        <n v="401.8"/>
        <n v="2677.2"/>
        <n v="3325.5"/>
        <n v="2077.4"/>
        <n v="5832"/>
        <n v="18029.899999999998"/>
        <n v="10455"/>
        <n v="542.4"/>
        <n v="13244"/>
        <n v="45"/>
        <n v="6268"/>
        <n v="15834.199999999999"/>
        <n v="3173"/>
        <n v="20983.600000000002"/>
        <n v="4645.2999999999993"/>
        <n v="548.80000000000007"/>
        <n v="3771.9999999999995"/>
        <n v="4368"/>
        <n v="25981.699999999997"/>
        <n v="812.69999999999993"/>
        <n v="5026.7"/>
        <n v="21672"/>
        <n v="187.2"/>
        <n v="10128"/>
        <n v="1685.2"/>
        <n v="936"/>
        <n v="749.8"/>
        <n v="1125"/>
        <n v="7096.5"/>
        <n v="39"/>
        <n v="23490.600000000002"/>
        <n v="19152.899999999998"/>
        <n v="6957.4"/>
        <n v="528.9"/>
        <n v="46"/>
        <n v="28.200000000000003"/>
        <n v="4"/>
        <n v="19993.600000000002"/>
        <n v="551.30000000000007"/>
        <n v="27451.200000000001"/>
        <n v="1459.6"/>
        <n v="5074"/>
        <n v="1322.3999999999999"/>
        <n v="161.70000000000002"/>
        <n v="898.69999999999993"/>
        <n v="63"/>
        <n v="51.599999999999994"/>
        <n v="7522.2000000000007"/>
        <n v="5608.7999999999993"/>
        <n v="1209.8"/>
        <n v="940.80000000000007"/>
        <n v="117.60000000000001"/>
        <n v="695"/>
        <n v="508.5"/>
        <n v="1137.5999999999999"/>
        <n v="643.19999999999993"/>
        <n v="570.4"/>
        <n v="508"/>
        <n v="6696"/>
        <n v="164.5"/>
        <n v="4872"/>
        <n v="96"/>
        <n v="509.6"/>
        <n v="1108.5999999999999"/>
        <n v="1536"/>
        <n v="699.19999999999993"/>
        <n v="237.60000000000002"/>
        <n v="422.40000000000003"/>
        <n v="11046"/>
        <n v="4699.2000000000007"/>
        <n v="915.2"/>
        <n v="1352.4"/>
        <n v="984.90000000000009"/>
        <n v="6715.8"/>
        <n v="1258"/>
        <n v="162.80000000000001"/>
        <n v="2486"/>
        <n v="10260.6"/>
        <n v="2142.8000000000002"/>
        <n v="2098.4"/>
        <n v="436.1"/>
        <n v="559"/>
        <n v="490.2"/>
        <n v="24"/>
        <n v="620.4"/>
        <n v="5107.2"/>
        <n v="1584"/>
        <n v="769.5"/>
        <n v="149.60000000000002"/>
        <n v="18739.600000000002"/>
        <n v="2263.8000000000002"/>
        <n v="1948.8000000000002"/>
        <n v="3114"/>
        <n v="32.199999999999996"/>
        <n v="316.8"/>
        <n v="19.2"/>
        <n v="3399.3999999999996"/>
        <n v="5219.2999999999993"/>
        <n v="3659.2999999999997"/>
        <n v="2992.9999999999995"/>
        <n v="814.80000000000007"/>
        <n v="878.4"/>
        <n v="399"/>
        <n v="832.59999999999991"/>
        <n v="5334.0999999999995"/>
        <n v="5018.0999999999995"/>
        <n v="1262.8000000000002"/>
        <n v="529.20000000000005"/>
        <n v="1934.3999999999999"/>
        <n v="782.6"/>
        <n v="441"/>
        <n v="67.5"/>
        <n v="188.6"/>
        <n v="303.60000000000002"/>
        <n v="1123.2"/>
        <n v="1567.8"/>
        <n v="78.400000000000006"/>
        <n v="378"/>
        <n v="133.39999999999998"/>
        <n v="250"/>
        <n v="145"/>
        <n v="2468.1999999999998"/>
        <n v="3128"/>
        <n v="4366.3"/>
        <n v="628.79999999999995"/>
        <n v="542.79999999999995"/>
        <n v="70"/>
        <n v="174.79999999999998"/>
        <n v="5584"/>
        <n v="130"/>
        <n v="463.29999999999995"/>
        <n v="186.20000000000002"/>
        <n v="546.1"/>
        <n v="970.59999999999991"/>
        <n v="124.19999999999999"/>
        <n v="455.70000000000005"/>
        <n v="122.50000000000001"/>
        <n v="147"/>
        <n v="15739.899999999998"/>
        <n v="211.20000000000002"/>
        <n v="120.39999999999999"/>
        <n v="17"/>
        <n v="2058.1999999999998"/>
        <n v="82.8"/>
        <n v="247.5"/>
        <n v="32"/>
        <n v="1333"/>
        <n v="8040"/>
        <n v="2957.7999999999997"/>
        <n v="17892.3"/>
        <n v="5524.5999999999995"/>
        <n v="7017.5999999999995"/>
        <n v="3134.9"/>
        <n v="1870.6000000000001"/>
        <n v="1334.8"/>
        <n v="1559.3999999999999"/>
        <n v="2016"/>
        <n v="892.4"/>
        <n v="321.20000000000005"/>
        <n v="1196"/>
        <n v="526.4"/>
        <n v="888.30000000000007"/>
        <n v="592.90000000000009"/>
        <n v="972"/>
        <n v="4024.7999999999997"/>
        <n v="292.39999999999998"/>
        <n v="171.60000000000002"/>
        <n v="3284"/>
        <n v="5014.8"/>
        <n v="4132.7999999999993"/>
        <n v="279.5"/>
        <n v="243.79999999999998"/>
        <n v="257.59999999999997"/>
        <n v="89.3"/>
        <n v="343.20000000000005"/>
        <n v="5446.4000000000005"/>
        <n v="1090.4000000000001"/>
        <n v="286.7"/>
        <n v="1701"/>
        <n v="469.2"/>
        <n v="5590.2"/>
        <n v="1461.7"/>
        <n v="840"/>
        <n v="487.59999999999997"/>
        <n v="25.200000000000003"/>
        <n v="272.60000000000002"/>
        <n v="3312.7999999999997"/>
        <n v="98.399999999999991"/>
        <n v="3927"/>
        <n v="2103.2999999999997"/>
        <n v="17840"/>
        <n v="65"/>
        <n v="13666.400000000001"/>
        <n v="334.40000000000003"/>
        <n v="2960.1"/>
        <n v="88"/>
        <n v="1180"/>
        <n v="3650.4"/>
        <n v="1390.8"/>
        <n v="4493.5999999999995"/>
        <n v="77.399999999999991"/>
        <n v="3830.3999999999996"/>
        <n v="232.2"/>
        <n v="1181.7"/>
        <n v="5385.9"/>
        <n v="9786.6999999999989"/>
        <n v="216"/>
        <n v="729.59999999999991"/>
        <n v="134.4"/>
        <n v="13066.699999999999"/>
        <n v="66.3"/>
        <n v="357.2"/>
        <n v="125.8"/>
        <n v="385"/>
        <n v="172.20000000000002"/>
        <n v="5708"/>
        <n v="944"/>
        <n v="284"/>
        <n v="18"/>
        <n v="4051.5"/>
        <n v="1248"/>
        <n v="244.20000000000002"/>
        <n v="152340.4"/>
        <n v="940"/>
        <n v="121.80000000000001"/>
        <n v="105"/>
        <n v="16"/>
        <n v="41.8"/>
        <n v="1879.8"/>
        <n v="25"/>
        <n v="759.6"/>
        <n v="40338.299999999996"/>
        <n v="9367.6"/>
        <n v="1667.4"/>
        <n v="16396"/>
        <n v="34545"/>
        <n v="103.4"/>
        <n v="18362.400000000001"/>
        <n v="2796.7999999999997"/>
        <n v="3838.5"/>
        <n v="30487.5"/>
        <n v="825.6"/>
        <n v="1365.3"/>
        <n v="5492"/>
        <n v="10592.4"/>
        <n v="5573.4000000000005"/>
        <n v="17710"/>
        <n v="19655.399999999998"/>
        <n v="14775.2"/>
        <n v="3740.0000000000005"/>
        <n v="676.19999999999993"/>
        <n v="1504.8000000000002"/>
        <n v="11580.800000000001"/>
        <n v="71391.600000000006"/>
        <n v="1513.6"/>
        <n v="47451.6"/>
        <n v="3145.8"/>
        <n v="421.2"/>
        <n v="1422"/>
        <n v="55636.999999999993"/>
        <n v="2624.7"/>
        <n v="3723.7999999999997"/>
        <n v="273"/>
        <n v="38581.200000000004"/>
        <n v="172"/>
        <n v="154.79999999999998"/>
        <n v="23"/>
        <n v="30956"/>
        <n v="5425.2000000000007"/>
        <n v="705.6"/>
        <n v="20313.2"/>
        <n v="132.6"/>
        <n v="213.5"/>
        <n v="702"/>
        <n v="315"/>
        <n v="7185.2999999999993"/>
        <n v="42693"/>
        <n v="6132"/>
        <n v="1487.8"/>
        <n v="637"/>
        <n v="1812"/>
        <n v="2788.8"/>
        <n v="193.20000000000002"/>
        <n v="2898"/>
        <n v="5485.7999999999993"/>
        <n v="8433.6999999999989"/>
        <n v="352.8"/>
        <n v="1167.6000000000001"/>
        <n v="5668"/>
        <n v="1734.6000000000001"/>
        <n v="556.59999999999991"/>
        <n v="5267.5"/>
        <n v="1179.7"/>
        <n v="403.2"/>
        <n v="4940"/>
        <n v="833.00000000000011"/>
        <n v="497"/>
        <n v="447.2"/>
        <n v="15364.300000000001"/>
        <n v="7818.8"/>
        <n v="11365.2"/>
        <n v="639"/>
        <n v="6048"/>
        <n v="765.90000000000009"/>
        <n v="92"/>
        <n v="11085.4"/>
        <n v="87.399999999999991"/>
        <n v="1225.8999999999999"/>
        <n v="7509.6"/>
        <n v="101.19999999999999"/>
        <n v="8248"/>
        <n v="1025.5"/>
        <n v="283.5"/>
        <n v="352.5"/>
        <n v="182.4"/>
        <n v="4758.6000000000004"/>
        <n v="1845"/>
        <n v="6518.9999999999991"/>
        <n v="20"/>
        <n v="65.599999999999994"/>
        <n v="44.1"/>
        <n v="249.6"/>
        <n v="4699.8999999999996"/>
        <n v="24133.200000000001"/>
        <n v="2032"/>
        <n v="20553.3"/>
        <n v="934.8"/>
        <n v="1024"/>
        <n v="12148"/>
        <n v="17106.600000000002"/>
        <n v="16520.399999999998"/>
        <n v="10036.400000000001"/>
        <n v="996.3"/>
        <n v="854.1"/>
        <n v="5696"/>
        <n v="1100"/>
        <n v="202.4"/>
        <n v="7864.7"/>
        <n v="266"/>
        <n v="21982.799999999999"/>
        <n v="3878.5999999999995"/>
        <n v="485"/>
        <n v="3010.7999999999997"/>
        <n v="98"/>
        <n v="2880.4"/>
        <n v="229.5"/>
        <n v="2377.9"/>
        <n v="2260"/>
        <n v="441.59999999999997"/>
        <n v="558.6"/>
        <n v="142137.60000000001"/>
        <n v="715.40000000000009"/>
        <n v="1151.5"/>
        <n v="1482.3999999999999"/>
        <n v="6493.2000000000007"/>
        <n v="5319.0999999999995"/>
        <n v="232"/>
        <n v="782.8"/>
        <n v="5852"/>
        <n v="3636.7"/>
        <n v="586.29999999999995"/>
        <n v="1602.7"/>
        <n v="14116.9"/>
        <n v="3681.5"/>
        <n v="8528"/>
        <n v="3862.2"/>
        <n v="2083.5"/>
        <n v="44822.400000000001"/>
        <n v="3071.2000000000003"/>
        <n v="2236"/>
        <n v="6209.2"/>
        <n v="344"/>
        <n v="1144"/>
        <n v="1462.8"/>
        <n v="2078.4"/>
        <n v="7368"/>
        <n v="4979.3999999999996"/>
        <n v="3863.9999999999995"/>
        <n v="3042.2"/>
        <n v="804.99999999999989"/>
        <n v="3427.2"/>
        <n v="2515.5"/>
        <n v="3498.0000000000005"/>
        <n v="129.6"/>
        <n v="4818"/>
        <n v="705.19999999999993"/>
        <n v="14080.000000000002"/>
        <n v="921.2"/>
        <n v="1381.6000000000001"/>
        <n v="558"/>
        <n v="12056.000000000002"/>
        <n v="588.79999999999995"/>
        <n v="1104.4000000000001"/>
        <n v="2432"/>
        <n v="657.9"/>
        <n v="210.7"/>
        <n v="206.99999999999997"/>
        <n v="55.199999999999996"/>
        <n v="262.2"/>
        <n v="7297.9999999999991"/>
        <n v="4292"/>
        <n v="788.90000000000009"/>
        <n v="5434"/>
        <n v="1238.1999999999998"/>
        <n v="5103"/>
        <n v="188"/>
        <n v="512.4"/>
        <n v="2082.7999999999997"/>
        <n v="323.40000000000003"/>
        <n v="1936"/>
        <n v="139.19999999999999"/>
        <n v="65.8"/>
      </sharedItems>
    </cacheField>
    <cacheField name="Estimated Monthly Visitors" numFmtId="0">
      <sharedItems containsSemiMixedTypes="0" containsString="0" containsNumber="1" containsInteger="1" minValue="0" maxValue="885700"/>
    </cacheField>
    <cacheField name="Average Spend" numFmtId="0">
      <sharedItems containsSemiMixedTypes="0" containsString="0" containsNumber="1" containsInteger="1" minValue="250" maxValue="550"/>
    </cacheField>
    <cacheField name="Estimated Revenue" numFmtId="0">
      <sharedItems containsSemiMixedTypes="0" containsString="0" containsNumber="1" containsInteger="1" minValue="0" maxValue="363420000"/>
    </cacheField>
    <cacheField name="Cafe Category" numFmtId="0">
      <sharedItems count="3">
        <s v="Popular"/>
        <s v="Average"/>
        <s v="Premium"/>
      </sharedItems>
    </cacheField>
  </cacheFields>
  <extLst>
    <ext xmlns:x14="http://schemas.microsoft.com/office/spreadsheetml/2009/9/main" uri="{725AE2AE-9491-48be-B2B4-4EB974FC3084}">
      <x14:pivotCacheDefinition pivotCacheId="14128698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x v="0"/>
    <x v="0"/>
    <x v="0"/>
    <x v="0"/>
    <x v="0"/>
    <x v="0"/>
    <x v="0"/>
    <x v="0"/>
    <n v="30075"/>
    <n v="350"/>
    <n v="10526250"/>
    <x v="0"/>
  </r>
  <r>
    <x v="0"/>
    <x v="1"/>
    <x v="0"/>
    <x v="1"/>
    <x v="1"/>
    <x v="1"/>
    <x v="1"/>
    <x v="1"/>
    <n v="749300"/>
    <n v="350"/>
    <n v="262255000"/>
    <x v="0"/>
  </r>
  <r>
    <x v="0"/>
    <x v="2"/>
    <x v="0"/>
    <x v="2"/>
    <x v="2"/>
    <x v="2"/>
    <x v="2"/>
    <x v="2"/>
    <n v="86075"/>
    <n v="350"/>
    <n v="30126250"/>
    <x v="0"/>
  </r>
  <r>
    <x v="0"/>
    <x v="3"/>
    <x v="1"/>
    <x v="3"/>
    <x v="3"/>
    <x v="3"/>
    <x v="3"/>
    <x v="3"/>
    <n v="71700"/>
    <n v="350"/>
    <n v="25095000"/>
    <x v="0"/>
  </r>
  <r>
    <x v="0"/>
    <x v="4"/>
    <x v="2"/>
    <x v="4"/>
    <x v="4"/>
    <x v="4"/>
    <x v="4"/>
    <x v="4"/>
    <n v="32075"/>
    <n v="450"/>
    <n v="14433750"/>
    <x v="0"/>
  </r>
  <r>
    <x v="0"/>
    <x v="5"/>
    <x v="2"/>
    <x v="5"/>
    <x v="5"/>
    <x v="5"/>
    <x v="5"/>
    <x v="5"/>
    <n v="114450"/>
    <n v="450"/>
    <n v="51502500"/>
    <x v="0"/>
  </r>
  <r>
    <x v="0"/>
    <x v="6"/>
    <x v="1"/>
    <x v="6"/>
    <x v="6"/>
    <x v="6"/>
    <x v="6"/>
    <x v="6"/>
    <n v="154800"/>
    <n v="350"/>
    <n v="54180000"/>
    <x v="0"/>
  </r>
  <r>
    <x v="0"/>
    <x v="7"/>
    <x v="0"/>
    <x v="7"/>
    <x v="7"/>
    <x v="7"/>
    <x v="7"/>
    <x v="7"/>
    <n v="237250"/>
    <n v="350"/>
    <n v="83037500"/>
    <x v="0"/>
  </r>
  <r>
    <x v="0"/>
    <x v="8"/>
    <x v="2"/>
    <x v="8"/>
    <x v="8"/>
    <x v="8"/>
    <x v="8"/>
    <x v="8"/>
    <n v="86175"/>
    <n v="450"/>
    <n v="38778750"/>
    <x v="0"/>
  </r>
  <r>
    <x v="0"/>
    <x v="9"/>
    <x v="1"/>
    <x v="9"/>
    <x v="9"/>
    <x v="9"/>
    <x v="9"/>
    <x v="9"/>
    <n v="123875"/>
    <n v="350"/>
    <n v="43356250"/>
    <x v="0"/>
  </r>
  <r>
    <x v="0"/>
    <x v="10"/>
    <x v="1"/>
    <x v="10"/>
    <x v="10"/>
    <x v="10"/>
    <x v="10"/>
    <x v="10"/>
    <n v="28400"/>
    <n v="350"/>
    <n v="9940000"/>
    <x v="0"/>
  </r>
  <r>
    <x v="0"/>
    <x v="11"/>
    <x v="0"/>
    <x v="11"/>
    <x v="11"/>
    <x v="11"/>
    <x v="11"/>
    <x v="11"/>
    <n v="13550"/>
    <n v="350"/>
    <n v="4742500"/>
    <x v="0"/>
  </r>
  <r>
    <x v="0"/>
    <x v="12"/>
    <x v="1"/>
    <x v="12"/>
    <x v="12"/>
    <x v="12"/>
    <x v="12"/>
    <x v="12"/>
    <n v="34875"/>
    <n v="350"/>
    <n v="12206250"/>
    <x v="0"/>
  </r>
  <r>
    <x v="0"/>
    <x v="13"/>
    <x v="2"/>
    <x v="13"/>
    <x v="13"/>
    <x v="13"/>
    <x v="13"/>
    <x v="13"/>
    <n v="98150"/>
    <n v="450"/>
    <n v="44167500"/>
    <x v="0"/>
  </r>
  <r>
    <x v="0"/>
    <x v="14"/>
    <x v="3"/>
    <x v="14"/>
    <x v="14"/>
    <x v="14"/>
    <x v="14"/>
    <x v="14"/>
    <n v="4150"/>
    <n v="250"/>
    <n v="1037500"/>
    <x v="1"/>
  </r>
  <r>
    <x v="0"/>
    <x v="15"/>
    <x v="3"/>
    <x v="15"/>
    <x v="15"/>
    <x v="15"/>
    <x v="15"/>
    <x v="15"/>
    <n v="43675"/>
    <n v="250"/>
    <n v="10918750"/>
    <x v="1"/>
  </r>
  <r>
    <x v="0"/>
    <x v="16"/>
    <x v="1"/>
    <x v="16"/>
    <x v="16"/>
    <x v="16"/>
    <x v="16"/>
    <x v="16"/>
    <n v="16700"/>
    <n v="350"/>
    <n v="5845000"/>
    <x v="0"/>
  </r>
  <r>
    <x v="0"/>
    <x v="17"/>
    <x v="4"/>
    <x v="17"/>
    <x v="17"/>
    <x v="17"/>
    <x v="17"/>
    <x v="17"/>
    <n v="94950"/>
    <n v="450"/>
    <n v="42727500"/>
    <x v="2"/>
  </r>
  <r>
    <x v="0"/>
    <x v="18"/>
    <x v="1"/>
    <x v="18"/>
    <x v="18"/>
    <x v="18"/>
    <x v="18"/>
    <x v="18"/>
    <n v="8375"/>
    <n v="350"/>
    <n v="2931250"/>
    <x v="0"/>
  </r>
  <r>
    <x v="0"/>
    <x v="19"/>
    <x v="1"/>
    <x v="19"/>
    <x v="19"/>
    <x v="19"/>
    <x v="19"/>
    <x v="19"/>
    <n v="18700"/>
    <n v="350"/>
    <n v="6545000"/>
    <x v="0"/>
  </r>
  <r>
    <x v="0"/>
    <x v="20"/>
    <x v="5"/>
    <x v="20"/>
    <x v="20"/>
    <x v="20"/>
    <x v="20"/>
    <x v="20"/>
    <n v="31275"/>
    <n v="550"/>
    <n v="17201250"/>
    <x v="2"/>
  </r>
  <r>
    <x v="0"/>
    <x v="21"/>
    <x v="2"/>
    <x v="21"/>
    <x v="21"/>
    <x v="21"/>
    <x v="21"/>
    <x v="21"/>
    <n v="175950"/>
    <n v="450"/>
    <n v="79177500"/>
    <x v="0"/>
  </r>
  <r>
    <x v="0"/>
    <x v="22"/>
    <x v="2"/>
    <x v="22"/>
    <x v="22"/>
    <x v="22"/>
    <x v="22"/>
    <x v="22"/>
    <n v="47675"/>
    <n v="450"/>
    <n v="21453750"/>
    <x v="0"/>
  </r>
  <r>
    <x v="0"/>
    <x v="23"/>
    <x v="1"/>
    <x v="23"/>
    <x v="23"/>
    <x v="23"/>
    <x v="23"/>
    <x v="23"/>
    <n v="52775"/>
    <n v="350"/>
    <n v="18471250"/>
    <x v="0"/>
  </r>
  <r>
    <x v="0"/>
    <x v="24"/>
    <x v="6"/>
    <x v="24"/>
    <x v="24"/>
    <x v="24"/>
    <x v="24"/>
    <x v="24"/>
    <n v="3200"/>
    <n v="450"/>
    <n v="1440000"/>
    <x v="2"/>
  </r>
  <r>
    <x v="0"/>
    <x v="25"/>
    <x v="7"/>
    <x v="25"/>
    <x v="25"/>
    <x v="25"/>
    <x v="25"/>
    <x v="25"/>
    <n v="76425"/>
    <n v="350"/>
    <n v="26748750"/>
    <x v="0"/>
  </r>
  <r>
    <x v="0"/>
    <x v="26"/>
    <x v="4"/>
    <x v="26"/>
    <x v="26"/>
    <x v="26"/>
    <x v="26"/>
    <x v="26"/>
    <n v="71775"/>
    <n v="450"/>
    <n v="32298750"/>
    <x v="2"/>
  </r>
  <r>
    <x v="0"/>
    <x v="27"/>
    <x v="7"/>
    <x v="27"/>
    <x v="27"/>
    <x v="27"/>
    <x v="27"/>
    <x v="27"/>
    <n v="9325"/>
    <n v="350"/>
    <n v="3263750"/>
    <x v="0"/>
  </r>
  <r>
    <x v="0"/>
    <x v="28"/>
    <x v="2"/>
    <x v="28"/>
    <x v="28"/>
    <x v="28"/>
    <x v="28"/>
    <x v="28"/>
    <n v="31600"/>
    <n v="450"/>
    <n v="14220000"/>
    <x v="0"/>
  </r>
  <r>
    <x v="0"/>
    <x v="29"/>
    <x v="6"/>
    <x v="29"/>
    <x v="29"/>
    <x v="22"/>
    <x v="22"/>
    <x v="29"/>
    <n v="17250"/>
    <n v="450"/>
    <n v="7762500"/>
    <x v="2"/>
  </r>
  <r>
    <x v="0"/>
    <x v="30"/>
    <x v="6"/>
    <x v="30"/>
    <x v="30"/>
    <x v="29"/>
    <x v="29"/>
    <x v="30"/>
    <n v="85850"/>
    <n v="450"/>
    <n v="38632500"/>
    <x v="2"/>
  </r>
  <r>
    <x v="0"/>
    <x v="31"/>
    <x v="8"/>
    <x v="31"/>
    <x v="31"/>
    <x v="30"/>
    <x v="30"/>
    <x v="31"/>
    <n v="20100"/>
    <n v="350"/>
    <n v="7035000"/>
    <x v="0"/>
  </r>
  <r>
    <x v="0"/>
    <x v="32"/>
    <x v="2"/>
    <x v="32"/>
    <x v="32"/>
    <x v="31"/>
    <x v="31"/>
    <x v="32"/>
    <n v="106950"/>
    <n v="450"/>
    <n v="48127500"/>
    <x v="0"/>
  </r>
  <r>
    <x v="0"/>
    <x v="33"/>
    <x v="2"/>
    <x v="33"/>
    <x v="33"/>
    <x v="32"/>
    <x v="32"/>
    <x v="33"/>
    <n v="57900"/>
    <n v="450"/>
    <n v="26055000"/>
    <x v="0"/>
  </r>
  <r>
    <x v="0"/>
    <x v="34"/>
    <x v="2"/>
    <x v="34"/>
    <x v="34"/>
    <x v="33"/>
    <x v="33"/>
    <x v="34"/>
    <n v="11950"/>
    <n v="450"/>
    <n v="5377500"/>
    <x v="0"/>
  </r>
  <r>
    <x v="0"/>
    <x v="35"/>
    <x v="3"/>
    <x v="35"/>
    <x v="35"/>
    <x v="11"/>
    <x v="11"/>
    <x v="35"/>
    <n v="121650"/>
    <n v="250"/>
    <n v="30412500"/>
    <x v="1"/>
  </r>
  <r>
    <x v="0"/>
    <x v="36"/>
    <x v="8"/>
    <x v="36"/>
    <x v="36"/>
    <x v="34"/>
    <x v="34"/>
    <x v="36"/>
    <n v="35975"/>
    <n v="350"/>
    <n v="12591250"/>
    <x v="0"/>
  </r>
  <r>
    <x v="0"/>
    <x v="37"/>
    <x v="6"/>
    <x v="37"/>
    <x v="37"/>
    <x v="35"/>
    <x v="35"/>
    <x v="37"/>
    <n v="3475"/>
    <n v="450"/>
    <n v="1563750"/>
    <x v="2"/>
  </r>
  <r>
    <x v="0"/>
    <x v="38"/>
    <x v="1"/>
    <x v="38"/>
    <x v="38"/>
    <x v="36"/>
    <x v="36"/>
    <x v="38"/>
    <n v="1650"/>
    <n v="350"/>
    <n v="577500"/>
    <x v="0"/>
  </r>
  <r>
    <x v="0"/>
    <x v="39"/>
    <x v="3"/>
    <x v="39"/>
    <x v="39"/>
    <x v="37"/>
    <x v="37"/>
    <x v="39"/>
    <n v="3925"/>
    <n v="250"/>
    <n v="981250"/>
    <x v="1"/>
  </r>
  <r>
    <x v="0"/>
    <x v="40"/>
    <x v="3"/>
    <x v="40"/>
    <x v="40"/>
    <x v="38"/>
    <x v="38"/>
    <x v="40"/>
    <n v="17225"/>
    <n v="250"/>
    <n v="4306250"/>
    <x v="1"/>
  </r>
  <r>
    <x v="0"/>
    <x v="41"/>
    <x v="9"/>
    <x v="41"/>
    <x v="41"/>
    <x v="39"/>
    <x v="39"/>
    <x v="41"/>
    <n v="606925"/>
    <n v="250"/>
    <n v="151731250"/>
    <x v="1"/>
  </r>
  <r>
    <x v="0"/>
    <x v="42"/>
    <x v="8"/>
    <x v="42"/>
    <x v="42"/>
    <x v="40"/>
    <x v="40"/>
    <x v="42"/>
    <n v="225675"/>
    <n v="350"/>
    <n v="78986250"/>
    <x v="0"/>
  </r>
  <r>
    <x v="0"/>
    <x v="43"/>
    <x v="2"/>
    <x v="43"/>
    <x v="43"/>
    <x v="41"/>
    <x v="41"/>
    <x v="43"/>
    <n v="75100"/>
    <n v="450"/>
    <n v="33795000"/>
    <x v="0"/>
  </r>
  <r>
    <x v="0"/>
    <x v="44"/>
    <x v="1"/>
    <x v="44"/>
    <x v="44"/>
    <x v="42"/>
    <x v="42"/>
    <x v="44"/>
    <n v="29925"/>
    <n v="350"/>
    <n v="10473750"/>
    <x v="0"/>
  </r>
  <r>
    <x v="0"/>
    <x v="45"/>
    <x v="1"/>
    <x v="45"/>
    <x v="45"/>
    <x v="43"/>
    <x v="43"/>
    <x v="45"/>
    <n v="1450"/>
    <n v="350"/>
    <n v="507500"/>
    <x v="0"/>
  </r>
  <r>
    <x v="0"/>
    <x v="46"/>
    <x v="2"/>
    <x v="46"/>
    <x v="46"/>
    <x v="44"/>
    <x v="44"/>
    <x v="46"/>
    <n v="62575"/>
    <n v="450"/>
    <n v="28158750"/>
    <x v="0"/>
  </r>
  <r>
    <x v="0"/>
    <x v="47"/>
    <x v="2"/>
    <x v="47"/>
    <x v="47"/>
    <x v="45"/>
    <x v="45"/>
    <x v="47"/>
    <n v="2750"/>
    <n v="450"/>
    <n v="1237500"/>
    <x v="0"/>
  </r>
  <r>
    <x v="0"/>
    <x v="48"/>
    <x v="2"/>
    <x v="48"/>
    <x v="48"/>
    <x v="46"/>
    <x v="46"/>
    <x v="48"/>
    <n v="39225"/>
    <n v="450"/>
    <n v="17651250"/>
    <x v="0"/>
  </r>
  <r>
    <x v="0"/>
    <x v="49"/>
    <x v="8"/>
    <x v="37"/>
    <x v="49"/>
    <x v="47"/>
    <x v="47"/>
    <x v="49"/>
    <n v="3475"/>
    <n v="350"/>
    <n v="1216250"/>
    <x v="0"/>
  </r>
  <r>
    <x v="0"/>
    <x v="50"/>
    <x v="7"/>
    <x v="49"/>
    <x v="50"/>
    <x v="48"/>
    <x v="48"/>
    <x v="50"/>
    <n v="73750"/>
    <n v="350"/>
    <n v="25812500"/>
    <x v="0"/>
  </r>
  <r>
    <x v="0"/>
    <x v="51"/>
    <x v="6"/>
    <x v="50"/>
    <x v="51"/>
    <x v="49"/>
    <x v="49"/>
    <x v="51"/>
    <n v="24125"/>
    <n v="450"/>
    <n v="10856250"/>
    <x v="2"/>
  </r>
  <r>
    <x v="0"/>
    <x v="52"/>
    <x v="4"/>
    <x v="51"/>
    <x v="52"/>
    <x v="50"/>
    <x v="50"/>
    <x v="52"/>
    <n v="11650"/>
    <n v="450"/>
    <n v="5242500"/>
    <x v="2"/>
  </r>
  <r>
    <x v="0"/>
    <x v="53"/>
    <x v="10"/>
    <x v="52"/>
    <x v="53"/>
    <x v="51"/>
    <x v="51"/>
    <x v="53"/>
    <n v="400"/>
    <n v="550"/>
    <n v="220000"/>
    <x v="2"/>
  </r>
  <r>
    <x v="0"/>
    <x v="54"/>
    <x v="2"/>
    <x v="53"/>
    <x v="54"/>
    <x v="52"/>
    <x v="52"/>
    <x v="54"/>
    <n v="30975"/>
    <n v="450"/>
    <n v="13938750"/>
    <x v="0"/>
  </r>
  <r>
    <x v="0"/>
    <x v="55"/>
    <x v="6"/>
    <x v="54"/>
    <x v="55"/>
    <x v="53"/>
    <x v="53"/>
    <x v="55"/>
    <n v="4925"/>
    <n v="450"/>
    <n v="2216250"/>
    <x v="2"/>
  </r>
  <r>
    <x v="0"/>
    <x v="56"/>
    <x v="11"/>
    <x v="55"/>
    <x v="28"/>
    <x v="54"/>
    <x v="54"/>
    <x v="56"/>
    <n v="2400"/>
    <n v="250"/>
    <n v="600000"/>
    <x v="1"/>
  </r>
  <r>
    <x v="0"/>
    <x v="57"/>
    <x v="1"/>
    <x v="56"/>
    <x v="56"/>
    <x v="55"/>
    <x v="55"/>
    <x v="57"/>
    <n v="15150"/>
    <n v="350"/>
    <n v="5302500"/>
    <x v="0"/>
  </r>
  <r>
    <x v="0"/>
    <x v="58"/>
    <x v="6"/>
    <x v="57"/>
    <x v="57"/>
    <x v="56"/>
    <x v="56"/>
    <x v="58"/>
    <n v="23425"/>
    <n v="450"/>
    <n v="10541250"/>
    <x v="2"/>
  </r>
  <r>
    <x v="0"/>
    <x v="59"/>
    <x v="2"/>
    <x v="58"/>
    <x v="58"/>
    <x v="57"/>
    <x v="57"/>
    <x v="59"/>
    <n v="28250"/>
    <n v="450"/>
    <n v="12712500"/>
    <x v="0"/>
  </r>
  <r>
    <x v="1"/>
    <x v="21"/>
    <x v="2"/>
    <x v="21"/>
    <x v="21"/>
    <x v="21"/>
    <x v="21"/>
    <x v="21"/>
    <n v="175950"/>
    <n v="450"/>
    <n v="79177500"/>
    <x v="0"/>
  </r>
  <r>
    <x v="1"/>
    <x v="8"/>
    <x v="2"/>
    <x v="8"/>
    <x v="8"/>
    <x v="8"/>
    <x v="8"/>
    <x v="8"/>
    <n v="86175"/>
    <n v="450"/>
    <n v="38778750"/>
    <x v="0"/>
  </r>
  <r>
    <x v="1"/>
    <x v="58"/>
    <x v="6"/>
    <x v="57"/>
    <x v="57"/>
    <x v="56"/>
    <x v="56"/>
    <x v="58"/>
    <n v="23425"/>
    <n v="450"/>
    <n v="10541250"/>
    <x v="2"/>
  </r>
  <r>
    <x v="1"/>
    <x v="60"/>
    <x v="7"/>
    <x v="59"/>
    <x v="59"/>
    <x v="58"/>
    <x v="58"/>
    <x v="60"/>
    <n v="23025"/>
    <n v="350"/>
    <n v="8058750"/>
    <x v="0"/>
  </r>
  <r>
    <x v="1"/>
    <x v="61"/>
    <x v="8"/>
    <x v="60"/>
    <x v="60"/>
    <x v="59"/>
    <x v="59"/>
    <x v="61"/>
    <n v="7650"/>
    <n v="350"/>
    <n v="2677500"/>
    <x v="0"/>
  </r>
  <r>
    <x v="1"/>
    <x v="62"/>
    <x v="6"/>
    <x v="61"/>
    <x v="61"/>
    <x v="60"/>
    <x v="60"/>
    <x v="62"/>
    <n v="675"/>
    <n v="450"/>
    <n v="303750"/>
    <x v="2"/>
  </r>
  <r>
    <x v="1"/>
    <x v="12"/>
    <x v="1"/>
    <x v="12"/>
    <x v="12"/>
    <x v="12"/>
    <x v="12"/>
    <x v="12"/>
    <n v="34875"/>
    <n v="350"/>
    <n v="12206250"/>
    <x v="0"/>
  </r>
  <r>
    <x v="1"/>
    <x v="63"/>
    <x v="12"/>
    <x v="62"/>
    <x v="62"/>
    <x v="61"/>
    <x v="61"/>
    <x v="63"/>
    <n v="35775"/>
    <n v="250"/>
    <n v="8943750"/>
    <x v="1"/>
  </r>
  <r>
    <x v="1"/>
    <x v="10"/>
    <x v="1"/>
    <x v="10"/>
    <x v="10"/>
    <x v="10"/>
    <x v="10"/>
    <x v="10"/>
    <n v="28400"/>
    <n v="350"/>
    <n v="9940000"/>
    <x v="0"/>
  </r>
  <r>
    <x v="1"/>
    <x v="64"/>
    <x v="8"/>
    <x v="63"/>
    <x v="63"/>
    <x v="62"/>
    <x v="62"/>
    <x v="64"/>
    <n v="12525"/>
    <n v="350"/>
    <n v="4383750"/>
    <x v="0"/>
  </r>
  <r>
    <x v="1"/>
    <x v="9"/>
    <x v="1"/>
    <x v="9"/>
    <x v="9"/>
    <x v="9"/>
    <x v="9"/>
    <x v="9"/>
    <n v="123875"/>
    <n v="350"/>
    <n v="43356250"/>
    <x v="0"/>
  </r>
  <r>
    <x v="1"/>
    <x v="65"/>
    <x v="2"/>
    <x v="64"/>
    <x v="64"/>
    <x v="63"/>
    <x v="63"/>
    <x v="65"/>
    <n v="24925"/>
    <n v="450"/>
    <n v="11216250"/>
    <x v="0"/>
  </r>
  <r>
    <x v="1"/>
    <x v="66"/>
    <x v="8"/>
    <x v="65"/>
    <x v="65"/>
    <x v="64"/>
    <x v="64"/>
    <x v="66"/>
    <n v="68550"/>
    <n v="350"/>
    <n v="23992500"/>
    <x v="0"/>
  </r>
  <r>
    <x v="1"/>
    <x v="67"/>
    <x v="0"/>
    <x v="66"/>
    <x v="66"/>
    <x v="65"/>
    <x v="65"/>
    <x v="67"/>
    <n v="105875"/>
    <n v="350"/>
    <n v="37056250"/>
    <x v="0"/>
  </r>
  <r>
    <x v="1"/>
    <x v="36"/>
    <x v="8"/>
    <x v="36"/>
    <x v="36"/>
    <x v="34"/>
    <x v="34"/>
    <x v="36"/>
    <n v="35975"/>
    <n v="350"/>
    <n v="12591250"/>
    <x v="0"/>
  </r>
  <r>
    <x v="1"/>
    <x v="68"/>
    <x v="3"/>
    <x v="67"/>
    <x v="67"/>
    <x v="66"/>
    <x v="66"/>
    <x v="68"/>
    <n v="47425"/>
    <n v="250"/>
    <n v="11856250"/>
    <x v="1"/>
  </r>
  <r>
    <x v="1"/>
    <x v="58"/>
    <x v="2"/>
    <x v="68"/>
    <x v="68"/>
    <x v="67"/>
    <x v="67"/>
    <x v="69"/>
    <n v="74900"/>
    <n v="450"/>
    <n v="33705000"/>
    <x v="0"/>
  </r>
  <r>
    <x v="1"/>
    <x v="58"/>
    <x v="4"/>
    <x v="69"/>
    <x v="69"/>
    <x v="68"/>
    <x v="68"/>
    <x v="70"/>
    <n v="59975"/>
    <n v="450"/>
    <n v="26988750"/>
    <x v="2"/>
  </r>
  <r>
    <x v="1"/>
    <x v="69"/>
    <x v="1"/>
    <x v="70"/>
    <x v="70"/>
    <x v="69"/>
    <x v="69"/>
    <x v="71"/>
    <n v="725"/>
    <n v="350"/>
    <n v="253750"/>
    <x v="0"/>
  </r>
  <r>
    <x v="1"/>
    <x v="32"/>
    <x v="2"/>
    <x v="32"/>
    <x v="32"/>
    <x v="31"/>
    <x v="31"/>
    <x v="32"/>
    <n v="106950"/>
    <n v="450"/>
    <n v="48127500"/>
    <x v="0"/>
  </r>
  <r>
    <x v="1"/>
    <x v="34"/>
    <x v="2"/>
    <x v="34"/>
    <x v="34"/>
    <x v="33"/>
    <x v="33"/>
    <x v="34"/>
    <n v="11950"/>
    <n v="450"/>
    <n v="5377500"/>
    <x v="0"/>
  </r>
  <r>
    <x v="1"/>
    <x v="70"/>
    <x v="7"/>
    <x v="71"/>
    <x v="71"/>
    <x v="70"/>
    <x v="70"/>
    <x v="72"/>
    <n v="67300"/>
    <n v="350"/>
    <n v="23555000"/>
    <x v="0"/>
  </r>
  <r>
    <x v="1"/>
    <x v="2"/>
    <x v="0"/>
    <x v="2"/>
    <x v="2"/>
    <x v="2"/>
    <x v="2"/>
    <x v="2"/>
    <n v="86075"/>
    <n v="350"/>
    <n v="30126250"/>
    <x v="0"/>
  </r>
  <r>
    <x v="1"/>
    <x v="71"/>
    <x v="8"/>
    <x v="72"/>
    <x v="72"/>
    <x v="71"/>
    <x v="71"/>
    <x v="73"/>
    <n v="75375"/>
    <n v="350"/>
    <n v="26381250"/>
    <x v="0"/>
  </r>
  <r>
    <x v="1"/>
    <x v="72"/>
    <x v="0"/>
    <x v="73"/>
    <x v="73"/>
    <x v="72"/>
    <x v="72"/>
    <x v="74"/>
    <n v="2350"/>
    <n v="350"/>
    <n v="822500"/>
    <x v="0"/>
  </r>
  <r>
    <x v="1"/>
    <x v="73"/>
    <x v="0"/>
    <x v="74"/>
    <x v="74"/>
    <x v="73"/>
    <x v="73"/>
    <x v="75"/>
    <n v="182175"/>
    <n v="350"/>
    <n v="63761250"/>
    <x v="0"/>
  </r>
  <r>
    <x v="1"/>
    <x v="23"/>
    <x v="1"/>
    <x v="23"/>
    <x v="23"/>
    <x v="23"/>
    <x v="23"/>
    <x v="23"/>
    <n v="52775"/>
    <n v="350"/>
    <n v="18471250"/>
    <x v="0"/>
  </r>
  <r>
    <x v="1"/>
    <x v="1"/>
    <x v="0"/>
    <x v="1"/>
    <x v="1"/>
    <x v="1"/>
    <x v="1"/>
    <x v="1"/>
    <n v="749300"/>
    <n v="350"/>
    <n v="262255000"/>
    <x v="0"/>
  </r>
  <r>
    <x v="1"/>
    <x v="74"/>
    <x v="7"/>
    <x v="75"/>
    <x v="75"/>
    <x v="74"/>
    <x v="74"/>
    <x v="76"/>
    <n v="3525"/>
    <n v="350"/>
    <n v="1233750"/>
    <x v="0"/>
  </r>
  <r>
    <x v="1"/>
    <x v="52"/>
    <x v="4"/>
    <x v="51"/>
    <x v="52"/>
    <x v="50"/>
    <x v="50"/>
    <x v="52"/>
    <n v="11650"/>
    <n v="450"/>
    <n v="5242500"/>
    <x v="2"/>
  </r>
  <r>
    <x v="1"/>
    <x v="3"/>
    <x v="1"/>
    <x v="3"/>
    <x v="3"/>
    <x v="3"/>
    <x v="3"/>
    <x v="3"/>
    <n v="71700"/>
    <n v="350"/>
    <n v="25095000"/>
    <x v="0"/>
  </r>
  <r>
    <x v="1"/>
    <x v="75"/>
    <x v="1"/>
    <x v="76"/>
    <x v="76"/>
    <x v="75"/>
    <x v="75"/>
    <x v="77"/>
    <n v="16500"/>
    <n v="350"/>
    <n v="5775000"/>
    <x v="0"/>
  </r>
  <r>
    <x v="1"/>
    <x v="76"/>
    <x v="8"/>
    <x v="77"/>
    <x v="77"/>
    <x v="76"/>
    <x v="76"/>
    <x v="78"/>
    <n v="4075"/>
    <n v="350"/>
    <n v="1426250"/>
    <x v="0"/>
  </r>
  <r>
    <x v="1"/>
    <x v="77"/>
    <x v="0"/>
    <x v="78"/>
    <x v="78"/>
    <x v="77"/>
    <x v="77"/>
    <x v="79"/>
    <n v="17450"/>
    <n v="350"/>
    <n v="6107500"/>
    <x v="0"/>
  </r>
  <r>
    <x v="1"/>
    <x v="78"/>
    <x v="0"/>
    <x v="79"/>
    <x v="79"/>
    <x v="78"/>
    <x v="78"/>
    <x v="80"/>
    <n v="80625"/>
    <n v="350"/>
    <n v="28218750"/>
    <x v="0"/>
  </r>
  <r>
    <x v="1"/>
    <x v="79"/>
    <x v="1"/>
    <x v="80"/>
    <x v="80"/>
    <x v="79"/>
    <x v="79"/>
    <x v="81"/>
    <n v="1150"/>
    <n v="350"/>
    <n v="402500"/>
    <x v="0"/>
  </r>
  <r>
    <x v="1"/>
    <x v="15"/>
    <x v="3"/>
    <x v="15"/>
    <x v="15"/>
    <x v="15"/>
    <x v="15"/>
    <x v="15"/>
    <n v="43675"/>
    <n v="250"/>
    <n v="10918750"/>
    <x v="1"/>
  </r>
  <r>
    <x v="1"/>
    <x v="80"/>
    <x v="5"/>
    <x v="81"/>
    <x v="81"/>
    <x v="80"/>
    <x v="80"/>
    <x v="82"/>
    <n v="6975"/>
    <n v="550"/>
    <n v="3836250"/>
    <x v="2"/>
  </r>
  <r>
    <x v="1"/>
    <x v="43"/>
    <x v="2"/>
    <x v="43"/>
    <x v="43"/>
    <x v="41"/>
    <x v="41"/>
    <x v="43"/>
    <n v="75100"/>
    <n v="450"/>
    <n v="33795000"/>
    <x v="0"/>
  </r>
  <r>
    <x v="1"/>
    <x v="81"/>
    <x v="2"/>
    <x v="82"/>
    <x v="82"/>
    <x v="81"/>
    <x v="81"/>
    <x v="83"/>
    <n v="339925"/>
    <n v="450"/>
    <n v="152966250"/>
    <x v="0"/>
  </r>
  <r>
    <x v="1"/>
    <x v="5"/>
    <x v="2"/>
    <x v="5"/>
    <x v="5"/>
    <x v="5"/>
    <x v="5"/>
    <x v="5"/>
    <n v="114450"/>
    <n v="450"/>
    <n v="51502500"/>
    <x v="0"/>
  </r>
  <r>
    <x v="1"/>
    <x v="82"/>
    <x v="2"/>
    <x v="83"/>
    <x v="83"/>
    <x v="82"/>
    <x v="82"/>
    <x v="84"/>
    <n v="27625"/>
    <n v="450"/>
    <n v="12431250"/>
    <x v="0"/>
  </r>
  <r>
    <x v="1"/>
    <x v="83"/>
    <x v="0"/>
    <x v="84"/>
    <x v="84"/>
    <x v="83"/>
    <x v="83"/>
    <x v="85"/>
    <n v="3600"/>
    <n v="350"/>
    <n v="1260000"/>
    <x v="0"/>
  </r>
  <r>
    <x v="1"/>
    <x v="84"/>
    <x v="5"/>
    <x v="85"/>
    <x v="85"/>
    <x v="84"/>
    <x v="84"/>
    <x v="86"/>
    <n v="2525"/>
    <n v="550"/>
    <n v="1388750"/>
    <x v="2"/>
  </r>
  <r>
    <x v="1"/>
    <x v="85"/>
    <x v="7"/>
    <x v="86"/>
    <x v="86"/>
    <x v="85"/>
    <x v="85"/>
    <x v="87"/>
    <n v="3450"/>
    <n v="350"/>
    <n v="1207500"/>
    <x v="0"/>
  </r>
  <r>
    <x v="1"/>
    <x v="86"/>
    <x v="13"/>
    <x v="34"/>
    <x v="87"/>
    <x v="86"/>
    <x v="86"/>
    <x v="88"/>
    <n v="11950"/>
    <n v="550"/>
    <n v="6572500"/>
    <x v="2"/>
  </r>
  <r>
    <x v="1"/>
    <x v="87"/>
    <x v="2"/>
    <x v="87"/>
    <x v="88"/>
    <x v="87"/>
    <x v="87"/>
    <x v="89"/>
    <n v="134625"/>
    <n v="450"/>
    <n v="60581250"/>
    <x v="0"/>
  </r>
  <r>
    <x v="1"/>
    <x v="88"/>
    <x v="4"/>
    <x v="88"/>
    <x v="89"/>
    <x v="88"/>
    <x v="88"/>
    <x v="90"/>
    <n v="10500"/>
    <n v="450"/>
    <n v="4725000"/>
    <x v="2"/>
  </r>
  <r>
    <x v="1"/>
    <x v="89"/>
    <x v="1"/>
    <x v="89"/>
    <x v="90"/>
    <x v="89"/>
    <x v="89"/>
    <x v="91"/>
    <n v="8250"/>
    <n v="350"/>
    <n v="2887500"/>
    <x v="0"/>
  </r>
  <r>
    <x v="1"/>
    <x v="90"/>
    <x v="1"/>
    <x v="90"/>
    <x v="91"/>
    <x v="90"/>
    <x v="90"/>
    <x v="92"/>
    <n v="36725"/>
    <n v="350"/>
    <n v="12853750"/>
    <x v="0"/>
  </r>
  <r>
    <x v="1"/>
    <x v="91"/>
    <x v="4"/>
    <x v="91"/>
    <x v="92"/>
    <x v="91"/>
    <x v="91"/>
    <x v="93"/>
    <n v="15475"/>
    <n v="450"/>
    <n v="6963750"/>
    <x v="2"/>
  </r>
  <r>
    <x v="1"/>
    <x v="20"/>
    <x v="4"/>
    <x v="92"/>
    <x v="93"/>
    <x v="92"/>
    <x v="92"/>
    <x v="94"/>
    <n v="11075"/>
    <n v="450"/>
    <n v="4983750"/>
    <x v="2"/>
  </r>
  <r>
    <x v="1"/>
    <x v="92"/>
    <x v="7"/>
    <x v="93"/>
    <x v="94"/>
    <x v="93"/>
    <x v="93"/>
    <x v="95"/>
    <n v="39650"/>
    <n v="350"/>
    <n v="13877500"/>
    <x v="0"/>
  </r>
  <r>
    <x v="1"/>
    <x v="93"/>
    <x v="2"/>
    <x v="52"/>
    <x v="95"/>
    <x v="94"/>
    <x v="94"/>
    <x v="96"/>
    <n v="400"/>
    <n v="450"/>
    <n v="180000"/>
    <x v="0"/>
  </r>
  <r>
    <x v="1"/>
    <x v="20"/>
    <x v="5"/>
    <x v="20"/>
    <x v="20"/>
    <x v="20"/>
    <x v="20"/>
    <x v="20"/>
    <n v="31275"/>
    <n v="550"/>
    <n v="17201250"/>
    <x v="2"/>
  </r>
  <r>
    <x v="1"/>
    <x v="94"/>
    <x v="2"/>
    <x v="94"/>
    <x v="96"/>
    <x v="95"/>
    <x v="95"/>
    <x v="97"/>
    <n v="3350"/>
    <n v="450"/>
    <n v="1507500"/>
    <x v="0"/>
  </r>
  <r>
    <x v="1"/>
    <x v="95"/>
    <x v="0"/>
    <x v="95"/>
    <x v="97"/>
    <x v="96"/>
    <x v="96"/>
    <x v="98"/>
    <n v="642025"/>
    <n v="350"/>
    <n v="224708750"/>
    <x v="0"/>
  </r>
  <r>
    <x v="1"/>
    <x v="96"/>
    <x v="2"/>
    <x v="96"/>
    <x v="98"/>
    <x v="97"/>
    <x v="97"/>
    <x v="99"/>
    <n v="6375"/>
    <n v="450"/>
    <n v="2868750"/>
    <x v="0"/>
  </r>
  <r>
    <x v="1"/>
    <x v="97"/>
    <x v="8"/>
    <x v="97"/>
    <x v="99"/>
    <x v="98"/>
    <x v="98"/>
    <x v="100"/>
    <n v="73350"/>
    <n v="350"/>
    <n v="25672500"/>
    <x v="0"/>
  </r>
  <r>
    <x v="1"/>
    <x v="7"/>
    <x v="0"/>
    <x v="7"/>
    <x v="7"/>
    <x v="7"/>
    <x v="7"/>
    <x v="7"/>
    <n v="237250"/>
    <n v="350"/>
    <n v="83037500"/>
    <x v="0"/>
  </r>
  <r>
    <x v="2"/>
    <x v="98"/>
    <x v="8"/>
    <x v="98"/>
    <x v="100"/>
    <x v="99"/>
    <x v="99"/>
    <x v="101"/>
    <n v="211425"/>
    <n v="350"/>
    <n v="73998750"/>
    <x v="0"/>
  </r>
  <r>
    <x v="2"/>
    <x v="99"/>
    <x v="7"/>
    <x v="99"/>
    <x v="101"/>
    <x v="100"/>
    <x v="100"/>
    <x v="102"/>
    <n v="39025"/>
    <n v="350"/>
    <n v="13658750"/>
    <x v="0"/>
  </r>
  <r>
    <x v="2"/>
    <x v="100"/>
    <x v="0"/>
    <x v="100"/>
    <x v="102"/>
    <x v="101"/>
    <x v="101"/>
    <x v="103"/>
    <n v="47450"/>
    <n v="350"/>
    <n v="16607500"/>
    <x v="0"/>
  </r>
  <r>
    <x v="2"/>
    <x v="101"/>
    <x v="4"/>
    <x v="101"/>
    <x v="103"/>
    <x v="102"/>
    <x v="102"/>
    <x v="104"/>
    <n v="9375"/>
    <n v="450"/>
    <n v="4218750"/>
    <x v="2"/>
  </r>
  <r>
    <x v="2"/>
    <x v="102"/>
    <x v="0"/>
    <x v="102"/>
    <x v="104"/>
    <x v="103"/>
    <x v="103"/>
    <x v="105"/>
    <n v="21150"/>
    <n v="350"/>
    <n v="7402500"/>
    <x v="0"/>
  </r>
  <r>
    <x v="2"/>
    <x v="103"/>
    <x v="7"/>
    <x v="103"/>
    <x v="105"/>
    <x v="104"/>
    <x v="104"/>
    <x v="106"/>
    <n v="2925"/>
    <n v="350"/>
    <n v="1023750"/>
    <x v="0"/>
  </r>
  <r>
    <x v="2"/>
    <x v="104"/>
    <x v="14"/>
    <x v="104"/>
    <x v="106"/>
    <x v="105"/>
    <x v="105"/>
    <x v="107"/>
    <n v="4375"/>
    <n v="550"/>
    <n v="2406250"/>
    <x v="2"/>
  </r>
  <r>
    <x v="2"/>
    <x v="105"/>
    <x v="1"/>
    <x v="105"/>
    <x v="107"/>
    <x v="106"/>
    <x v="106"/>
    <x v="108"/>
    <n v="67175"/>
    <n v="350"/>
    <n v="23511250"/>
    <x v="0"/>
  </r>
  <r>
    <x v="2"/>
    <x v="106"/>
    <x v="7"/>
    <x v="106"/>
    <x v="108"/>
    <x v="107"/>
    <x v="107"/>
    <x v="109"/>
    <n v="27600"/>
    <n v="350"/>
    <n v="9660000"/>
    <x v="0"/>
  </r>
  <r>
    <x v="2"/>
    <x v="107"/>
    <x v="5"/>
    <x v="107"/>
    <x v="109"/>
    <x v="108"/>
    <x v="108"/>
    <x v="110"/>
    <n v="8125"/>
    <n v="550"/>
    <n v="4468750"/>
    <x v="2"/>
  </r>
  <r>
    <x v="2"/>
    <x v="108"/>
    <x v="3"/>
    <x v="108"/>
    <x v="110"/>
    <x v="109"/>
    <x v="109"/>
    <x v="111"/>
    <n v="53250"/>
    <n v="250"/>
    <n v="13312500"/>
    <x v="1"/>
  </r>
  <r>
    <x v="2"/>
    <x v="109"/>
    <x v="6"/>
    <x v="109"/>
    <x v="111"/>
    <x v="110"/>
    <x v="110"/>
    <x v="112"/>
    <n v="19350"/>
    <n v="450"/>
    <n v="8707500"/>
    <x v="2"/>
  </r>
  <r>
    <x v="2"/>
    <x v="110"/>
    <x v="6"/>
    <x v="110"/>
    <x v="112"/>
    <x v="111"/>
    <x v="111"/>
    <x v="113"/>
    <n v="2300"/>
    <n v="450"/>
    <n v="1035000"/>
    <x v="2"/>
  </r>
  <r>
    <x v="2"/>
    <x v="111"/>
    <x v="6"/>
    <x v="111"/>
    <x v="113"/>
    <x v="112"/>
    <x v="112"/>
    <x v="114"/>
    <n v="575"/>
    <n v="450"/>
    <n v="258750"/>
    <x v="2"/>
  </r>
  <r>
    <x v="2"/>
    <x v="112"/>
    <x v="5"/>
    <x v="112"/>
    <x v="114"/>
    <x v="113"/>
    <x v="113"/>
    <x v="115"/>
    <n v="425"/>
    <n v="550"/>
    <n v="233750"/>
    <x v="2"/>
  </r>
  <r>
    <x v="2"/>
    <x v="113"/>
    <x v="2"/>
    <x v="113"/>
    <x v="115"/>
    <x v="114"/>
    <x v="114"/>
    <x v="116"/>
    <n v="615000"/>
    <n v="450"/>
    <n v="276750000"/>
    <x v="0"/>
  </r>
  <r>
    <x v="2"/>
    <x v="114"/>
    <x v="8"/>
    <x v="114"/>
    <x v="116"/>
    <x v="115"/>
    <x v="115"/>
    <x v="117"/>
    <n v="14575"/>
    <n v="350"/>
    <n v="5101250"/>
    <x v="0"/>
  </r>
  <r>
    <x v="2"/>
    <x v="66"/>
    <x v="3"/>
    <x v="115"/>
    <x v="117"/>
    <x v="116"/>
    <x v="116"/>
    <x v="118"/>
    <n v="34800"/>
    <n v="250"/>
    <n v="8700000"/>
    <x v="1"/>
  </r>
  <r>
    <x v="2"/>
    <x v="20"/>
    <x v="14"/>
    <x v="116"/>
    <x v="118"/>
    <x v="117"/>
    <x v="117"/>
    <x v="119"/>
    <n v="35375"/>
    <n v="550"/>
    <n v="19456250"/>
    <x v="2"/>
  </r>
  <r>
    <x v="2"/>
    <x v="115"/>
    <x v="6"/>
    <x v="117"/>
    <x v="119"/>
    <x v="118"/>
    <x v="118"/>
    <x v="120"/>
    <n v="775"/>
    <n v="450"/>
    <n v="348750"/>
    <x v="2"/>
  </r>
  <r>
    <x v="2"/>
    <x v="116"/>
    <x v="2"/>
    <x v="118"/>
    <x v="120"/>
    <x v="119"/>
    <x v="119"/>
    <x v="121"/>
    <n v="144750"/>
    <n v="450"/>
    <n v="65137500"/>
    <x v="0"/>
  </r>
  <r>
    <x v="2"/>
    <x v="117"/>
    <x v="5"/>
    <x v="119"/>
    <x v="121"/>
    <x v="120"/>
    <x v="120"/>
    <x v="122"/>
    <n v="1375"/>
    <n v="550"/>
    <n v="756250"/>
    <x v="2"/>
  </r>
  <r>
    <x v="2"/>
    <x v="118"/>
    <x v="0"/>
    <x v="120"/>
    <x v="122"/>
    <x v="121"/>
    <x v="121"/>
    <x v="123"/>
    <n v="104050"/>
    <n v="350"/>
    <n v="36417500"/>
    <x v="0"/>
  </r>
  <r>
    <x v="2"/>
    <x v="119"/>
    <x v="14"/>
    <x v="121"/>
    <x v="123"/>
    <x v="122"/>
    <x v="122"/>
    <x v="124"/>
    <n v="950"/>
    <n v="550"/>
    <n v="522500"/>
    <x v="2"/>
  </r>
  <r>
    <x v="2"/>
    <x v="120"/>
    <x v="8"/>
    <x v="122"/>
    <x v="124"/>
    <x v="123"/>
    <x v="123"/>
    <x v="125"/>
    <n v="27325"/>
    <n v="350"/>
    <n v="9563750"/>
    <x v="0"/>
  </r>
  <r>
    <x v="2"/>
    <x v="121"/>
    <x v="1"/>
    <x v="123"/>
    <x v="125"/>
    <x v="124"/>
    <x v="124"/>
    <x v="126"/>
    <n v="6275"/>
    <n v="350"/>
    <n v="2196250"/>
    <x v="0"/>
  </r>
  <r>
    <x v="2"/>
    <x v="122"/>
    <x v="4"/>
    <x v="124"/>
    <x v="126"/>
    <x v="125"/>
    <x v="125"/>
    <x v="127"/>
    <n v="11875"/>
    <n v="450"/>
    <n v="5343750"/>
    <x v="2"/>
  </r>
  <r>
    <x v="2"/>
    <x v="123"/>
    <x v="2"/>
    <x v="125"/>
    <x v="127"/>
    <x v="126"/>
    <x v="126"/>
    <x v="128"/>
    <n v="15275"/>
    <n v="450"/>
    <n v="6873750"/>
    <x v="0"/>
  </r>
  <r>
    <x v="2"/>
    <x v="124"/>
    <x v="8"/>
    <x v="126"/>
    <x v="128"/>
    <x v="127"/>
    <x v="127"/>
    <x v="129"/>
    <n v="98400"/>
    <n v="350"/>
    <n v="34440000"/>
    <x v="0"/>
  </r>
  <r>
    <x v="2"/>
    <x v="125"/>
    <x v="7"/>
    <x v="127"/>
    <x v="129"/>
    <x v="128"/>
    <x v="128"/>
    <x v="130"/>
    <n v="25275"/>
    <n v="350"/>
    <n v="8846250"/>
    <x v="0"/>
  </r>
  <r>
    <x v="2"/>
    <x v="126"/>
    <x v="3"/>
    <x v="128"/>
    <x v="130"/>
    <x v="129"/>
    <x v="129"/>
    <x v="131"/>
    <n v="750"/>
    <n v="250"/>
    <n v="187500"/>
    <x v="1"/>
  </r>
  <r>
    <x v="2"/>
    <x v="83"/>
    <x v="0"/>
    <x v="129"/>
    <x v="131"/>
    <x v="130"/>
    <x v="130"/>
    <x v="132"/>
    <n v="41875"/>
    <n v="350"/>
    <n v="14656250"/>
    <x v="0"/>
  </r>
  <r>
    <x v="2"/>
    <x v="127"/>
    <x v="3"/>
    <x v="130"/>
    <x v="132"/>
    <x v="131"/>
    <x v="131"/>
    <x v="133"/>
    <n v="89350"/>
    <n v="250"/>
    <n v="22337500"/>
    <x v="1"/>
  </r>
  <r>
    <x v="2"/>
    <x v="128"/>
    <x v="14"/>
    <x v="131"/>
    <x v="133"/>
    <x v="132"/>
    <x v="132"/>
    <x v="134"/>
    <n v="625"/>
    <n v="550"/>
    <n v="343750"/>
    <x v="2"/>
  </r>
  <r>
    <x v="2"/>
    <x v="129"/>
    <x v="2"/>
    <x v="132"/>
    <x v="134"/>
    <x v="133"/>
    <x v="133"/>
    <x v="135"/>
    <n v="3850"/>
    <n v="450"/>
    <n v="1732500"/>
    <x v="0"/>
  </r>
  <r>
    <x v="2"/>
    <x v="130"/>
    <x v="2"/>
    <x v="133"/>
    <x v="135"/>
    <x v="134"/>
    <x v="134"/>
    <x v="136"/>
    <n v="6450"/>
    <n v="450"/>
    <n v="2902500"/>
    <x v="0"/>
  </r>
  <r>
    <x v="2"/>
    <x v="131"/>
    <x v="4"/>
    <x v="134"/>
    <x v="136"/>
    <x v="135"/>
    <x v="135"/>
    <x v="137"/>
    <n v="1550"/>
    <n v="450"/>
    <n v="697500"/>
    <x v="2"/>
  </r>
  <r>
    <x v="2"/>
    <x v="132"/>
    <x v="2"/>
    <x v="135"/>
    <x v="137"/>
    <x v="136"/>
    <x v="136"/>
    <x v="138"/>
    <n v="4400"/>
    <n v="450"/>
    <n v="1980000"/>
    <x v="0"/>
  </r>
  <r>
    <x v="2"/>
    <x v="133"/>
    <x v="8"/>
    <x v="136"/>
    <x v="138"/>
    <x v="137"/>
    <x v="137"/>
    <x v="139"/>
    <n v="61750"/>
    <n v="350"/>
    <n v="21612500"/>
    <x v="0"/>
  </r>
  <r>
    <x v="2"/>
    <x v="134"/>
    <x v="2"/>
    <x v="137"/>
    <x v="139"/>
    <x v="138"/>
    <x v="138"/>
    <x v="140"/>
    <n v="93175"/>
    <n v="450"/>
    <n v="41928750"/>
    <x v="0"/>
  </r>
  <r>
    <x v="2"/>
    <x v="58"/>
    <x v="1"/>
    <x v="138"/>
    <x v="140"/>
    <x v="139"/>
    <x v="139"/>
    <x v="141"/>
    <n v="58800"/>
    <n v="350"/>
    <n v="20580000"/>
    <x v="0"/>
  </r>
  <r>
    <x v="2"/>
    <x v="135"/>
    <x v="4"/>
    <x v="139"/>
    <x v="141"/>
    <x v="140"/>
    <x v="140"/>
    <x v="142"/>
    <n v="7175"/>
    <n v="450"/>
    <n v="3228750"/>
    <x v="2"/>
  </r>
  <r>
    <x v="2"/>
    <x v="82"/>
    <x v="0"/>
    <x v="140"/>
    <x v="142"/>
    <x v="141"/>
    <x v="141"/>
    <x v="143"/>
    <n v="12625"/>
    <n v="350"/>
    <n v="4418750"/>
    <x v="0"/>
  </r>
  <r>
    <x v="2"/>
    <x v="58"/>
    <x v="2"/>
    <x v="141"/>
    <x v="143"/>
    <x v="142"/>
    <x v="142"/>
    <x v="144"/>
    <n v="18100"/>
    <n v="450"/>
    <n v="8145000"/>
    <x v="0"/>
  </r>
  <r>
    <x v="2"/>
    <x v="136"/>
    <x v="0"/>
    <x v="142"/>
    <x v="144"/>
    <x v="143"/>
    <x v="143"/>
    <x v="145"/>
    <n v="4700"/>
    <n v="350"/>
    <n v="1645000"/>
    <x v="0"/>
  </r>
  <r>
    <x v="2"/>
    <x v="137"/>
    <x v="1"/>
    <x v="143"/>
    <x v="145"/>
    <x v="144"/>
    <x v="144"/>
    <x v="146"/>
    <n v="45425"/>
    <n v="350"/>
    <n v="15898750"/>
    <x v="0"/>
  </r>
  <r>
    <x v="2"/>
    <x v="138"/>
    <x v="6"/>
    <x v="144"/>
    <x v="146"/>
    <x v="145"/>
    <x v="145"/>
    <x v="147"/>
    <n v="6425"/>
    <n v="450"/>
    <n v="2891250"/>
    <x v="2"/>
  </r>
  <r>
    <x v="2"/>
    <x v="139"/>
    <x v="1"/>
    <x v="145"/>
    <x v="147"/>
    <x v="146"/>
    <x v="146"/>
    <x v="148"/>
    <n v="16875"/>
    <n v="350"/>
    <n v="5906250"/>
    <x v="0"/>
  </r>
  <r>
    <x v="2"/>
    <x v="140"/>
    <x v="13"/>
    <x v="146"/>
    <x v="148"/>
    <x v="147"/>
    <x v="147"/>
    <x v="149"/>
    <n v="300"/>
    <n v="550"/>
    <n v="165000"/>
    <x v="2"/>
  </r>
  <r>
    <x v="2"/>
    <x v="141"/>
    <x v="14"/>
    <x v="147"/>
    <x v="149"/>
    <x v="148"/>
    <x v="148"/>
    <x v="150"/>
    <n v="5375"/>
    <n v="550"/>
    <n v="2956250"/>
    <x v="2"/>
  </r>
  <r>
    <x v="2"/>
    <x v="142"/>
    <x v="3"/>
    <x v="148"/>
    <x v="150"/>
    <x v="149"/>
    <x v="149"/>
    <x v="151"/>
    <n v="12775"/>
    <n v="250"/>
    <n v="3193750"/>
    <x v="1"/>
  </r>
  <r>
    <x v="2"/>
    <x v="143"/>
    <x v="15"/>
    <x v="149"/>
    <x v="151"/>
    <x v="150"/>
    <x v="150"/>
    <x v="152"/>
    <n v="98575"/>
    <n v="250"/>
    <n v="24643750"/>
    <x v="1"/>
  </r>
  <r>
    <x v="2"/>
    <x v="144"/>
    <x v="5"/>
    <x v="150"/>
    <x v="152"/>
    <x v="151"/>
    <x v="151"/>
    <x v="153"/>
    <n v="3625"/>
    <n v="550"/>
    <n v="1993750"/>
    <x v="2"/>
  </r>
  <r>
    <x v="2"/>
    <x v="145"/>
    <x v="3"/>
    <x v="151"/>
    <x v="153"/>
    <x v="152"/>
    <x v="152"/>
    <x v="154"/>
    <n v="2250"/>
    <n v="250"/>
    <n v="562500"/>
    <x v="1"/>
  </r>
  <r>
    <x v="2"/>
    <x v="146"/>
    <x v="1"/>
    <x v="152"/>
    <x v="154"/>
    <x v="153"/>
    <x v="153"/>
    <x v="155"/>
    <n v="193250"/>
    <n v="350"/>
    <n v="67637500"/>
    <x v="0"/>
  </r>
  <r>
    <x v="2"/>
    <x v="147"/>
    <x v="0"/>
    <x v="153"/>
    <x v="155"/>
    <x v="154"/>
    <x v="154"/>
    <x v="156"/>
    <n v="127150"/>
    <n v="350"/>
    <n v="44502500"/>
    <x v="0"/>
  </r>
  <r>
    <x v="2"/>
    <x v="148"/>
    <x v="8"/>
    <x v="154"/>
    <x v="156"/>
    <x v="155"/>
    <x v="155"/>
    <x v="157"/>
    <n v="20250"/>
    <n v="350"/>
    <n v="7087500"/>
    <x v="0"/>
  </r>
  <r>
    <x v="2"/>
    <x v="58"/>
    <x v="2"/>
    <x v="155"/>
    <x v="157"/>
    <x v="156"/>
    <x v="156"/>
    <x v="158"/>
    <n v="19725"/>
    <n v="450"/>
    <n v="8876250"/>
    <x v="0"/>
  </r>
  <r>
    <x v="2"/>
    <x v="149"/>
    <x v="13"/>
    <x v="156"/>
    <x v="158"/>
    <x v="157"/>
    <x v="157"/>
    <x v="159"/>
    <n v="450"/>
    <n v="550"/>
    <n v="247500"/>
    <x v="2"/>
  </r>
  <r>
    <x v="2"/>
    <x v="150"/>
    <x v="0"/>
    <x v="157"/>
    <x v="159"/>
    <x v="158"/>
    <x v="158"/>
    <x v="160"/>
    <n v="1600"/>
    <n v="350"/>
    <n v="560000"/>
    <x v="0"/>
  </r>
  <r>
    <x v="3"/>
    <x v="151"/>
    <x v="3"/>
    <x v="158"/>
    <x v="160"/>
    <x v="159"/>
    <x v="159"/>
    <x v="161"/>
    <n v="80325"/>
    <n v="250"/>
    <n v="20081250"/>
    <x v="1"/>
  </r>
  <r>
    <x v="3"/>
    <x v="152"/>
    <x v="0"/>
    <x v="159"/>
    <x v="161"/>
    <x v="160"/>
    <x v="160"/>
    <x v="162"/>
    <n v="5150"/>
    <n v="350"/>
    <n v="1802500"/>
    <x v="0"/>
  </r>
  <r>
    <x v="3"/>
    <x v="153"/>
    <x v="8"/>
    <x v="160"/>
    <x v="162"/>
    <x v="161"/>
    <x v="161"/>
    <x v="163"/>
    <n v="3550"/>
    <n v="350"/>
    <n v="1242500"/>
    <x v="0"/>
  </r>
  <r>
    <x v="3"/>
    <x v="154"/>
    <x v="13"/>
    <x v="161"/>
    <x v="163"/>
    <x v="162"/>
    <x v="162"/>
    <x v="164"/>
    <n v="2725"/>
    <n v="550"/>
    <n v="1498750"/>
    <x v="2"/>
  </r>
  <r>
    <x v="3"/>
    <x v="83"/>
    <x v="0"/>
    <x v="129"/>
    <x v="131"/>
    <x v="130"/>
    <x v="130"/>
    <x v="132"/>
    <n v="41875"/>
    <n v="350"/>
    <n v="14656250"/>
    <x v="0"/>
  </r>
  <r>
    <x v="3"/>
    <x v="155"/>
    <x v="4"/>
    <x v="162"/>
    <x v="164"/>
    <x v="163"/>
    <x v="163"/>
    <x v="165"/>
    <n v="9625"/>
    <n v="450"/>
    <n v="4331250"/>
    <x v="2"/>
  </r>
  <r>
    <x v="3"/>
    <x v="58"/>
    <x v="1"/>
    <x v="138"/>
    <x v="140"/>
    <x v="139"/>
    <x v="139"/>
    <x v="141"/>
    <n v="58800"/>
    <n v="350"/>
    <n v="20580000"/>
    <x v="0"/>
  </r>
  <r>
    <x v="3"/>
    <x v="156"/>
    <x v="13"/>
    <x v="45"/>
    <x v="165"/>
    <x v="164"/>
    <x v="164"/>
    <x v="166"/>
    <n v="1450"/>
    <n v="550"/>
    <n v="797500"/>
    <x v="2"/>
  </r>
  <r>
    <x v="3"/>
    <x v="105"/>
    <x v="1"/>
    <x v="105"/>
    <x v="107"/>
    <x v="106"/>
    <x v="106"/>
    <x v="108"/>
    <n v="67175"/>
    <n v="350"/>
    <n v="23511250"/>
    <x v="0"/>
  </r>
  <r>
    <x v="3"/>
    <x v="123"/>
    <x v="2"/>
    <x v="125"/>
    <x v="127"/>
    <x v="126"/>
    <x v="126"/>
    <x v="128"/>
    <n v="15275"/>
    <n v="450"/>
    <n v="6873750"/>
    <x v="0"/>
  </r>
  <r>
    <x v="3"/>
    <x v="130"/>
    <x v="2"/>
    <x v="133"/>
    <x v="135"/>
    <x v="134"/>
    <x v="134"/>
    <x v="136"/>
    <n v="6450"/>
    <n v="450"/>
    <n v="2902500"/>
    <x v="0"/>
  </r>
  <r>
    <x v="3"/>
    <x v="157"/>
    <x v="1"/>
    <x v="163"/>
    <x v="166"/>
    <x v="165"/>
    <x v="165"/>
    <x v="167"/>
    <n v="4750"/>
    <n v="350"/>
    <n v="1662500"/>
    <x v="0"/>
  </r>
  <r>
    <x v="3"/>
    <x v="158"/>
    <x v="1"/>
    <x v="164"/>
    <x v="167"/>
    <x v="166"/>
    <x v="166"/>
    <x v="168"/>
    <n v="189225"/>
    <n v="350"/>
    <n v="66228750"/>
    <x v="0"/>
  </r>
  <r>
    <x v="3"/>
    <x v="138"/>
    <x v="6"/>
    <x v="144"/>
    <x v="146"/>
    <x v="145"/>
    <x v="145"/>
    <x v="147"/>
    <n v="6425"/>
    <n v="450"/>
    <n v="2891250"/>
    <x v="2"/>
  </r>
  <r>
    <x v="3"/>
    <x v="135"/>
    <x v="4"/>
    <x v="139"/>
    <x v="141"/>
    <x v="140"/>
    <x v="140"/>
    <x v="142"/>
    <n v="7175"/>
    <n v="450"/>
    <n v="3228750"/>
    <x v="2"/>
  </r>
  <r>
    <x v="3"/>
    <x v="159"/>
    <x v="14"/>
    <x v="165"/>
    <x v="168"/>
    <x v="167"/>
    <x v="167"/>
    <x v="169"/>
    <n v="154625"/>
    <n v="550"/>
    <n v="85043750"/>
    <x v="2"/>
  </r>
  <r>
    <x v="3"/>
    <x v="160"/>
    <x v="2"/>
    <x v="166"/>
    <x v="169"/>
    <x v="168"/>
    <x v="168"/>
    <x v="170"/>
    <n v="69550"/>
    <n v="450"/>
    <n v="31297500"/>
    <x v="0"/>
  </r>
  <r>
    <x v="3"/>
    <x v="132"/>
    <x v="2"/>
    <x v="135"/>
    <x v="137"/>
    <x v="136"/>
    <x v="136"/>
    <x v="138"/>
    <n v="4400"/>
    <n v="450"/>
    <n v="1980000"/>
    <x v="0"/>
  </r>
  <r>
    <x v="3"/>
    <x v="161"/>
    <x v="2"/>
    <x v="167"/>
    <x v="170"/>
    <x v="169"/>
    <x v="169"/>
    <x v="171"/>
    <n v="4050"/>
    <n v="450"/>
    <n v="1822500"/>
    <x v="0"/>
  </r>
  <r>
    <x v="3"/>
    <x v="107"/>
    <x v="5"/>
    <x v="107"/>
    <x v="109"/>
    <x v="108"/>
    <x v="108"/>
    <x v="110"/>
    <n v="8125"/>
    <n v="550"/>
    <n v="4468750"/>
    <x v="2"/>
  </r>
  <r>
    <x v="3"/>
    <x v="162"/>
    <x v="14"/>
    <x v="146"/>
    <x v="171"/>
    <x v="170"/>
    <x v="170"/>
    <x v="172"/>
    <n v="300"/>
    <n v="550"/>
    <n v="165000"/>
    <x v="2"/>
  </r>
  <r>
    <x v="3"/>
    <x v="163"/>
    <x v="2"/>
    <x v="168"/>
    <x v="172"/>
    <x v="171"/>
    <x v="171"/>
    <x v="173"/>
    <n v="150775"/>
    <n v="450"/>
    <n v="67848750"/>
    <x v="0"/>
  </r>
  <r>
    <x v="3"/>
    <x v="164"/>
    <x v="1"/>
    <x v="169"/>
    <x v="173"/>
    <x v="172"/>
    <x v="172"/>
    <x v="174"/>
    <n v="126800"/>
    <n v="350"/>
    <n v="44380000"/>
    <x v="0"/>
  </r>
  <r>
    <x v="3"/>
    <x v="165"/>
    <x v="12"/>
    <x v="170"/>
    <x v="174"/>
    <x v="173"/>
    <x v="173"/>
    <x v="175"/>
    <n v="14725"/>
    <n v="250"/>
    <n v="3681250"/>
    <x v="1"/>
  </r>
  <r>
    <x v="3"/>
    <x v="58"/>
    <x v="6"/>
    <x v="171"/>
    <x v="175"/>
    <x v="174"/>
    <x v="174"/>
    <x v="176"/>
    <n v="38675"/>
    <n v="450"/>
    <n v="17403750"/>
    <x v="2"/>
  </r>
  <r>
    <x v="3"/>
    <x v="166"/>
    <x v="2"/>
    <x v="172"/>
    <x v="176"/>
    <x v="175"/>
    <x v="175"/>
    <x v="177"/>
    <n v="15925"/>
    <n v="450"/>
    <n v="7166250"/>
    <x v="0"/>
  </r>
  <r>
    <x v="3"/>
    <x v="167"/>
    <x v="4"/>
    <x v="173"/>
    <x v="177"/>
    <x v="176"/>
    <x v="176"/>
    <x v="87"/>
    <n v="3000"/>
    <n v="450"/>
    <n v="1350000"/>
    <x v="2"/>
  </r>
  <r>
    <x v="3"/>
    <x v="101"/>
    <x v="4"/>
    <x v="101"/>
    <x v="103"/>
    <x v="102"/>
    <x v="102"/>
    <x v="104"/>
    <n v="9375"/>
    <n v="450"/>
    <n v="4218750"/>
    <x v="2"/>
  </r>
  <r>
    <x v="3"/>
    <x v="168"/>
    <x v="1"/>
    <x v="174"/>
    <x v="178"/>
    <x v="177"/>
    <x v="177"/>
    <x v="178"/>
    <n v="7250"/>
    <n v="350"/>
    <n v="2537500"/>
    <x v="0"/>
  </r>
  <r>
    <x v="3"/>
    <x v="169"/>
    <x v="0"/>
    <x v="175"/>
    <x v="179"/>
    <x v="178"/>
    <x v="178"/>
    <x v="179"/>
    <n v="10350"/>
    <n v="350"/>
    <n v="3622500"/>
    <x v="0"/>
  </r>
  <r>
    <x v="3"/>
    <x v="43"/>
    <x v="2"/>
    <x v="176"/>
    <x v="180"/>
    <x v="179"/>
    <x v="179"/>
    <x v="180"/>
    <n v="12675"/>
    <n v="450"/>
    <n v="5703750"/>
    <x v="0"/>
  </r>
  <r>
    <x v="3"/>
    <x v="98"/>
    <x v="8"/>
    <x v="98"/>
    <x v="100"/>
    <x v="99"/>
    <x v="99"/>
    <x v="101"/>
    <n v="211425"/>
    <n v="350"/>
    <n v="73998750"/>
    <x v="0"/>
  </r>
  <r>
    <x v="3"/>
    <x v="90"/>
    <x v="2"/>
    <x v="177"/>
    <x v="181"/>
    <x v="180"/>
    <x v="180"/>
    <x v="181"/>
    <n v="27025"/>
    <n v="450"/>
    <n v="12161250"/>
    <x v="0"/>
  </r>
  <r>
    <x v="3"/>
    <x v="170"/>
    <x v="8"/>
    <x v="178"/>
    <x v="182"/>
    <x v="181"/>
    <x v="181"/>
    <x v="182"/>
    <n v="83050"/>
    <n v="350"/>
    <n v="29067500"/>
    <x v="0"/>
  </r>
  <r>
    <x v="3"/>
    <x v="171"/>
    <x v="5"/>
    <x v="80"/>
    <x v="183"/>
    <x v="182"/>
    <x v="182"/>
    <x v="183"/>
    <n v="1150"/>
    <n v="550"/>
    <n v="632500"/>
    <x v="2"/>
  </r>
  <r>
    <x v="3"/>
    <x v="172"/>
    <x v="1"/>
    <x v="179"/>
    <x v="184"/>
    <x v="183"/>
    <x v="183"/>
    <x v="184"/>
    <n v="150500"/>
    <n v="350"/>
    <n v="52675000"/>
    <x v="0"/>
  </r>
  <r>
    <x v="3"/>
    <x v="100"/>
    <x v="0"/>
    <x v="100"/>
    <x v="102"/>
    <x v="101"/>
    <x v="101"/>
    <x v="103"/>
    <n v="47450"/>
    <n v="350"/>
    <n v="16607500"/>
    <x v="0"/>
  </r>
  <r>
    <x v="3"/>
    <x v="58"/>
    <x v="1"/>
    <x v="180"/>
    <x v="185"/>
    <x v="184"/>
    <x v="184"/>
    <x v="185"/>
    <n v="38150"/>
    <n v="350"/>
    <n v="13352500"/>
    <x v="0"/>
  </r>
  <r>
    <x v="3"/>
    <x v="118"/>
    <x v="0"/>
    <x v="120"/>
    <x v="122"/>
    <x v="121"/>
    <x v="121"/>
    <x v="123"/>
    <n v="104050"/>
    <n v="350"/>
    <n v="36417500"/>
    <x v="0"/>
  </r>
  <r>
    <x v="3"/>
    <x v="173"/>
    <x v="6"/>
    <x v="181"/>
    <x v="186"/>
    <x v="185"/>
    <x v="185"/>
    <x v="186"/>
    <n v="3025"/>
    <n v="450"/>
    <n v="1361250"/>
    <x v="2"/>
  </r>
  <r>
    <x v="3"/>
    <x v="174"/>
    <x v="4"/>
    <x v="182"/>
    <x v="187"/>
    <x v="186"/>
    <x v="186"/>
    <x v="183"/>
    <n v="1200"/>
    <n v="450"/>
    <n v="540000"/>
    <x v="2"/>
  </r>
  <r>
    <x v="3"/>
    <x v="175"/>
    <x v="1"/>
    <x v="112"/>
    <x v="188"/>
    <x v="187"/>
    <x v="187"/>
    <x v="187"/>
    <n v="425"/>
    <n v="350"/>
    <n v="148750"/>
    <x v="0"/>
  </r>
  <r>
    <x v="3"/>
    <x v="176"/>
    <x v="0"/>
    <x v="183"/>
    <x v="189"/>
    <x v="188"/>
    <x v="188"/>
    <x v="188"/>
    <n v="2550"/>
    <n v="350"/>
    <n v="892500"/>
    <x v="0"/>
  </r>
  <r>
    <x v="3"/>
    <x v="177"/>
    <x v="2"/>
    <x v="184"/>
    <x v="190"/>
    <x v="189"/>
    <x v="189"/>
    <x v="189"/>
    <n v="14550"/>
    <n v="450"/>
    <n v="6547500"/>
    <x v="0"/>
  </r>
  <r>
    <x v="3"/>
    <x v="178"/>
    <x v="12"/>
    <x v="185"/>
    <x v="191"/>
    <x v="190"/>
    <x v="190"/>
    <x v="190"/>
    <n v="125"/>
    <n v="250"/>
    <n v="31250"/>
    <x v="1"/>
  </r>
  <r>
    <x v="3"/>
    <x v="179"/>
    <x v="3"/>
    <x v="186"/>
    <x v="192"/>
    <x v="191"/>
    <x v="191"/>
    <x v="191"/>
    <n v="24375"/>
    <n v="250"/>
    <n v="6093750"/>
    <x v="1"/>
  </r>
  <r>
    <x v="3"/>
    <x v="180"/>
    <x v="1"/>
    <x v="187"/>
    <x v="193"/>
    <x v="192"/>
    <x v="192"/>
    <x v="192"/>
    <n v="209925"/>
    <n v="350"/>
    <n v="73473750"/>
    <x v="0"/>
  </r>
  <r>
    <x v="3"/>
    <x v="181"/>
    <x v="0"/>
    <x v="188"/>
    <x v="194"/>
    <x v="193"/>
    <x v="193"/>
    <x v="193"/>
    <n v="275"/>
    <n v="350"/>
    <n v="96250"/>
    <x v="0"/>
  </r>
  <r>
    <x v="3"/>
    <x v="182"/>
    <x v="6"/>
    <x v="189"/>
    <x v="195"/>
    <x v="194"/>
    <x v="194"/>
    <x v="194"/>
    <n v="925"/>
    <n v="450"/>
    <n v="416250"/>
    <x v="2"/>
  </r>
  <r>
    <x v="3"/>
    <x v="183"/>
    <x v="0"/>
    <x v="185"/>
    <x v="196"/>
    <x v="195"/>
    <x v="195"/>
    <x v="195"/>
    <n v="125"/>
    <n v="350"/>
    <n v="43750"/>
    <x v="0"/>
  </r>
  <r>
    <x v="3"/>
    <x v="184"/>
    <x v="2"/>
    <x v="190"/>
    <x v="197"/>
    <x v="196"/>
    <x v="196"/>
    <x v="196"/>
    <n v="68475"/>
    <n v="450"/>
    <n v="30813750"/>
    <x v="0"/>
  </r>
  <r>
    <x v="3"/>
    <x v="185"/>
    <x v="6"/>
    <x v="191"/>
    <x v="198"/>
    <x v="197"/>
    <x v="197"/>
    <x v="197"/>
    <n v="1775"/>
    <n v="450"/>
    <n v="798750"/>
    <x v="2"/>
  </r>
  <r>
    <x v="3"/>
    <x v="186"/>
    <x v="0"/>
    <x v="192"/>
    <x v="199"/>
    <x v="198"/>
    <x v="198"/>
    <x v="198"/>
    <n v="21325"/>
    <n v="350"/>
    <n v="7463750"/>
    <x v="0"/>
  </r>
  <r>
    <x v="3"/>
    <x v="58"/>
    <x v="2"/>
    <x v="155"/>
    <x v="157"/>
    <x v="156"/>
    <x v="156"/>
    <x v="158"/>
    <n v="19725"/>
    <n v="450"/>
    <n v="8876250"/>
    <x v="0"/>
  </r>
  <r>
    <x v="3"/>
    <x v="187"/>
    <x v="6"/>
    <x v="193"/>
    <x v="200"/>
    <x v="199"/>
    <x v="199"/>
    <x v="199"/>
    <n v="150"/>
    <n v="450"/>
    <n v="67500"/>
    <x v="2"/>
  </r>
  <r>
    <x v="3"/>
    <x v="110"/>
    <x v="6"/>
    <x v="110"/>
    <x v="112"/>
    <x v="111"/>
    <x v="111"/>
    <x v="113"/>
    <n v="2300"/>
    <n v="450"/>
    <n v="1035000"/>
    <x v="2"/>
  </r>
  <r>
    <x v="3"/>
    <x v="188"/>
    <x v="8"/>
    <x v="55"/>
    <x v="201"/>
    <x v="200"/>
    <x v="200"/>
    <x v="200"/>
    <n v="2400"/>
    <n v="350"/>
    <n v="840000"/>
    <x v="0"/>
  </r>
  <r>
    <x v="3"/>
    <x v="189"/>
    <x v="2"/>
    <x v="45"/>
    <x v="202"/>
    <x v="201"/>
    <x v="201"/>
    <x v="201"/>
    <n v="1450"/>
    <n v="450"/>
    <n v="652500"/>
    <x v="0"/>
  </r>
  <r>
    <x v="3"/>
    <x v="190"/>
    <x v="1"/>
    <x v="194"/>
    <x v="203"/>
    <x v="202"/>
    <x v="202"/>
    <x v="202"/>
    <n v="76350"/>
    <n v="350"/>
    <n v="26722500"/>
    <x v="0"/>
  </r>
  <r>
    <x v="3"/>
    <x v="191"/>
    <x v="1"/>
    <x v="195"/>
    <x v="204"/>
    <x v="203"/>
    <x v="203"/>
    <x v="203"/>
    <n v="7450"/>
    <n v="350"/>
    <n v="2607500"/>
    <x v="0"/>
  </r>
  <r>
    <x v="4"/>
    <x v="192"/>
    <x v="6"/>
    <x v="196"/>
    <x v="205"/>
    <x v="204"/>
    <x v="204"/>
    <x v="204"/>
    <n v="95225"/>
    <n v="450"/>
    <n v="42851250"/>
    <x v="2"/>
  </r>
  <r>
    <x v="4"/>
    <x v="193"/>
    <x v="2"/>
    <x v="197"/>
    <x v="206"/>
    <x v="205"/>
    <x v="205"/>
    <x v="205"/>
    <n v="50175"/>
    <n v="450"/>
    <n v="22578750"/>
    <x v="0"/>
  </r>
  <r>
    <x v="4"/>
    <x v="194"/>
    <x v="1"/>
    <x v="198"/>
    <x v="207"/>
    <x v="206"/>
    <x v="206"/>
    <x v="206"/>
    <n v="427200"/>
    <n v="350"/>
    <n v="149520000"/>
    <x v="0"/>
  </r>
  <r>
    <x v="4"/>
    <x v="195"/>
    <x v="2"/>
    <x v="199"/>
    <x v="208"/>
    <x v="207"/>
    <x v="207"/>
    <x v="207"/>
    <n v="36125"/>
    <n v="450"/>
    <n v="16256250"/>
    <x v="0"/>
  </r>
  <r>
    <x v="4"/>
    <x v="196"/>
    <x v="0"/>
    <x v="200"/>
    <x v="209"/>
    <x v="208"/>
    <x v="208"/>
    <x v="208"/>
    <n v="75475"/>
    <n v="350"/>
    <n v="26416250"/>
    <x v="0"/>
  </r>
  <r>
    <x v="4"/>
    <x v="197"/>
    <x v="7"/>
    <x v="201"/>
    <x v="210"/>
    <x v="209"/>
    <x v="209"/>
    <x v="209"/>
    <n v="106150"/>
    <n v="350"/>
    <n v="37152500"/>
    <x v="0"/>
  </r>
  <r>
    <x v="4"/>
    <x v="198"/>
    <x v="2"/>
    <x v="202"/>
    <x v="211"/>
    <x v="210"/>
    <x v="210"/>
    <x v="210"/>
    <n v="35500"/>
    <n v="450"/>
    <n v="15975000"/>
    <x v="0"/>
  </r>
  <r>
    <x v="4"/>
    <x v="199"/>
    <x v="0"/>
    <x v="203"/>
    <x v="212"/>
    <x v="211"/>
    <x v="211"/>
    <x v="211"/>
    <n v="24175"/>
    <n v="350"/>
    <n v="8461250"/>
    <x v="0"/>
  </r>
  <r>
    <x v="4"/>
    <x v="200"/>
    <x v="2"/>
    <x v="204"/>
    <x v="213"/>
    <x v="212"/>
    <x v="212"/>
    <x v="212"/>
    <n v="59750"/>
    <n v="450"/>
    <n v="26887500"/>
    <x v="0"/>
  </r>
  <r>
    <x v="4"/>
    <x v="201"/>
    <x v="1"/>
    <x v="205"/>
    <x v="214"/>
    <x v="213"/>
    <x v="213"/>
    <x v="213"/>
    <n v="38650"/>
    <n v="350"/>
    <n v="13527500"/>
    <x v="0"/>
  </r>
  <r>
    <x v="4"/>
    <x v="202"/>
    <x v="2"/>
    <x v="206"/>
    <x v="215"/>
    <x v="214"/>
    <x v="214"/>
    <x v="214"/>
    <n v="60425"/>
    <n v="450"/>
    <n v="27191250"/>
    <x v="0"/>
  </r>
  <r>
    <x v="4"/>
    <x v="203"/>
    <x v="2"/>
    <x v="207"/>
    <x v="216"/>
    <x v="215"/>
    <x v="215"/>
    <x v="215"/>
    <n v="22850"/>
    <n v="450"/>
    <n v="10282500"/>
    <x v="0"/>
  </r>
  <r>
    <x v="4"/>
    <x v="204"/>
    <x v="6"/>
    <x v="208"/>
    <x v="217"/>
    <x v="216"/>
    <x v="216"/>
    <x v="216"/>
    <n v="13575"/>
    <n v="450"/>
    <n v="6108750"/>
    <x v="2"/>
  </r>
  <r>
    <x v="4"/>
    <x v="177"/>
    <x v="2"/>
    <x v="184"/>
    <x v="190"/>
    <x v="189"/>
    <x v="189"/>
    <x v="189"/>
    <n v="14550"/>
    <n v="450"/>
    <n v="6547500"/>
    <x v="0"/>
  </r>
  <r>
    <x v="4"/>
    <x v="205"/>
    <x v="7"/>
    <x v="209"/>
    <x v="218"/>
    <x v="217"/>
    <x v="217"/>
    <x v="217"/>
    <n v="16025"/>
    <n v="350"/>
    <n v="5608750"/>
    <x v="0"/>
  </r>
  <r>
    <x v="4"/>
    <x v="206"/>
    <x v="1"/>
    <x v="210"/>
    <x v="219"/>
    <x v="218"/>
    <x v="218"/>
    <x v="218"/>
    <n v="15125"/>
    <n v="350"/>
    <n v="5293750"/>
    <x v="0"/>
  </r>
  <r>
    <x v="4"/>
    <x v="207"/>
    <x v="2"/>
    <x v="211"/>
    <x v="220"/>
    <x v="219"/>
    <x v="219"/>
    <x v="219"/>
    <n v="17375"/>
    <n v="450"/>
    <n v="7818750"/>
    <x v="0"/>
  </r>
  <r>
    <x v="4"/>
    <x v="208"/>
    <x v="0"/>
    <x v="212"/>
    <x v="221"/>
    <x v="220"/>
    <x v="220"/>
    <x v="220"/>
    <n v="60925"/>
    <n v="350"/>
    <n v="21323750"/>
    <x v="0"/>
  </r>
  <r>
    <x v="4"/>
    <x v="209"/>
    <x v="1"/>
    <x v="213"/>
    <x v="222"/>
    <x v="221"/>
    <x v="221"/>
    <x v="221"/>
    <n v="63050"/>
    <n v="350"/>
    <n v="22067500"/>
    <x v="0"/>
  </r>
  <r>
    <x v="4"/>
    <x v="210"/>
    <x v="5"/>
    <x v="214"/>
    <x v="223"/>
    <x v="222"/>
    <x v="222"/>
    <x v="222"/>
    <n v="2600"/>
    <n v="550"/>
    <n v="1430000"/>
    <x v="2"/>
  </r>
  <r>
    <x v="4"/>
    <x v="211"/>
    <x v="0"/>
    <x v="215"/>
    <x v="224"/>
    <x v="223"/>
    <x v="223"/>
    <x v="223"/>
    <n v="3575"/>
    <n v="350"/>
    <n v="1251250"/>
    <x v="0"/>
  </r>
  <r>
    <x v="4"/>
    <x v="212"/>
    <x v="0"/>
    <x v="184"/>
    <x v="225"/>
    <x v="224"/>
    <x v="224"/>
    <x v="224"/>
    <n v="14550"/>
    <n v="350"/>
    <n v="5092500"/>
    <x v="0"/>
  </r>
  <r>
    <x v="4"/>
    <x v="213"/>
    <x v="4"/>
    <x v="216"/>
    <x v="226"/>
    <x v="225"/>
    <x v="225"/>
    <x v="225"/>
    <n v="3500"/>
    <n v="450"/>
    <n v="1575000"/>
    <x v="2"/>
  </r>
  <r>
    <x v="4"/>
    <x v="214"/>
    <x v="1"/>
    <x v="217"/>
    <x v="227"/>
    <x v="226"/>
    <x v="226"/>
    <x v="226"/>
    <n v="8575"/>
    <n v="350"/>
    <n v="3001250"/>
    <x v="0"/>
  </r>
  <r>
    <x v="4"/>
    <x v="215"/>
    <x v="8"/>
    <x v="218"/>
    <x v="228"/>
    <x v="227"/>
    <x v="227"/>
    <x v="227"/>
    <n v="8725"/>
    <n v="350"/>
    <n v="3053750"/>
    <x v="0"/>
  </r>
  <r>
    <x v="4"/>
    <x v="216"/>
    <x v="6"/>
    <x v="219"/>
    <x v="229"/>
    <x v="228"/>
    <x v="228"/>
    <x v="228"/>
    <n v="93625"/>
    <n v="450"/>
    <n v="42131250"/>
    <x v="2"/>
  </r>
  <r>
    <x v="4"/>
    <x v="43"/>
    <x v="2"/>
    <x v="220"/>
    <x v="230"/>
    <x v="229"/>
    <x v="229"/>
    <x v="229"/>
    <n v="68725"/>
    <n v="450"/>
    <n v="30926250"/>
    <x v="0"/>
  </r>
  <r>
    <x v="4"/>
    <x v="217"/>
    <x v="2"/>
    <x v="221"/>
    <x v="231"/>
    <x v="230"/>
    <x v="230"/>
    <x v="230"/>
    <n v="21025"/>
    <n v="450"/>
    <n v="9461250"/>
    <x v="0"/>
  </r>
  <r>
    <x v="4"/>
    <x v="218"/>
    <x v="6"/>
    <x v="222"/>
    <x v="232"/>
    <x v="231"/>
    <x v="231"/>
    <x v="231"/>
    <n v="17925"/>
    <n v="450"/>
    <n v="8066250"/>
    <x v="2"/>
  </r>
  <r>
    <x v="4"/>
    <x v="120"/>
    <x v="8"/>
    <x v="223"/>
    <x v="233"/>
    <x v="232"/>
    <x v="232"/>
    <x v="232"/>
    <n v="51750"/>
    <n v="350"/>
    <n v="18112500"/>
    <x v="0"/>
  </r>
  <r>
    <x v="4"/>
    <x v="219"/>
    <x v="3"/>
    <x v="224"/>
    <x v="234"/>
    <x v="233"/>
    <x v="233"/>
    <x v="233"/>
    <n v="51025"/>
    <n v="250"/>
    <n v="12756250"/>
    <x v="1"/>
  </r>
  <r>
    <x v="4"/>
    <x v="220"/>
    <x v="0"/>
    <x v="225"/>
    <x v="235"/>
    <x v="234"/>
    <x v="234"/>
    <x v="234"/>
    <n v="81650"/>
    <n v="350"/>
    <n v="28577500"/>
    <x v="0"/>
  </r>
  <r>
    <x v="4"/>
    <x v="221"/>
    <x v="8"/>
    <x v="226"/>
    <x v="236"/>
    <x v="235"/>
    <x v="235"/>
    <x v="235"/>
    <n v="24200"/>
    <n v="350"/>
    <n v="8470000"/>
    <x v="0"/>
  </r>
  <r>
    <x v="4"/>
    <x v="222"/>
    <x v="6"/>
    <x v="227"/>
    <x v="237"/>
    <x v="236"/>
    <x v="236"/>
    <x v="236"/>
    <n v="12950"/>
    <n v="450"/>
    <n v="5827500"/>
    <x v="2"/>
  </r>
  <r>
    <x v="4"/>
    <x v="223"/>
    <x v="6"/>
    <x v="29"/>
    <x v="238"/>
    <x v="237"/>
    <x v="237"/>
    <x v="29"/>
    <n v="17250"/>
    <n v="450"/>
    <n v="7762500"/>
    <x v="2"/>
  </r>
  <r>
    <x v="4"/>
    <x v="224"/>
    <x v="1"/>
    <x v="228"/>
    <x v="239"/>
    <x v="238"/>
    <x v="238"/>
    <x v="237"/>
    <n v="117675"/>
    <n v="350"/>
    <n v="41186250"/>
    <x v="0"/>
  </r>
  <r>
    <x v="4"/>
    <x v="225"/>
    <x v="1"/>
    <x v="229"/>
    <x v="240"/>
    <x v="239"/>
    <x v="239"/>
    <x v="238"/>
    <n v="1875"/>
    <n v="350"/>
    <n v="656250"/>
    <x v="0"/>
  </r>
  <r>
    <x v="4"/>
    <x v="226"/>
    <x v="1"/>
    <x v="230"/>
    <x v="241"/>
    <x v="240"/>
    <x v="240"/>
    <x v="239"/>
    <n v="107950"/>
    <n v="350"/>
    <n v="37782500"/>
    <x v="0"/>
  </r>
  <r>
    <x v="4"/>
    <x v="227"/>
    <x v="14"/>
    <x v="231"/>
    <x v="242"/>
    <x v="241"/>
    <x v="241"/>
    <x v="240"/>
    <n v="6525"/>
    <n v="550"/>
    <n v="3588750"/>
    <x v="2"/>
  </r>
  <r>
    <x v="4"/>
    <x v="192"/>
    <x v="6"/>
    <x v="232"/>
    <x v="243"/>
    <x v="242"/>
    <x v="242"/>
    <x v="241"/>
    <n v="7025"/>
    <n v="450"/>
    <n v="3161250"/>
    <x v="2"/>
  </r>
  <r>
    <x v="4"/>
    <x v="228"/>
    <x v="4"/>
    <x v="233"/>
    <x v="244"/>
    <x v="243"/>
    <x v="243"/>
    <x v="242"/>
    <n v="4725"/>
    <n v="450"/>
    <n v="2126250"/>
    <x v="2"/>
  </r>
  <r>
    <x v="4"/>
    <x v="229"/>
    <x v="3"/>
    <x v="234"/>
    <x v="245"/>
    <x v="244"/>
    <x v="244"/>
    <x v="243"/>
    <n v="8150"/>
    <n v="250"/>
    <n v="2037500"/>
    <x v="1"/>
  </r>
  <r>
    <x v="4"/>
    <x v="230"/>
    <x v="4"/>
    <x v="182"/>
    <x v="246"/>
    <x v="245"/>
    <x v="245"/>
    <x v="183"/>
    <n v="1200"/>
    <n v="450"/>
    <n v="540000"/>
    <x v="2"/>
  </r>
  <r>
    <x v="4"/>
    <x v="231"/>
    <x v="2"/>
    <x v="235"/>
    <x v="247"/>
    <x v="246"/>
    <x v="246"/>
    <x v="244"/>
    <n v="19575"/>
    <n v="450"/>
    <n v="8808750"/>
    <x v="0"/>
  </r>
  <r>
    <x v="4"/>
    <x v="232"/>
    <x v="1"/>
    <x v="236"/>
    <x v="248"/>
    <x v="247"/>
    <x v="247"/>
    <x v="245"/>
    <n v="190575"/>
    <n v="350"/>
    <n v="66701250"/>
    <x v="0"/>
  </r>
  <r>
    <x v="4"/>
    <x v="233"/>
    <x v="1"/>
    <x v="206"/>
    <x v="249"/>
    <x v="248"/>
    <x v="248"/>
    <x v="246"/>
    <n v="60425"/>
    <n v="350"/>
    <n v="21148750"/>
    <x v="0"/>
  </r>
  <r>
    <x v="4"/>
    <x v="234"/>
    <x v="0"/>
    <x v="85"/>
    <x v="250"/>
    <x v="249"/>
    <x v="249"/>
    <x v="247"/>
    <n v="2525"/>
    <n v="350"/>
    <n v="883750"/>
    <x v="0"/>
  </r>
  <r>
    <x v="4"/>
    <x v="235"/>
    <x v="1"/>
    <x v="237"/>
    <x v="251"/>
    <x v="250"/>
    <x v="250"/>
    <x v="248"/>
    <n v="35075"/>
    <n v="350"/>
    <n v="12276250"/>
    <x v="0"/>
  </r>
  <r>
    <x v="4"/>
    <x v="236"/>
    <x v="1"/>
    <x v="238"/>
    <x v="252"/>
    <x v="251"/>
    <x v="251"/>
    <x v="249"/>
    <n v="17600"/>
    <n v="350"/>
    <n v="6160000"/>
    <x v="0"/>
  </r>
  <r>
    <x v="4"/>
    <x v="237"/>
    <x v="0"/>
    <x v="239"/>
    <x v="253"/>
    <x v="252"/>
    <x v="252"/>
    <x v="250"/>
    <n v="91325"/>
    <n v="350"/>
    <n v="31963750"/>
    <x v="0"/>
  </r>
  <r>
    <x v="4"/>
    <x v="238"/>
    <x v="7"/>
    <x v="240"/>
    <x v="254"/>
    <x v="253"/>
    <x v="253"/>
    <x v="251"/>
    <n v="57775"/>
    <n v="350"/>
    <n v="20221250"/>
    <x v="0"/>
  </r>
  <r>
    <x v="4"/>
    <x v="239"/>
    <x v="6"/>
    <x v="241"/>
    <x v="255"/>
    <x v="254"/>
    <x v="254"/>
    <x v="252"/>
    <n v="2000"/>
    <n v="450"/>
    <n v="900000"/>
    <x v="2"/>
  </r>
  <r>
    <x v="4"/>
    <x v="240"/>
    <x v="8"/>
    <x v="242"/>
    <x v="256"/>
    <x v="255"/>
    <x v="255"/>
    <x v="253"/>
    <n v="9500"/>
    <n v="350"/>
    <n v="3325000"/>
    <x v="0"/>
  </r>
  <r>
    <x v="4"/>
    <x v="58"/>
    <x v="1"/>
    <x v="243"/>
    <x v="257"/>
    <x v="256"/>
    <x v="256"/>
    <x v="254"/>
    <n v="53200"/>
    <n v="350"/>
    <n v="18620000"/>
    <x v="0"/>
  </r>
  <r>
    <x v="4"/>
    <x v="241"/>
    <x v="1"/>
    <x v="244"/>
    <x v="258"/>
    <x v="257"/>
    <x v="257"/>
    <x v="255"/>
    <n v="4675"/>
    <n v="350"/>
    <n v="1636250"/>
    <x v="0"/>
  </r>
  <r>
    <x v="4"/>
    <x v="242"/>
    <x v="2"/>
    <x v="70"/>
    <x v="259"/>
    <x v="258"/>
    <x v="258"/>
    <x v="256"/>
    <n v="725"/>
    <n v="450"/>
    <n v="326250"/>
    <x v="0"/>
  </r>
  <r>
    <x v="4"/>
    <x v="243"/>
    <x v="2"/>
    <x v="45"/>
    <x v="260"/>
    <x v="259"/>
    <x v="259"/>
    <x v="201"/>
    <n v="1450"/>
    <n v="450"/>
    <n v="652500"/>
    <x v="0"/>
  </r>
  <r>
    <x v="4"/>
    <x v="244"/>
    <x v="1"/>
    <x v="245"/>
    <x v="261"/>
    <x v="260"/>
    <x v="260"/>
    <x v="257"/>
    <n v="1750"/>
    <n v="350"/>
    <n v="612500"/>
    <x v="0"/>
  </r>
  <r>
    <x v="4"/>
    <x v="245"/>
    <x v="13"/>
    <x v="246"/>
    <x v="262"/>
    <x v="261"/>
    <x v="261"/>
    <x v="258"/>
    <n v="7275"/>
    <n v="550"/>
    <n v="4001250"/>
    <x v="2"/>
  </r>
  <r>
    <x v="4"/>
    <x v="246"/>
    <x v="3"/>
    <x v="247"/>
    <x v="263"/>
    <x v="262"/>
    <x v="262"/>
    <x v="259"/>
    <n v="79475"/>
    <n v="250"/>
    <n v="19868750"/>
    <x v="1"/>
  </r>
  <r>
    <x v="5"/>
    <x v="247"/>
    <x v="1"/>
    <x v="248"/>
    <x v="264"/>
    <x v="263"/>
    <x v="263"/>
    <x v="260"/>
    <n v="53600"/>
    <n v="350"/>
    <n v="18760000"/>
    <x v="0"/>
  </r>
  <r>
    <x v="5"/>
    <x v="248"/>
    <x v="0"/>
    <x v="249"/>
    <x v="265"/>
    <x v="264"/>
    <x v="264"/>
    <x v="261"/>
    <n v="34325"/>
    <n v="350"/>
    <n v="12013750"/>
    <x v="0"/>
  </r>
  <r>
    <x v="5"/>
    <x v="249"/>
    <x v="4"/>
    <x v="250"/>
    <x v="266"/>
    <x v="265"/>
    <x v="265"/>
    <x v="262"/>
    <n v="53125"/>
    <n v="450"/>
    <n v="23906250"/>
    <x v="2"/>
  </r>
  <r>
    <x v="5"/>
    <x v="250"/>
    <x v="4"/>
    <x v="251"/>
    <x v="267"/>
    <x v="266"/>
    <x v="266"/>
    <x v="263"/>
    <n v="64725"/>
    <n v="450"/>
    <n v="29126250"/>
    <x v="2"/>
  </r>
  <r>
    <x v="5"/>
    <x v="251"/>
    <x v="1"/>
    <x v="252"/>
    <x v="268"/>
    <x v="267"/>
    <x v="267"/>
    <x v="264"/>
    <n v="44500"/>
    <n v="350"/>
    <n v="15575000"/>
    <x v="0"/>
  </r>
  <r>
    <x v="5"/>
    <x v="252"/>
    <x v="0"/>
    <x v="253"/>
    <x v="269"/>
    <x v="268"/>
    <x v="268"/>
    <x v="265"/>
    <n v="11050"/>
    <n v="350"/>
    <n v="3867500"/>
    <x v="0"/>
  </r>
  <r>
    <x v="5"/>
    <x v="253"/>
    <x v="1"/>
    <x v="254"/>
    <x v="270"/>
    <x v="269"/>
    <x v="269"/>
    <x v="266"/>
    <n v="21875"/>
    <n v="350"/>
    <n v="7656250"/>
    <x v="0"/>
  </r>
  <r>
    <x v="5"/>
    <x v="66"/>
    <x v="3"/>
    <x v="255"/>
    <x v="271"/>
    <x v="270"/>
    <x v="270"/>
    <x v="267"/>
    <n v="31200"/>
    <n v="250"/>
    <n v="7800000"/>
    <x v="1"/>
  </r>
  <r>
    <x v="5"/>
    <x v="254"/>
    <x v="1"/>
    <x v="256"/>
    <x v="272"/>
    <x v="271"/>
    <x v="271"/>
    <x v="268"/>
    <n v="19075"/>
    <n v="350"/>
    <n v="6676250"/>
    <x v="0"/>
  </r>
  <r>
    <x v="5"/>
    <x v="255"/>
    <x v="1"/>
    <x v="257"/>
    <x v="273"/>
    <x v="272"/>
    <x v="272"/>
    <x v="269"/>
    <n v="59800"/>
    <n v="350"/>
    <n v="20930000"/>
    <x v="0"/>
  </r>
  <r>
    <x v="5"/>
    <x v="256"/>
    <x v="0"/>
    <x v="258"/>
    <x v="274"/>
    <x v="273"/>
    <x v="273"/>
    <x v="270"/>
    <n v="89025"/>
    <n v="350"/>
    <n v="31158750"/>
    <x v="0"/>
  </r>
  <r>
    <x v="5"/>
    <x v="257"/>
    <x v="1"/>
    <x v="259"/>
    <x v="275"/>
    <x v="274"/>
    <x v="274"/>
    <x v="271"/>
    <n v="1725"/>
    <n v="350"/>
    <n v="603750"/>
    <x v="0"/>
  </r>
  <r>
    <x v="5"/>
    <x v="258"/>
    <x v="1"/>
    <x v="260"/>
    <x v="276"/>
    <x v="275"/>
    <x v="275"/>
    <x v="272"/>
    <n v="32875"/>
    <n v="350"/>
    <n v="11506250"/>
    <x v="0"/>
  </r>
  <r>
    <x v="5"/>
    <x v="259"/>
    <x v="14"/>
    <x v="244"/>
    <x v="277"/>
    <x v="276"/>
    <x v="276"/>
    <x v="273"/>
    <n v="4675"/>
    <n v="550"/>
    <n v="2571250"/>
    <x v="2"/>
  </r>
  <r>
    <x v="5"/>
    <x v="260"/>
    <x v="6"/>
    <x v="261"/>
    <x v="278"/>
    <x v="277"/>
    <x v="277"/>
    <x v="274"/>
    <n v="24575"/>
    <n v="450"/>
    <n v="11058750"/>
    <x v="2"/>
  </r>
  <r>
    <x v="5"/>
    <x v="261"/>
    <x v="14"/>
    <x v="132"/>
    <x v="279"/>
    <x v="278"/>
    <x v="278"/>
    <x v="275"/>
    <n v="3850"/>
    <n v="550"/>
    <n v="2117500"/>
    <x v="2"/>
  </r>
  <r>
    <x v="5"/>
    <x v="262"/>
    <x v="2"/>
    <x v="262"/>
    <x v="280"/>
    <x v="279"/>
    <x v="279"/>
    <x v="276"/>
    <n v="43300"/>
    <n v="450"/>
    <n v="19485000"/>
    <x v="0"/>
  </r>
  <r>
    <x v="5"/>
    <x v="263"/>
    <x v="8"/>
    <x v="263"/>
    <x v="281"/>
    <x v="280"/>
    <x v="280"/>
    <x v="277"/>
    <n v="71925"/>
    <n v="350"/>
    <n v="25173750"/>
    <x v="0"/>
  </r>
  <r>
    <x v="5"/>
    <x v="264"/>
    <x v="0"/>
    <x v="264"/>
    <x v="282"/>
    <x v="281"/>
    <x v="281"/>
    <x v="278"/>
    <n v="43500"/>
    <n v="350"/>
    <n v="15225000"/>
    <x v="0"/>
  </r>
  <r>
    <x v="5"/>
    <x v="20"/>
    <x v="14"/>
    <x v="265"/>
    <x v="283"/>
    <x v="282"/>
    <x v="282"/>
    <x v="279"/>
    <n v="19450"/>
    <n v="550"/>
    <n v="10697500"/>
    <x v="2"/>
  </r>
  <r>
    <x v="5"/>
    <x v="265"/>
    <x v="8"/>
    <x v="266"/>
    <x v="284"/>
    <x v="283"/>
    <x v="283"/>
    <x v="280"/>
    <n v="3950"/>
    <n v="350"/>
    <n v="1382500"/>
    <x v="0"/>
  </r>
  <r>
    <x v="5"/>
    <x v="58"/>
    <x v="1"/>
    <x v="267"/>
    <x v="285"/>
    <x v="284"/>
    <x v="284"/>
    <x v="281"/>
    <n v="60775"/>
    <n v="350"/>
    <n v="21271250"/>
    <x v="0"/>
  </r>
  <r>
    <x v="5"/>
    <x v="20"/>
    <x v="14"/>
    <x v="268"/>
    <x v="286"/>
    <x v="285"/>
    <x v="285"/>
    <x v="282"/>
    <n v="27750"/>
    <n v="550"/>
    <n v="15262500"/>
    <x v="2"/>
  </r>
  <r>
    <x v="5"/>
    <x v="266"/>
    <x v="8"/>
    <x v="269"/>
    <x v="287"/>
    <x v="286"/>
    <x v="286"/>
    <x v="283"/>
    <n v="23950"/>
    <n v="350"/>
    <n v="8382500"/>
    <x v="0"/>
  </r>
  <r>
    <x v="5"/>
    <x v="267"/>
    <x v="4"/>
    <x v="270"/>
    <x v="288"/>
    <x v="287"/>
    <x v="287"/>
    <x v="284"/>
    <n v="2325"/>
    <n v="450"/>
    <n v="1046250"/>
    <x v="2"/>
  </r>
  <r>
    <x v="5"/>
    <x v="268"/>
    <x v="14"/>
    <x v="271"/>
    <x v="289"/>
    <x v="288"/>
    <x v="288"/>
    <x v="285"/>
    <n v="2275"/>
    <n v="550"/>
    <n v="1251250"/>
    <x v="2"/>
  </r>
  <r>
    <x v="5"/>
    <x v="269"/>
    <x v="4"/>
    <x v="272"/>
    <x v="290"/>
    <x v="289"/>
    <x v="289"/>
    <x v="286"/>
    <n v="75875"/>
    <n v="450"/>
    <n v="34143750"/>
    <x v="2"/>
  </r>
  <r>
    <x v="5"/>
    <x v="270"/>
    <x v="3"/>
    <x v="273"/>
    <x v="291"/>
    <x v="290"/>
    <x v="290"/>
    <x v="287"/>
    <n v="71900"/>
    <n v="250"/>
    <n v="17975000"/>
    <x v="1"/>
  </r>
  <r>
    <x v="5"/>
    <x v="271"/>
    <x v="4"/>
    <x v="274"/>
    <x v="292"/>
    <x v="291"/>
    <x v="291"/>
    <x v="288"/>
    <n v="61325"/>
    <n v="450"/>
    <n v="27596250"/>
    <x v="2"/>
  </r>
  <r>
    <x v="5"/>
    <x v="272"/>
    <x v="14"/>
    <x v="275"/>
    <x v="293"/>
    <x v="292"/>
    <x v="292"/>
    <x v="289"/>
    <n v="4175"/>
    <n v="550"/>
    <n v="2296250"/>
    <x v="2"/>
  </r>
  <r>
    <x v="5"/>
    <x v="273"/>
    <x v="2"/>
    <x v="276"/>
    <x v="294"/>
    <x v="293"/>
    <x v="293"/>
    <x v="290"/>
    <n v="459900"/>
    <n v="450"/>
    <n v="206955000"/>
    <x v="0"/>
  </r>
  <r>
    <x v="5"/>
    <x v="274"/>
    <x v="8"/>
    <x v="277"/>
    <x v="295"/>
    <x v="294"/>
    <x v="294"/>
    <x v="291"/>
    <n v="10775"/>
    <n v="350"/>
    <n v="3771250"/>
    <x v="0"/>
  </r>
  <r>
    <x v="5"/>
    <x v="275"/>
    <x v="6"/>
    <x v="227"/>
    <x v="296"/>
    <x v="295"/>
    <x v="295"/>
    <x v="236"/>
    <n v="12950"/>
    <n v="450"/>
    <n v="5827500"/>
    <x v="2"/>
  </r>
  <r>
    <x v="5"/>
    <x v="276"/>
    <x v="0"/>
    <x v="278"/>
    <x v="297"/>
    <x v="296"/>
    <x v="296"/>
    <x v="292"/>
    <n v="10375"/>
    <n v="350"/>
    <n v="3631250"/>
    <x v="0"/>
  </r>
  <r>
    <x v="5"/>
    <x v="277"/>
    <x v="1"/>
    <x v="279"/>
    <x v="298"/>
    <x v="297"/>
    <x v="297"/>
    <x v="293"/>
    <n v="3900"/>
    <n v="350"/>
    <n v="1365000"/>
    <x v="0"/>
  </r>
  <r>
    <x v="5"/>
    <x v="278"/>
    <x v="8"/>
    <x v="280"/>
    <x v="299"/>
    <x v="298"/>
    <x v="298"/>
    <x v="294"/>
    <n v="11475"/>
    <n v="350"/>
    <n v="4016250"/>
    <x v="0"/>
  </r>
  <r>
    <x v="5"/>
    <x v="279"/>
    <x v="0"/>
    <x v="281"/>
    <x v="300"/>
    <x v="299"/>
    <x v="299"/>
    <x v="295"/>
    <n v="29975"/>
    <n v="350"/>
    <n v="10491250"/>
    <x v="0"/>
  </r>
  <r>
    <x v="5"/>
    <x v="280"/>
    <x v="13"/>
    <x v="282"/>
    <x v="301"/>
    <x v="300"/>
    <x v="300"/>
    <x v="296"/>
    <n v="8500"/>
    <n v="550"/>
    <n v="4675000"/>
    <x v="2"/>
  </r>
  <r>
    <x v="5"/>
    <x v="281"/>
    <x v="4"/>
    <x v="283"/>
    <x v="302"/>
    <x v="301"/>
    <x v="301"/>
    <x v="297"/>
    <n v="20125"/>
    <n v="450"/>
    <n v="9056250"/>
    <x v="2"/>
  </r>
  <r>
    <x v="5"/>
    <x v="58"/>
    <x v="2"/>
    <x v="284"/>
    <x v="303"/>
    <x v="302"/>
    <x v="302"/>
    <x v="298"/>
    <n v="68025"/>
    <n v="450"/>
    <n v="30611250"/>
    <x v="0"/>
  </r>
  <r>
    <x v="5"/>
    <x v="66"/>
    <x v="3"/>
    <x v="50"/>
    <x v="304"/>
    <x v="303"/>
    <x v="303"/>
    <x v="299"/>
    <n v="24125"/>
    <n v="250"/>
    <n v="6031250"/>
    <x v="1"/>
  </r>
  <r>
    <x v="5"/>
    <x v="282"/>
    <x v="8"/>
    <x v="285"/>
    <x v="305"/>
    <x v="304"/>
    <x v="304"/>
    <x v="300"/>
    <n v="3375"/>
    <n v="350"/>
    <n v="1181250"/>
    <x v="0"/>
  </r>
  <r>
    <x v="5"/>
    <x v="120"/>
    <x v="3"/>
    <x v="286"/>
    <x v="306"/>
    <x v="305"/>
    <x v="305"/>
    <x v="301"/>
    <n v="28175"/>
    <n v="250"/>
    <n v="7043750"/>
    <x v="1"/>
  </r>
  <r>
    <x v="5"/>
    <x v="283"/>
    <x v="8"/>
    <x v="287"/>
    <x v="307"/>
    <x v="306"/>
    <x v="306"/>
    <x v="302"/>
    <n v="11125"/>
    <n v="350"/>
    <n v="3893750"/>
    <x v="0"/>
  </r>
  <r>
    <x v="5"/>
    <x v="284"/>
    <x v="1"/>
    <x v="288"/>
    <x v="308"/>
    <x v="307"/>
    <x v="307"/>
    <x v="303"/>
    <n v="4650"/>
    <n v="350"/>
    <n v="1627500"/>
    <x v="0"/>
  </r>
  <r>
    <x v="5"/>
    <x v="285"/>
    <x v="8"/>
    <x v="289"/>
    <x v="309"/>
    <x v="308"/>
    <x v="308"/>
    <x v="304"/>
    <n v="1275"/>
    <n v="350"/>
    <n v="446250"/>
    <x v="0"/>
  </r>
  <r>
    <x v="5"/>
    <x v="63"/>
    <x v="3"/>
    <x v="290"/>
    <x v="310"/>
    <x v="309"/>
    <x v="309"/>
    <x v="305"/>
    <n v="22375"/>
    <n v="250"/>
    <n v="5593750"/>
    <x v="1"/>
  </r>
  <r>
    <x v="5"/>
    <x v="286"/>
    <x v="12"/>
    <x v="123"/>
    <x v="311"/>
    <x v="310"/>
    <x v="310"/>
    <x v="306"/>
    <n v="6275"/>
    <n v="250"/>
    <n v="1568750"/>
    <x v="1"/>
  </r>
  <r>
    <x v="5"/>
    <x v="287"/>
    <x v="7"/>
    <x v="291"/>
    <x v="312"/>
    <x v="311"/>
    <x v="311"/>
    <x v="307"/>
    <n v="25925"/>
    <n v="350"/>
    <n v="9073750"/>
    <x v="0"/>
  </r>
  <r>
    <x v="5"/>
    <x v="288"/>
    <x v="12"/>
    <x v="292"/>
    <x v="313"/>
    <x v="312"/>
    <x v="312"/>
    <x v="308"/>
    <n v="4200"/>
    <n v="250"/>
    <n v="1050000"/>
    <x v="1"/>
  </r>
  <r>
    <x v="5"/>
    <x v="289"/>
    <x v="1"/>
    <x v="293"/>
    <x v="314"/>
    <x v="313"/>
    <x v="313"/>
    <x v="309"/>
    <n v="2500"/>
    <n v="350"/>
    <n v="875000"/>
    <x v="0"/>
  </r>
  <r>
    <x v="5"/>
    <x v="290"/>
    <x v="3"/>
    <x v="294"/>
    <x v="315"/>
    <x v="314"/>
    <x v="314"/>
    <x v="310"/>
    <n v="23225"/>
    <n v="250"/>
    <n v="5806250"/>
    <x v="1"/>
  </r>
  <r>
    <x v="5"/>
    <x v="291"/>
    <x v="7"/>
    <x v="295"/>
    <x v="316"/>
    <x v="315"/>
    <x v="315"/>
    <x v="311"/>
    <n v="86600"/>
    <n v="350"/>
    <n v="30310000"/>
    <x v="0"/>
  </r>
  <r>
    <x v="5"/>
    <x v="292"/>
    <x v="14"/>
    <x v="296"/>
    <x v="317"/>
    <x v="316"/>
    <x v="316"/>
    <x v="312"/>
    <n v="1950"/>
    <n v="550"/>
    <n v="1072500"/>
    <x v="2"/>
  </r>
  <r>
    <x v="5"/>
    <x v="293"/>
    <x v="8"/>
    <x v="297"/>
    <x v="318"/>
    <x v="317"/>
    <x v="317"/>
    <x v="313"/>
    <n v="6475"/>
    <n v="350"/>
    <n v="2266250"/>
    <x v="0"/>
  </r>
  <r>
    <x v="5"/>
    <x v="294"/>
    <x v="6"/>
    <x v="298"/>
    <x v="319"/>
    <x v="318"/>
    <x v="318"/>
    <x v="314"/>
    <n v="1250"/>
    <n v="450"/>
    <n v="562500"/>
    <x v="2"/>
  </r>
  <r>
    <x v="5"/>
    <x v="295"/>
    <x v="13"/>
    <x v="299"/>
    <x v="320"/>
    <x v="319"/>
    <x v="319"/>
    <x v="315"/>
    <n v="1225"/>
    <n v="550"/>
    <n v="673750"/>
    <x v="2"/>
  </r>
  <r>
    <x v="5"/>
    <x v="296"/>
    <x v="7"/>
    <x v="300"/>
    <x v="321"/>
    <x v="320"/>
    <x v="320"/>
    <x v="316"/>
    <n v="19900"/>
    <n v="350"/>
    <n v="6965000"/>
    <x v="0"/>
  </r>
  <r>
    <x v="5"/>
    <x v="297"/>
    <x v="14"/>
    <x v="301"/>
    <x v="322"/>
    <x v="321"/>
    <x v="321"/>
    <x v="317"/>
    <n v="6050"/>
    <n v="550"/>
    <n v="3327500"/>
    <x v="2"/>
  </r>
  <r>
    <x v="5"/>
    <x v="298"/>
    <x v="0"/>
    <x v="259"/>
    <x v="323"/>
    <x v="322"/>
    <x v="322"/>
    <x v="318"/>
    <n v="1725"/>
    <n v="350"/>
    <n v="603750"/>
    <x v="0"/>
  </r>
  <r>
    <x v="6"/>
    <x v="299"/>
    <x v="1"/>
    <x v="302"/>
    <x v="324"/>
    <x v="323"/>
    <x v="323"/>
    <x v="319"/>
    <n v="12300"/>
    <n v="350"/>
    <n v="4305000"/>
    <x v="0"/>
  </r>
  <r>
    <x v="6"/>
    <x v="300"/>
    <x v="4"/>
    <x v="303"/>
    <x v="325"/>
    <x v="324"/>
    <x v="324"/>
    <x v="320"/>
    <n v="4000"/>
    <n v="450"/>
    <n v="1800000"/>
    <x v="2"/>
  </r>
  <r>
    <x v="6"/>
    <x v="301"/>
    <x v="4"/>
    <x v="85"/>
    <x v="326"/>
    <x v="325"/>
    <x v="325"/>
    <x v="321"/>
    <n v="2525"/>
    <n v="450"/>
    <n v="1136250"/>
    <x v="2"/>
  </r>
  <r>
    <x v="6"/>
    <x v="302"/>
    <x v="0"/>
    <x v="73"/>
    <x v="327"/>
    <x v="326"/>
    <x v="326"/>
    <x v="74"/>
    <n v="2350"/>
    <n v="350"/>
    <n v="822500"/>
    <x v="0"/>
  </r>
  <r>
    <x v="6"/>
    <x v="170"/>
    <x v="1"/>
    <x v="304"/>
    <x v="328"/>
    <x v="327"/>
    <x v="327"/>
    <x v="322"/>
    <n v="93725"/>
    <n v="350"/>
    <n v="32803750"/>
    <x v="0"/>
  </r>
  <r>
    <x v="6"/>
    <x v="303"/>
    <x v="4"/>
    <x v="305"/>
    <x v="329"/>
    <x v="328"/>
    <x v="328"/>
    <x v="323"/>
    <n v="5200"/>
    <n v="450"/>
    <n v="2340000"/>
    <x v="2"/>
  </r>
  <r>
    <x v="6"/>
    <x v="20"/>
    <x v="14"/>
    <x v="306"/>
    <x v="330"/>
    <x v="329"/>
    <x v="329"/>
    <x v="324"/>
    <n v="16200"/>
    <n v="550"/>
    <n v="8910000"/>
    <x v="2"/>
  </r>
  <r>
    <x v="6"/>
    <x v="304"/>
    <x v="6"/>
    <x v="128"/>
    <x v="331"/>
    <x v="330"/>
    <x v="330"/>
    <x v="325"/>
    <n v="750"/>
    <n v="450"/>
    <n v="337500"/>
    <x v="2"/>
  </r>
  <r>
    <x v="6"/>
    <x v="305"/>
    <x v="14"/>
    <x v="307"/>
    <x v="332"/>
    <x v="331"/>
    <x v="331"/>
    <x v="326"/>
    <n v="7200"/>
    <n v="550"/>
    <n v="3960000"/>
    <x v="2"/>
  </r>
  <r>
    <x v="6"/>
    <x v="306"/>
    <x v="12"/>
    <x v="132"/>
    <x v="333"/>
    <x v="332"/>
    <x v="332"/>
    <x v="327"/>
    <n v="3850"/>
    <n v="250"/>
    <n v="962500"/>
    <x v="1"/>
  </r>
  <r>
    <x v="6"/>
    <x v="307"/>
    <x v="5"/>
    <x v="308"/>
    <x v="334"/>
    <x v="333"/>
    <x v="333"/>
    <x v="328"/>
    <n v="875"/>
    <n v="550"/>
    <n v="481250"/>
    <x v="2"/>
  </r>
  <r>
    <x v="6"/>
    <x v="58"/>
    <x v="1"/>
    <x v="309"/>
    <x v="335"/>
    <x v="334"/>
    <x v="334"/>
    <x v="329"/>
    <n v="61825"/>
    <n v="350"/>
    <n v="21638750"/>
    <x v="0"/>
  </r>
  <r>
    <x v="6"/>
    <x v="308"/>
    <x v="8"/>
    <x v="310"/>
    <x v="336"/>
    <x v="335"/>
    <x v="335"/>
    <x v="330"/>
    <n v="56075"/>
    <n v="350"/>
    <n v="19626250"/>
    <x v="0"/>
  </r>
  <r>
    <x v="6"/>
    <x v="309"/>
    <x v="0"/>
    <x v="311"/>
    <x v="337"/>
    <x v="336"/>
    <x v="336"/>
    <x v="331"/>
    <n v="39525"/>
    <n v="350"/>
    <n v="13833750"/>
    <x v="0"/>
  </r>
  <r>
    <x v="6"/>
    <x v="90"/>
    <x v="6"/>
    <x v="103"/>
    <x v="338"/>
    <x v="337"/>
    <x v="337"/>
    <x v="332"/>
    <n v="2925"/>
    <n v="450"/>
    <n v="1316250"/>
    <x v="2"/>
  </r>
  <r>
    <x v="6"/>
    <x v="20"/>
    <x v="10"/>
    <x v="312"/>
    <x v="339"/>
    <x v="338"/>
    <x v="338"/>
    <x v="333"/>
    <n v="3725"/>
    <n v="550"/>
    <n v="2048750"/>
    <x v="2"/>
  </r>
  <r>
    <x v="6"/>
    <x v="310"/>
    <x v="7"/>
    <x v="229"/>
    <x v="340"/>
    <x v="339"/>
    <x v="339"/>
    <x v="334"/>
    <n v="1875"/>
    <n v="350"/>
    <n v="656250"/>
    <x v="0"/>
  </r>
  <r>
    <x v="6"/>
    <x v="58"/>
    <x v="0"/>
    <x v="313"/>
    <x v="341"/>
    <x v="340"/>
    <x v="340"/>
    <x v="335"/>
    <n v="21925"/>
    <n v="350"/>
    <n v="7673750"/>
    <x v="0"/>
  </r>
  <r>
    <x v="6"/>
    <x v="311"/>
    <x v="1"/>
    <x v="314"/>
    <x v="342"/>
    <x v="341"/>
    <x v="341"/>
    <x v="336"/>
    <n v="9925"/>
    <n v="350"/>
    <n v="3473750"/>
    <x v="0"/>
  </r>
  <r>
    <x v="6"/>
    <x v="312"/>
    <x v="11"/>
    <x v="121"/>
    <x v="343"/>
    <x v="342"/>
    <x v="342"/>
    <x v="337"/>
    <n v="950"/>
    <n v="250"/>
    <n v="237500"/>
    <x v="1"/>
  </r>
  <r>
    <x v="6"/>
    <x v="66"/>
    <x v="8"/>
    <x v="315"/>
    <x v="344"/>
    <x v="343"/>
    <x v="343"/>
    <x v="338"/>
    <n v="17150"/>
    <n v="350"/>
    <n v="6002500"/>
    <x v="0"/>
  </r>
  <r>
    <x v="6"/>
    <x v="313"/>
    <x v="8"/>
    <x v="316"/>
    <x v="345"/>
    <x v="337"/>
    <x v="337"/>
    <x v="339"/>
    <n v="111575"/>
    <n v="350"/>
    <n v="39051250"/>
    <x v="0"/>
  </r>
  <r>
    <x v="6"/>
    <x v="314"/>
    <x v="8"/>
    <x v="317"/>
    <x v="346"/>
    <x v="344"/>
    <x v="344"/>
    <x v="340"/>
    <n v="15975"/>
    <n v="350"/>
    <n v="5591250"/>
    <x v="0"/>
  </r>
  <r>
    <x v="6"/>
    <x v="251"/>
    <x v="1"/>
    <x v="252"/>
    <x v="268"/>
    <x v="267"/>
    <x v="267"/>
    <x v="264"/>
    <n v="44500"/>
    <n v="350"/>
    <n v="15575000"/>
    <x v="0"/>
  </r>
  <r>
    <x v="6"/>
    <x v="315"/>
    <x v="14"/>
    <x v="318"/>
    <x v="347"/>
    <x v="345"/>
    <x v="345"/>
    <x v="341"/>
    <n v="7700"/>
    <n v="550"/>
    <n v="4235000"/>
    <x v="2"/>
  </r>
  <r>
    <x v="6"/>
    <x v="248"/>
    <x v="0"/>
    <x v="249"/>
    <x v="265"/>
    <x v="264"/>
    <x v="264"/>
    <x v="261"/>
    <n v="34325"/>
    <n v="350"/>
    <n v="12013750"/>
    <x v="0"/>
  </r>
  <r>
    <x v="6"/>
    <x v="316"/>
    <x v="4"/>
    <x v="319"/>
    <x v="348"/>
    <x v="346"/>
    <x v="346"/>
    <x v="342"/>
    <n v="2625"/>
    <n v="450"/>
    <n v="1181250"/>
    <x v="2"/>
  </r>
  <r>
    <x v="6"/>
    <x v="317"/>
    <x v="8"/>
    <x v="75"/>
    <x v="349"/>
    <x v="347"/>
    <x v="347"/>
    <x v="343"/>
    <n v="3525"/>
    <n v="350"/>
    <n v="1233750"/>
    <x v="0"/>
  </r>
  <r>
    <x v="6"/>
    <x v="318"/>
    <x v="8"/>
    <x v="320"/>
    <x v="350"/>
    <x v="348"/>
    <x v="348"/>
    <x v="344"/>
    <n v="36825"/>
    <n v="350"/>
    <n v="12888750"/>
    <x v="0"/>
  </r>
  <r>
    <x v="6"/>
    <x v="20"/>
    <x v="14"/>
    <x v="268"/>
    <x v="286"/>
    <x v="285"/>
    <x v="285"/>
    <x v="282"/>
    <n v="27750"/>
    <n v="550"/>
    <n v="15262500"/>
    <x v="2"/>
  </r>
  <r>
    <x v="6"/>
    <x v="319"/>
    <x v="4"/>
    <x v="92"/>
    <x v="345"/>
    <x v="349"/>
    <x v="349"/>
    <x v="94"/>
    <n v="11075"/>
    <n v="450"/>
    <n v="4983750"/>
    <x v="2"/>
  </r>
  <r>
    <x v="6"/>
    <x v="320"/>
    <x v="6"/>
    <x v="321"/>
    <x v="351"/>
    <x v="350"/>
    <x v="350"/>
    <x v="345"/>
    <n v="5600"/>
    <n v="450"/>
    <n v="2520000"/>
    <x v="2"/>
  </r>
  <r>
    <x v="6"/>
    <x v="321"/>
    <x v="8"/>
    <x v="190"/>
    <x v="352"/>
    <x v="351"/>
    <x v="351"/>
    <x v="346"/>
    <n v="68475"/>
    <n v="350"/>
    <n v="23966250"/>
    <x v="0"/>
  </r>
  <r>
    <x v="6"/>
    <x v="247"/>
    <x v="1"/>
    <x v="248"/>
    <x v="264"/>
    <x v="263"/>
    <x v="263"/>
    <x v="260"/>
    <n v="53600"/>
    <n v="350"/>
    <n v="18760000"/>
    <x v="0"/>
  </r>
  <r>
    <x v="6"/>
    <x v="322"/>
    <x v="4"/>
    <x v="322"/>
    <x v="353"/>
    <x v="352"/>
    <x v="352"/>
    <x v="347"/>
    <n v="700"/>
    <n v="450"/>
    <n v="315000"/>
    <x v="2"/>
  </r>
  <r>
    <x v="6"/>
    <x v="323"/>
    <x v="0"/>
    <x v="323"/>
    <x v="354"/>
    <x v="353"/>
    <x v="353"/>
    <x v="348"/>
    <n v="10000"/>
    <n v="350"/>
    <n v="3500000"/>
    <x v="0"/>
  </r>
  <r>
    <x v="6"/>
    <x v="324"/>
    <x v="6"/>
    <x v="324"/>
    <x v="355"/>
    <x v="354"/>
    <x v="354"/>
    <x v="349"/>
    <n v="50"/>
    <n v="450"/>
    <n v="22500"/>
    <x v="2"/>
  </r>
  <r>
    <x v="6"/>
    <x v="325"/>
    <x v="0"/>
    <x v="325"/>
    <x v="356"/>
    <x v="337"/>
    <x v="337"/>
    <x v="350"/>
    <n v="4775"/>
    <n v="350"/>
    <n v="1671250"/>
    <x v="0"/>
  </r>
  <r>
    <x v="6"/>
    <x v="326"/>
    <x v="11"/>
    <x v="301"/>
    <x v="357"/>
    <x v="355"/>
    <x v="355"/>
    <x v="351"/>
    <n v="6050"/>
    <n v="250"/>
    <n v="1512500"/>
    <x v="1"/>
  </r>
  <r>
    <x v="6"/>
    <x v="327"/>
    <x v="8"/>
    <x v="326"/>
    <x v="358"/>
    <x v="356"/>
    <x v="356"/>
    <x v="352"/>
    <n v="29750"/>
    <n v="350"/>
    <n v="10412500"/>
    <x v="0"/>
  </r>
  <r>
    <x v="6"/>
    <x v="20"/>
    <x v="5"/>
    <x v="327"/>
    <x v="359"/>
    <x v="357"/>
    <x v="357"/>
    <x v="353"/>
    <n v="27850"/>
    <n v="550"/>
    <n v="15317500"/>
    <x v="2"/>
  </r>
  <r>
    <x v="6"/>
    <x v="328"/>
    <x v="10"/>
    <x v="328"/>
    <x v="360"/>
    <x v="358"/>
    <x v="358"/>
    <x v="354"/>
    <n v="25"/>
    <n v="550"/>
    <n v="13750"/>
    <x v="2"/>
  </r>
  <r>
    <x v="6"/>
    <x v="58"/>
    <x v="7"/>
    <x v="329"/>
    <x v="361"/>
    <x v="359"/>
    <x v="359"/>
    <x v="355"/>
    <n v="7350"/>
    <n v="350"/>
    <n v="2572500"/>
    <x v="0"/>
  </r>
  <r>
    <x v="6"/>
    <x v="329"/>
    <x v="6"/>
    <x v="330"/>
    <x v="362"/>
    <x v="360"/>
    <x v="360"/>
    <x v="356"/>
    <n v="975"/>
    <n v="450"/>
    <n v="438750"/>
    <x v="2"/>
  </r>
  <r>
    <x v="6"/>
    <x v="297"/>
    <x v="14"/>
    <x v="301"/>
    <x v="322"/>
    <x v="321"/>
    <x v="321"/>
    <x v="317"/>
    <n v="6050"/>
    <n v="550"/>
    <n v="3327500"/>
    <x v="2"/>
  </r>
  <r>
    <x v="6"/>
    <x v="330"/>
    <x v="5"/>
    <x v="112"/>
    <x v="363"/>
    <x v="361"/>
    <x v="361"/>
    <x v="115"/>
    <n v="425"/>
    <n v="550"/>
    <n v="233750"/>
    <x v="2"/>
  </r>
  <r>
    <x v="6"/>
    <x v="331"/>
    <x v="6"/>
    <x v="331"/>
    <x v="364"/>
    <x v="362"/>
    <x v="362"/>
    <x v="357"/>
    <n v="7975"/>
    <n v="450"/>
    <n v="3588750"/>
    <x v="2"/>
  </r>
  <r>
    <x v="6"/>
    <x v="332"/>
    <x v="0"/>
    <x v="332"/>
    <x v="365"/>
    <x v="363"/>
    <x v="363"/>
    <x v="358"/>
    <n v="2575"/>
    <n v="350"/>
    <n v="901250"/>
    <x v="0"/>
  </r>
  <r>
    <x v="6"/>
    <x v="223"/>
    <x v="14"/>
    <x v="333"/>
    <x v="366"/>
    <x v="364"/>
    <x v="364"/>
    <x v="359"/>
    <n v="525"/>
    <n v="550"/>
    <n v="288750"/>
    <x v="2"/>
  </r>
  <r>
    <x v="6"/>
    <x v="333"/>
    <x v="7"/>
    <x v="80"/>
    <x v="367"/>
    <x v="365"/>
    <x v="365"/>
    <x v="360"/>
    <n v="1150"/>
    <n v="350"/>
    <n v="402500"/>
    <x v="0"/>
  </r>
  <r>
    <x v="6"/>
    <x v="334"/>
    <x v="1"/>
    <x v="334"/>
    <x v="368"/>
    <x v="366"/>
    <x v="366"/>
    <x v="361"/>
    <n v="5300"/>
    <n v="350"/>
    <n v="1855000"/>
    <x v="0"/>
  </r>
  <r>
    <x v="6"/>
    <x v="335"/>
    <x v="5"/>
    <x v="335"/>
    <x v="369"/>
    <x v="367"/>
    <x v="367"/>
    <x v="362"/>
    <n v="3050"/>
    <n v="550"/>
    <n v="1677500"/>
    <x v="2"/>
  </r>
  <r>
    <x v="6"/>
    <x v="266"/>
    <x v="8"/>
    <x v="269"/>
    <x v="287"/>
    <x v="286"/>
    <x v="286"/>
    <x v="283"/>
    <n v="23950"/>
    <n v="350"/>
    <n v="8382500"/>
    <x v="0"/>
  </r>
  <r>
    <x v="6"/>
    <x v="58"/>
    <x v="1"/>
    <x v="336"/>
    <x v="370"/>
    <x v="368"/>
    <x v="368"/>
    <x v="363"/>
    <n v="44850"/>
    <n v="350"/>
    <n v="15697500"/>
    <x v="0"/>
  </r>
  <r>
    <x v="6"/>
    <x v="94"/>
    <x v="16"/>
    <x v="337"/>
    <x v="371"/>
    <x v="369"/>
    <x v="369"/>
    <x v="364"/>
    <n v="475"/>
    <n v="250"/>
    <n v="118750"/>
    <x v="1"/>
  </r>
  <r>
    <x v="6"/>
    <x v="279"/>
    <x v="0"/>
    <x v="281"/>
    <x v="300"/>
    <x v="299"/>
    <x v="299"/>
    <x v="295"/>
    <n v="29975"/>
    <n v="350"/>
    <n v="10491250"/>
    <x v="0"/>
  </r>
  <r>
    <x v="6"/>
    <x v="336"/>
    <x v="3"/>
    <x v="338"/>
    <x v="372"/>
    <x v="370"/>
    <x v="370"/>
    <x v="365"/>
    <n v="26450"/>
    <n v="250"/>
    <n v="6612500"/>
    <x v="1"/>
  </r>
  <r>
    <x v="6"/>
    <x v="295"/>
    <x v="13"/>
    <x v="299"/>
    <x v="320"/>
    <x v="319"/>
    <x v="319"/>
    <x v="315"/>
    <n v="1225"/>
    <n v="550"/>
    <n v="673750"/>
    <x v="2"/>
  </r>
  <r>
    <x v="6"/>
    <x v="337"/>
    <x v="2"/>
    <x v="142"/>
    <x v="373"/>
    <x v="371"/>
    <x v="371"/>
    <x v="366"/>
    <n v="4700"/>
    <n v="450"/>
    <n v="2115000"/>
    <x v="0"/>
  </r>
  <r>
    <x v="6"/>
    <x v="338"/>
    <x v="2"/>
    <x v="339"/>
    <x v="374"/>
    <x v="372"/>
    <x v="372"/>
    <x v="367"/>
    <n v="175"/>
    <n v="450"/>
    <n v="78750"/>
    <x v="0"/>
  </r>
  <r>
    <x v="7"/>
    <x v="339"/>
    <x v="0"/>
    <x v="340"/>
    <x v="375"/>
    <x v="373"/>
    <x v="373"/>
    <x v="368"/>
    <n v="48700"/>
    <n v="350"/>
    <n v="17045000"/>
    <x v="0"/>
  </r>
  <r>
    <x v="7"/>
    <x v="20"/>
    <x v="5"/>
    <x v="341"/>
    <x v="376"/>
    <x v="374"/>
    <x v="374"/>
    <x v="369"/>
    <n v="41925"/>
    <n v="550"/>
    <n v="23058750"/>
    <x v="2"/>
  </r>
  <r>
    <x v="7"/>
    <x v="340"/>
    <x v="1"/>
    <x v="342"/>
    <x v="377"/>
    <x v="375"/>
    <x v="375"/>
    <x v="370"/>
    <n v="25025"/>
    <n v="350"/>
    <n v="8758750"/>
    <x v="0"/>
  </r>
  <r>
    <x v="7"/>
    <x v="341"/>
    <x v="4"/>
    <x v="14"/>
    <x v="378"/>
    <x v="376"/>
    <x v="376"/>
    <x v="371"/>
    <n v="4150"/>
    <n v="450"/>
    <n v="1867500"/>
    <x v="2"/>
  </r>
  <r>
    <x v="7"/>
    <x v="342"/>
    <x v="7"/>
    <x v="343"/>
    <x v="379"/>
    <x v="377"/>
    <x v="377"/>
    <x v="372"/>
    <n v="7625"/>
    <n v="350"/>
    <n v="2668750"/>
    <x v="0"/>
  </r>
  <r>
    <x v="7"/>
    <x v="20"/>
    <x v="5"/>
    <x v="344"/>
    <x v="380"/>
    <x v="378"/>
    <x v="378"/>
    <x v="373"/>
    <n v="16825"/>
    <n v="550"/>
    <n v="9253750"/>
    <x v="2"/>
  </r>
  <r>
    <x v="7"/>
    <x v="343"/>
    <x v="2"/>
    <x v="345"/>
    <x v="381"/>
    <x v="379"/>
    <x v="379"/>
    <x v="374"/>
    <n v="15650"/>
    <n v="450"/>
    <n v="7042500"/>
    <x v="0"/>
  </r>
  <r>
    <x v="7"/>
    <x v="344"/>
    <x v="0"/>
    <x v="346"/>
    <x v="382"/>
    <x v="380"/>
    <x v="380"/>
    <x v="375"/>
    <n v="50225"/>
    <n v="350"/>
    <n v="17578750"/>
    <x v="0"/>
  </r>
  <r>
    <x v="7"/>
    <x v="345"/>
    <x v="0"/>
    <x v="347"/>
    <x v="383"/>
    <x v="381"/>
    <x v="381"/>
    <x v="376"/>
    <n v="38400"/>
    <n v="350"/>
    <n v="13440000"/>
    <x v="0"/>
  </r>
  <r>
    <x v="7"/>
    <x v="346"/>
    <x v="7"/>
    <x v="348"/>
    <x v="384"/>
    <x v="382"/>
    <x v="382"/>
    <x v="377"/>
    <n v="51800"/>
    <n v="350"/>
    <n v="18130000"/>
    <x v="0"/>
  </r>
  <r>
    <x v="7"/>
    <x v="347"/>
    <x v="7"/>
    <x v="349"/>
    <x v="385"/>
    <x v="383"/>
    <x v="383"/>
    <x v="378"/>
    <n v="41200"/>
    <n v="350"/>
    <n v="14420000"/>
    <x v="0"/>
  </r>
  <r>
    <x v="7"/>
    <x v="348"/>
    <x v="2"/>
    <x v="63"/>
    <x v="386"/>
    <x v="384"/>
    <x v="384"/>
    <x v="379"/>
    <n v="12525"/>
    <n v="450"/>
    <n v="5636250"/>
    <x v="0"/>
  </r>
  <r>
    <x v="7"/>
    <x v="349"/>
    <x v="0"/>
    <x v="284"/>
    <x v="387"/>
    <x v="385"/>
    <x v="385"/>
    <x v="380"/>
    <n v="68025"/>
    <n v="350"/>
    <n v="23808750"/>
    <x v="0"/>
  </r>
  <r>
    <x v="7"/>
    <x v="350"/>
    <x v="7"/>
    <x v="350"/>
    <x v="388"/>
    <x v="386"/>
    <x v="386"/>
    <x v="381"/>
    <n v="74825"/>
    <n v="350"/>
    <n v="26188750"/>
    <x v="0"/>
  </r>
  <r>
    <x v="7"/>
    <x v="58"/>
    <x v="2"/>
    <x v="351"/>
    <x v="389"/>
    <x v="387"/>
    <x v="387"/>
    <x v="382"/>
    <n v="76550"/>
    <n v="450"/>
    <n v="34447500"/>
    <x v="0"/>
  </r>
  <r>
    <x v="7"/>
    <x v="351"/>
    <x v="14"/>
    <x v="352"/>
    <x v="390"/>
    <x v="388"/>
    <x v="388"/>
    <x v="383"/>
    <n v="9025"/>
    <n v="550"/>
    <n v="4963750"/>
    <x v="2"/>
  </r>
  <r>
    <x v="7"/>
    <x v="352"/>
    <x v="8"/>
    <x v="353"/>
    <x v="391"/>
    <x v="389"/>
    <x v="389"/>
    <x v="384"/>
    <n v="33075"/>
    <n v="350"/>
    <n v="11576250"/>
    <x v="0"/>
  </r>
  <r>
    <x v="7"/>
    <x v="353"/>
    <x v="0"/>
    <x v="354"/>
    <x v="392"/>
    <x v="390"/>
    <x v="390"/>
    <x v="385"/>
    <n v="5875"/>
    <n v="350"/>
    <n v="2056250"/>
    <x v="0"/>
  </r>
  <r>
    <x v="7"/>
    <x v="354"/>
    <x v="2"/>
    <x v="355"/>
    <x v="393"/>
    <x v="391"/>
    <x v="391"/>
    <x v="386"/>
    <n v="2875"/>
    <n v="450"/>
    <n v="1293750"/>
    <x v="0"/>
  </r>
  <r>
    <x v="7"/>
    <x v="355"/>
    <x v="2"/>
    <x v="168"/>
    <x v="394"/>
    <x v="392"/>
    <x v="392"/>
    <x v="173"/>
    <n v="150775"/>
    <n v="450"/>
    <n v="67848750"/>
    <x v="0"/>
  </r>
  <r>
    <x v="7"/>
    <x v="356"/>
    <x v="5"/>
    <x v="356"/>
    <x v="395"/>
    <x v="393"/>
    <x v="393"/>
    <x v="387"/>
    <n v="50725"/>
    <n v="550"/>
    <n v="27898750"/>
    <x v="2"/>
  </r>
  <r>
    <x v="7"/>
    <x v="357"/>
    <x v="0"/>
    <x v="357"/>
    <x v="396"/>
    <x v="394"/>
    <x v="394"/>
    <x v="388"/>
    <n v="40550"/>
    <n v="350"/>
    <n v="14192500"/>
    <x v="0"/>
  </r>
  <r>
    <x v="7"/>
    <x v="358"/>
    <x v="8"/>
    <x v="358"/>
    <x v="397"/>
    <x v="395"/>
    <x v="395"/>
    <x v="389"/>
    <n v="30400"/>
    <n v="350"/>
    <n v="10640000"/>
    <x v="0"/>
  </r>
  <r>
    <x v="7"/>
    <x v="336"/>
    <x v="1"/>
    <x v="354"/>
    <x v="398"/>
    <x v="396"/>
    <x v="396"/>
    <x v="150"/>
    <n v="5875"/>
    <n v="350"/>
    <n v="2056250"/>
    <x v="0"/>
  </r>
  <r>
    <x v="7"/>
    <x v="359"/>
    <x v="13"/>
    <x v="279"/>
    <x v="399"/>
    <x v="397"/>
    <x v="397"/>
    <x v="390"/>
    <n v="3900"/>
    <n v="550"/>
    <n v="2145000"/>
    <x v="2"/>
  </r>
  <r>
    <x v="7"/>
    <x v="20"/>
    <x v="14"/>
    <x v="359"/>
    <x v="400"/>
    <x v="398"/>
    <x v="398"/>
    <x v="391"/>
    <n v="34500"/>
    <n v="550"/>
    <n v="18975000"/>
    <x v="2"/>
  </r>
  <r>
    <x v="7"/>
    <x v="360"/>
    <x v="8"/>
    <x v="360"/>
    <x v="401"/>
    <x v="399"/>
    <x v="399"/>
    <x v="392"/>
    <n v="124150"/>
    <n v="350"/>
    <n v="43452500"/>
    <x v="0"/>
  </r>
  <r>
    <x v="7"/>
    <x v="361"/>
    <x v="6"/>
    <x v="361"/>
    <x v="402"/>
    <x v="400"/>
    <x v="400"/>
    <x v="393"/>
    <n v="12075"/>
    <n v="450"/>
    <n v="5433750"/>
    <x v="2"/>
  </r>
  <r>
    <x v="7"/>
    <x v="362"/>
    <x v="4"/>
    <x v="91"/>
    <x v="403"/>
    <x v="401"/>
    <x v="401"/>
    <x v="93"/>
    <n v="15475"/>
    <n v="450"/>
    <n v="6963750"/>
    <x v="2"/>
  </r>
  <r>
    <x v="7"/>
    <x v="363"/>
    <x v="8"/>
    <x v="362"/>
    <x v="404"/>
    <x v="402"/>
    <x v="402"/>
    <x v="394"/>
    <n v="13500"/>
    <n v="350"/>
    <n v="4725000"/>
    <x v="0"/>
  </r>
  <r>
    <x v="7"/>
    <x v="364"/>
    <x v="6"/>
    <x v="363"/>
    <x v="405"/>
    <x v="403"/>
    <x v="403"/>
    <x v="395"/>
    <n v="1675"/>
    <n v="450"/>
    <n v="753750"/>
    <x v="2"/>
  </r>
  <r>
    <x v="7"/>
    <x v="365"/>
    <x v="5"/>
    <x v="85"/>
    <x v="406"/>
    <x v="404"/>
    <x v="404"/>
    <x v="86"/>
    <n v="2525"/>
    <n v="550"/>
    <n v="1388750"/>
    <x v="2"/>
  </r>
  <r>
    <x v="7"/>
    <x v="366"/>
    <x v="7"/>
    <x v="364"/>
    <x v="407"/>
    <x v="405"/>
    <x v="405"/>
    <x v="396"/>
    <n v="5125"/>
    <n v="350"/>
    <n v="1793750"/>
    <x v="0"/>
  </r>
  <r>
    <x v="7"/>
    <x v="367"/>
    <x v="14"/>
    <x v="365"/>
    <x v="408"/>
    <x v="406"/>
    <x v="406"/>
    <x v="397"/>
    <n v="1425"/>
    <n v="550"/>
    <n v="783750"/>
    <x v="2"/>
  </r>
  <r>
    <x v="7"/>
    <x v="368"/>
    <x v="0"/>
    <x v="366"/>
    <x v="409"/>
    <x v="407"/>
    <x v="407"/>
    <x v="398"/>
    <n v="52725"/>
    <n v="350"/>
    <n v="18453750"/>
    <x v="0"/>
  </r>
  <r>
    <x v="7"/>
    <x v="369"/>
    <x v="8"/>
    <x v="365"/>
    <x v="410"/>
    <x v="408"/>
    <x v="408"/>
    <x v="399"/>
    <n v="1425"/>
    <n v="350"/>
    <n v="498750"/>
    <x v="0"/>
  </r>
  <r>
    <x v="7"/>
    <x v="370"/>
    <x v="0"/>
    <x v="367"/>
    <x v="411"/>
    <x v="409"/>
    <x v="409"/>
    <x v="400"/>
    <n v="7925"/>
    <n v="350"/>
    <n v="2773750"/>
    <x v="0"/>
  </r>
  <r>
    <x v="7"/>
    <x v="371"/>
    <x v="2"/>
    <x v="368"/>
    <x v="412"/>
    <x v="410"/>
    <x v="410"/>
    <x v="401"/>
    <n v="1000"/>
    <n v="450"/>
    <n v="450000"/>
    <x v="0"/>
  </r>
  <r>
    <x v="7"/>
    <x v="372"/>
    <x v="2"/>
    <x v="369"/>
    <x v="413"/>
    <x v="411"/>
    <x v="411"/>
    <x v="402"/>
    <n v="650"/>
    <n v="450"/>
    <n v="292500"/>
    <x v="0"/>
  </r>
  <r>
    <x v="7"/>
    <x v="373"/>
    <x v="0"/>
    <x v="318"/>
    <x v="414"/>
    <x v="412"/>
    <x v="412"/>
    <x v="403"/>
    <n v="7700"/>
    <n v="350"/>
    <n v="2695000"/>
    <x v="0"/>
  </r>
  <r>
    <x v="7"/>
    <x v="374"/>
    <x v="7"/>
    <x v="370"/>
    <x v="415"/>
    <x v="413"/>
    <x v="413"/>
    <x v="404"/>
    <n v="46525"/>
    <n v="350"/>
    <n v="16283750"/>
    <x v="0"/>
  </r>
  <r>
    <x v="7"/>
    <x v="375"/>
    <x v="13"/>
    <x v="368"/>
    <x v="416"/>
    <x v="414"/>
    <x v="414"/>
    <x v="405"/>
    <n v="1000"/>
    <n v="550"/>
    <n v="550000"/>
    <x v="2"/>
  </r>
  <r>
    <x v="7"/>
    <x v="376"/>
    <x v="10"/>
    <x v="80"/>
    <x v="417"/>
    <x v="415"/>
    <x v="399"/>
    <x v="406"/>
    <n v="1150"/>
    <n v="550"/>
    <n v="632500"/>
    <x v="2"/>
  </r>
  <r>
    <x v="7"/>
    <x v="377"/>
    <x v="12"/>
    <x v="371"/>
    <x v="418"/>
    <x v="416"/>
    <x v="415"/>
    <x v="407"/>
    <n v="34975"/>
    <n v="250"/>
    <n v="8743750"/>
    <x v="1"/>
  </r>
  <r>
    <x v="7"/>
    <x v="378"/>
    <x v="0"/>
    <x v="372"/>
    <x v="419"/>
    <x v="417"/>
    <x v="416"/>
    <x v="408"/>
    <n v="83625"/>
    <n v="350"/>
    <n v="29268750"/>
    <x v="0"/>
  </r>
  <r>
    <x v="7"/>
    <x v="379"/>
    <x v="9"/>
    <x v="373"/>
    <x v="420"/>
    <x v="418"/>
    <x v="417"/>
    <x v="409"/>
    <n v="21225"/>
    <n v="250"/>
    <n v="5306250"/>
    <x v="1"/>
  </r>
  <r>
    <x v="7"/>
    <x v="274"/>
    <x v="0"/>
    <x v="374"/>
    <x v="421"/>
    <x v="419"/>
    <x v="418"/>
    <x v="410"/>
    <n v="28875"/>
    <n v="350"/>
    <n v="10106250"/>
    <x v="0"/>
  </r>
  <r>
    <x v="7"/>
    <x v="380"/>
    <x v="2"/>
    <x v="232"/>
    <x v="422"/>
    <x v="420"/>
    <x v="419"/>
    <x v="411"/>
    <n v="7025"/>
    <n v="450"/>
    <n v="3161250"/>
    <x v="0"/>
  </r>
  <r>
    <x v="7"/>
    <x v="381"/>
    <x v="8"/>
    <x v="375"/>
    <x v="423"/>
    <x v="421"/>
    <x v="420"/>
    <x v="412"/>
    <n v="55400"/>
    <n v="350"/>
    <n v="19390000"/>
    <x v="0"/>
  </r>
  <r>
    <x v="7"/>
    <x v="382"/>
    <x v="4"/>
    <x v="112"/>
    <x v="424"/>
    <x v="422"/>
    <x v="421"/>
    <x v="413"/>
    <n v="425"/>
    <n v="450"/>
    <n v="191250"/>
    <x v="2"/>
  </r>
  <r>
    <x v="7"/>
    <x v="383"/>
    <x v="0"/>
    <x v="376"/>
    <x v="425"/>
    <x v="423"/>
    <x v="422"/>
    <x v="414"/>
    <n v="3675"/>
    <n v="350"/>
    <n v="1286250"/>
    <x v="0"/>
  </r>
  <r>
    <x v="7"/>
    <x v="384"/>
    <x v="2"/>
    <x v="377"/>
    <x v="426"/>
    <x v="424"/>
    <x v="423"/>
    <x v="415"/>
    <n v="5325"/>
    <n v="450"/>
    <n v="2396250"/>
    <x v="0"/>
  </r>
  <r>
    <x v="7"/>
    <x v="385"/>
    <x v="5"/>
    <x v="337"/>
    <x v="427"/>
    <x v="425"/>
    <x v="424"/>
    <x v="416"/>
    <n v="475"/>
    <n v="550"/>
    <n v="261250"/>
    <x v="2"/>
  </r>
  <r>
    <x v="7"/>
    <x v="386"/>
    <x v="8"/>
    <x v="354"/>
    <x v="428"/>
    <x v="426"/>
    <x v="425"/>
    <x v="417"/>
    <n v="5875"/>
    <n v="350"/>
    <n v="2056250"/>
    <x v="0"/>
  </r>
  <r>
    <x v="7"/>
    <x v="387"/>
    <x v="0"/>
    <x v="378"/>
    <x v="429"/>
    <x v="427"/>
    <x v="426"/>
    <x v="418"/>
    <n v="25900"/>
    <n v="350"/>
    <n v="9065000"/>
    <x v="0"/>
  </r>
  <r>
    <x v="7"/>
    <x v="388"/>
    <x v="6"/>
    <x v="379"/>
    <x v="430"/>
    <x v="428"/>
    <x v="427"/>
    <x v="419"/>
    <n v="850"/>
    <n v="450"/>
    <n v="382500"/>
    <x v="2"/>
  </r>
  <r>
    <x v="7"/>
    <x v="389"/>
    <x v="4"/>
    <x v="380"/>
    <x v="431"/>
    <x v="429"/>
    <x v="428"/>
    <x v="420"/>
    <n v="9750"/>
    <n v="450"/>
    <n v="4387500"/>
    <x v="2"/>
  </r>
  <r>
    <x v="7"/>
    <x v="390"/>
    <x v="0"/>
    <x v="381"/>
    <x v="432"/>
    <x v="430"/>
    <x v="429"/>
    <x v="421"/>
    <n v="232750"/>
    <n v="350"/>
    <n v="81462500"/>
    <x v="0"/>
  </r>
  <r>
    <x v="7"/>
    <x v="391"/>
    <x v="13"/>
    <x v="382"/>
    <x v="433"/>
    <x v="431"/>
    <x v="430"/>
    <x v="422"/>
    <n v="325"/>
    <n v="550"/>
    <n v="178750"/>
    <x v="2"/>
  </r>
  <r>
    <x v="7"/>
    <x v="392"/>
    <x v="14"/>
    <x v="379"/>
    <x v="434"/>
    <x v="432"/>
    <x v="431"/>
    <x v="423"/>
    <n v="850"/>
    <n v="550"/>
    <n v="467500"/>
    <x v="2"/>
  </r>
  <r>
    <x v="8"/>
    <x v="393"/>
    <x v="8"/>
    <x v="383"/>
    <x v="435"/>
    <x v="433"/>
    <x v="432"/>
    <x v="424"/>
    <n v="31000"/>
    <n v="350"/>
    <n v="10850000"/>
    <x v="0"/>
  </r>
  <r>
    <x v="8"/>
    <x v="394"/>
    <x v="6"/>
    <x v="384"/>
    <x v="436"/>
    <x v="434"/>
    <x v="433"/>
    <x v="425"/>
    <n v="64250"/>
    <n v="450"/>
    <n v="28912500"/>
    <x v="2"/>
  </r>
  <r>
    <x v="8"/>
    <x v="20"/>
    <x v="13"/>
    <x v="88"/>
    <x v="437"/>
    <x v="435"/>
    <x v="434"/>
    <x v="426"/>
    <n v="10500"/>
    <n v="550"/>
    <n v="5775000"/>
    <x v="2"/>
  </r>
  <r>
    <x v="8"/>
    <x v="395"/>
    <x v="13"/>
    <x v="73"/>
    <x v="438"/>
    <x v="436"/>
    <x v="435"/>
    <x v="427"/>
    <n v="2350"/>
    <n v="550"/>
    <n v="1292500"/>
    <x v="2"/>
  </r>
  <r>
    <x v="8"/>
    <x v="186"/>
    <x v="0"/>
    <x v="385"/>
    <x v="439"/>
    <x v="437"/>
    <x v="436"/>
    <x v="428"/>
    <n v="38900"/>
    <n v="350"/>
    <n v="13615000"/>
    <x v="0"/>
  </r>
  <r>
    <x v="8"/>
    <x v="396"/>
    <x v="13"/>
    <x v="308"/>
    <x v="440"/>
    <x v="438"/>
    <x v="437"/>
    <x v="429"/>
    <n v="875"/>
    <n v="550"/>
    <n v="481250"/>
    <x v="2"/>
  </r>
  <r>
    <x v="8"/>
    <x v="397"/>
    <x v="7"/>
    <x v="386"/>
    <x v="441"/>
    <x v="439"/>
    <x v="438"/>
    <x v="430"/>
    <n v="29225"/>
    <n v="350"/>
    <n v="10228750"/>
    <x v="0"/>
  </r>
  <r>
    <x v="8"/>
    <x v="398"/>
    <x v="0"/>
    <x v="387"/>
    <x v="442"/>
    <x v="440"/>
    <x v="439"/>
    <x v="431"/>
    <n v="50050"/>
    <n v="350"/>
    <n v="17517500"/>
    <x v="0"/>
  </r>
  <r>
    <x v="8"/>
    <x v="399"/>
    <x v="0"/>
    <x v="388"/>
    <x v="443"/>
    <x v="441"/>
    <x v="440"/>
    <x v="432"/>
    <n v="18550"/>
    <n v="350"/>
    <n v="6492500"/>
    <x v="0"/>
  </r>
  <r>
    <x v="8"/>
    <x v="400"/>
    <x v="6"/>
    <x v="389"/>
    <x v="444"/>
    <x v="442"/>
    <x v="441"/>
    <x v="433"/>
    <n v="56325"/>
    <n v="450"/>
    <n v="25346250"/>
    <x v="2"/>
  </r>
  <r>
    <x v="8"/>
    <x v="401"/>
    <x v="2"/>
    <x v="119"/>
    <x v="445"/>
    <x v="443"/>
    <x v="442"/>
    <x v="434"/>
    <n v="1375"/>
    <n v="450"/>
    <n v="618750"/>
    <x v="0"/>
  </r>
  <r>
    <x v="8"/>
    <x v="402"/>
    <x v="0"/>
    <x v="140"/>
    <x v="446"/>
    <x v="444"/>
    <x v="443"/>
    <x v="143"/>
    <n v="12625"/>
    <n v="350"/>
    <n v="4418750"/>
    <x v="0"/>
  </r>
  <r>
    <x v="8"/>
    <x v="403"/>
    <x v="5"/>
    <x v="191"/>
    <x v="447"/>
    <x v="445"/>
    <x v="444"/>
    <x v="435"/>
    <n v="1775"/>
    <n v="550"/>
    <n v="976250"/>
    <x v="2"/>
  </r>
  <r>
    <x v="8"/>
    <x v="404"/>
    <x v="0"/>
    <x v="390"/>
    <x v="448"/>
    <x v="446"/>
    <x v="445"/>
    <x v="436"/>
    <n v="1300"/>
    <n v="350"/>
    <n v="455000"/>
    <x v="0"/>
  </r>
  <r>
    <x v="8"/>
    <x v="145"/>
    <x v="1"/>
    <x v="391"/>
    <x v="449"/>
    <x v="447"/>
    <x v="446"/>
    <x v="437"/>
    <n v="7075"/>
    <n v="350"/>
    <n v="2476250"/>
    <x v="0"/>
  </r>
  <r>
    <x v="8"/>
    <x v="405"/>
    <x v="14"/>
    <x v="299"/>
    <x v="450"/>
    <x v="448"/>
    <x v="447"/>
    <x v="438"/>
    <n v="1225"/>
    <n v="550"/>
    <n v="673750"/>
    <x v="2"/>
  </r>
  <r>
    <x v="8"/>
    <x v="406"/>
    <x v="8"/>
    <x v="392"/>
    <x v="451"/>
    <x v="449"/>
    <x v="448"/>
    <x v="439"/>
    <n v="16150"/>
    <n v="350"/>
    <n v="5652500"/>
    <x v="0"/>
  </r>
  <r>
    <x v="8"/>
    <x v="66"/>
    <x v="3"/>
    <x v="393"/>
    <x v="452"/>
    <x v="450"/>
    <x v="449"/>
    <x v="440"/>
    <n v="13850"/>
    <n v="250"/>
    <n v="3462500"/>
    <x v="1"/>
  </r>
  <r>
    <x v="8"/>
    <x v="407"/>
    <x v="13"/>
    <x v="369"/>
    <x v="453"/>
    <x v="451"/>
    <x v="450"/>
    <x v="441"/>
    <n v="650"/>
    <n v="550"/>
    <n v="357500"/>
    <x v="2"/>
  </r>
  <r>
    <x v="8"/>
    <x v="58"/>
    <x v="2"/>
    <x v="394"/>
    <x v="454"/>
    <x v="452"/>
    <x v="451"/>
    <x v="442"/>
    <n v="39850"/>
    <n v="450"/>
    <n v="17932500"/>
    <x v="0"/>
  </r>
  <r>
    <x v="8"/>
    <x v="408"/>
    <x v="1"/>
    <x v="395"/>
    <x v="455"/>
    <x v="453"/>
    <x v="452"/>
    <x v="443"/>
    <n v="65000"/>
    <n v="350"/>
    <n v="22750000"/>
    <x v="0"/>
  </r>
  <r>
    <x v="8"/>
    <x v="409"/>
    <x v="0"/>
    <x v="299"/>
    <x v="456"/>
    <x v="454"/>
    <x v="453"/>
    <x v="444"/>
    <n v="1225"/>
    <n v="350"/>
    <n v="428750"/>
    <x v="0"/>
  </r>
  <r>
    <x v="8"/>
    <x v="410"/>
    <x v="13"/>
    <x v="369"/>
    <x v="457"/>
    <x v="455"/>
    <x v="454"/>
    <x v="441"/>
    <n v="650"/>
    <n v="550"/>
    <n v="357500"/>
    <x v="2"/>
  </r>
  <r>
    <x v="8"/>
    <x v="411"/>
    <x v="10"/>
    <x v="131"/>
    <x v="458"/>
    <x v="456"/>
    <x v="455"/>
    <x v="445"/>
    <n v="625"/>
    <n v="550"/>
    <n v="343750"/>
    <x v="2"/>
  </r>
  <r>
    <x v="8"/>
    <x v="412"/>
    <x v="3"/>
    <x v="396"/>
    <x v="459"/>
    <x v="457"/>
    <x v="456"/>
    <x v="446"/>
    <n v="34850"/>
    <n v="250"/>
    <n v="8712500"/>
    <x v="1"/>
  </r>
  <r>
    <x v="8"/>
    <x v="413"/>
    <x v="1"/>
    <x v="397"/>
    <x v="460"/>
    <x v="458"/>
    <x v="457"/>
    <x v="447"/>
    <n v="128475"/>
    <n v="350"/>
    <n v="44966250"/>
    <x v="0"/>
  </r>
  <r>
    <x v="8"/>
    <x v="20"/>
    <x v="14"/>
    <x v="398"/>
    <x v="461"/>
    <x v="459"/>
    <x v="458"/>
    <x v="448"/>
    <n v="4250"/>
    <n v="550"/>
    <n v="2337500"/>
    <x v="2"/>
  </r>
  <r>
    <x v="8"/>
    <x v="414"/>
    <x v="5"/>
    <x v="399"/>
    <x v="462"/>
    <x v="460"/>
    <x v="459"/>
    <x v="449"/>
    <n v="1075"/>
    <n v="550"/>
    <n v="591250"/>
    <x v="2"/>
  </r>
  <r>
    <x v="8"/>
    <x v="415"/>
    <x v="8"/>
    <x v="400"/>
    <x v="463"/>
    <x v="461"/>
    <x v="460"/>
    <x v="450"/>
    <n v="9975"/>
    <n v="350"/>
    <n v="3491250"/>
    <x v="0"/>
  </r>
  <r>
    <x v="8"/>
    <x v="416"/>
    <x v="6"/>
    <x v="401"/>
    <x v="464"/>
    <x v="462"/>
    <x v="461"/>
    <x v="451"/>
    <n v="1050"/>
    <n v="450"/>
    <n v="472500"/>
    <x v="2"/>
  </r>
  <r>
    <x v="8"/>
    <x v="417"/>
    <x v="12"/>
    <x v="402"/>
    <x v="465"/>
    <x v="463"/>
    <x v="462"/>
    <x v="452"/>
    <n v="1350"/>
    <n v="250"/>
    <n v="337500"/>
    <x v="1"/>
  </r>
  <r>
    <x v="8"/>
    <x v="418"/>
    <x v="0"/>
    <x v="403"/>
    <x v="466"/>
    <x v="464"/>
    <x v="463"/>
    <x v="453"/>
    <n v="153225"/>
    <n v="350"/>
    <n v="53628750"/>
    <x v="0"/>
  </r>
  <r>
    <x v="8"/>
    <x v="419"/>
    <x v="8"/>
    <x v="404"/>
    <x v="467"/>
    <x v="465"/>
    <x v="464"/>
    <x v="454"/>
    <n v="4425"/>
    <n v="350"/>
    <n v="1548750"/>
    <x v="0"/>
  </r>
  <r>
    <x v="8"/>
    <x v="420"/>
    <x v="1"/>
    <x v="405"/>
    <x v="468"/>
    <x v="466"/>
    <x v="465"/>
    <x v="455"/>
    <n v="39325"/>
    <n v="350"/>
    <n v="13763750"/>
    <x v="0"/>
  </r>
  <r>
    <x v="8"/>
    <x v="421"/>
    <x v="2"/>
    <x v="406"/>
    <x v="469"/>
    <x v="467"/>
    <x v="466"/>
    <x v="456"/>
    <n v="29950"/>
    <n v="450"/>
    <n v="13477500"/>
    <x v="0"/>
  </r>
  <r>
    <x v="8"/>
    <x v="422"/>
    <x v="8"/>
    <x v="407"/>
    <x v="470"/>
    <x v="468"/>
    <x v="467"/>
    <x v="457"/>
    <n v="1175"/>
    <n v="350"/>
    <n v="411250"/>
    <x v="0"/>
  </r>
  <r>
    <x v="8"/>
    <x v="423"/>
    <x v="17"/>
    <x v="408"/>
    <x v="471"/>
    <x v="469"/>
    <x v="468"/>
    <x v="458"/>
    <n v="0"/>
    <n v="250"/>
    <n v="0"/>
    <x v="1"/>
  </r>
  <r>
    <x v="8"/>
    <x v="424"/>
    <x v="2"/>
    <x v="103"/>
    <x v="472"/>
    <x v="470"/>
    <x v="469"/>
    <x v="459"/>
    <n v="2925"/>
    <n v="450"/>
    <n v="1316250"/>
    <x v="0"/>
  </r>
  <r>
    <x v="8"/>
    <x v="425"/>
    <x v="10"/>
    <x v="409"/>
    <x v="473"/>
    <x v="471"/>
    <x v="470"/>
    <x v="460"/>
    <n v="200"/>
    <n v="550"/>
    <n v="110000"/>
    <x v="2"/>
  </r>
  <r>
    <x v="8"/>
    <x v="426"/>
    <x v="5"/>
    <x v="410"/>
    <x v="474"/>
    <x v="472"/>
    <x v="471"/>
    <x v="461"/>
    <n v="1100"/>
    <n v="550"/>
    <n v="605000"/>
    <x v="2"/>
  </r>
  <r>
    <x v="8"/>
    <x v="427"/>
    <x v="10"/>
    <x v="112"/>
    <x v="475"/>
    <x v="473"/>
    <x v="472"/>
    <x v="462"/>
    <n v="425"/>
    <n v="550"/>
    <n v="233750"/>
    <x v="2"/>
  </r>
  <r>
    <x v="8"/>
    <x v="428"/>
    <x v="10"/>
    <x v="188"/>
    <x v="476"/>
    <x v="474"/>
    <x v="473"/>
    <x v="463"/>
    <n v="275"/>
    <n v="550"/>
    <n v="151250"/>
    <x v="2"/>
  </r>
  <r>
    <x v="8"/>
    <x v="429"/>
    <x v="0"/>
    <x v="121"/>
    <x v="477"/>
    <x v="475"/>
    <x v="474"/>
    <x v="464"/>
    <n v="950"/>
    <n v="350"/>
    <n v="332500"/>
    <x v="0"/>
  </r>
  <r>
    <x v="8"/>
    <x v="430"/>
    <x v="12"/>
    <x v="214"/>
    <x v="478"/>
    <x v="476"/>
    <x v="475"/>
    <x v="465"/>
    <n v="2600"/>
    <n v="250"/>
    <n v="650000"/>
    <x v="1"/>
  </r>
  <r>
    <x v="8"/>
    <x v="431"/>
    <x v="10"/>
    <x v="324"/>
    <x v="479"/>
    <x v="477"/>
    <x v="476"/>
    <x v="466"/>
    <n v="50"/>
    <n v="550"/>
    <n v="27500"/>
    <x v="2"/>
  </r>
  <r>
    <x v="8"/>
    <x v="43"/>
    <x v="2"/>
    <x v="411"/>
    <x v="480"/>
    <x v="478"/>
    <x v="477"/>
    <x v="467"/>
    <n v="15425"/>
    <n v="450"/>
    <n v="6941250"/>
    <x v="0"/>
  </r>
  <r>
    <x v="8"/>
    <x v="432"/>
    <x v="0"/>
    <x v="38"/>
    <x v="481"/>
    <x v="479"/>
    <x v="478"/>
    <x v="468"/>
    <n v="1650"/>
    <n v="350"/>
    <n v="577500"/>
    <x v="0"/>
  </r>
  <r>
    <x v="8"/>
    <x v="433"/>
    <x v="12"/>
    <x v="412"/>
    <x v="482"/>
    <x v="480"/>
    <x v="479"/>
    <x v="469"/>
    <n v="14850"/>
    <n v="250"/>
    <n v="3712500"/>
    <x v="1"/>
  </r>
  <r>
    <x v="8"/>
    <x v="434"/>
    <x v="14"/>
    <x v="413"/>
    <x v="483"/>
    <x v="481"/>
    <x v="480"/>
    <x v="470"/>
    <n v="75"/>
    <n v="550"/>
    <n v="41250"/>
    <x v="2"/>
  </r>
  <r>
    <x v="8"/>
    <x v="435"/>
    <x v="9"/>
    <x v="332"/>
    <x v="484"/>
    <x v="482"/>
    <x v="481"/>
    <x v="471"/>
    <n v="2575"/>
    <n v="250"/>
    <n v="643750"/>
    <x v="1"/>
  </r>
  <r>
    <x v="8"/>
    <x v="285"/>
    <x v="8"/>
    <x v="289"/>
    <x v="309"/>
    <x v="308"/>
    <x v="308"/>
    <x v="304"/>
    <n v="1275"/>
    <n v="350"/>
    <n v="446250"/>
    <x v="0"/>
  </r>
  <r>
    <x v="8"/>
    <x v="436"/>
    <x v="9"/>
    <x v="402"/>
    <x v="485"/>
    <x v="483"/>
    <x v="482"/>
    <x v="472"/>
    <n v="1350"/>
    <n v="250"/>
    <n v="337500"/>
    <x v="1"/>
  </r>
  <r>
    <x v="8"/>
    <x v="437"/>
    <x v="13"/>
    <x v="414"/>
    <x v="486"/>
    <x v="484"/>
    <x v="483"/>
    <x v="473"/>
    <n v="13075"/>
    <n v="550"/>
    <n v="7191250"/>
    <x v="2"/>
  </r>
  <r>
    <x v="8"/>
    <x v="438"/>
    <x v="14"/>
    <x v="413"/>
    <x v="487"/>
    <x v="485"/>
    <x v="484"/>
    <x v="470"/>
    <n v="75"/>
    <n v="550"/>
    <n v="41250"/>
    <x v="2"/>
  </r>
  <r>
    <x v="8"/>
    <x v="439"/>
    <x v="0"/>
    <x v="112"/>
    <x v="488"/>
    <x v="486"/>
    <x v="485"/>
    <x v="474"/>
    <n v="425"/>
    <n v="350"/>
    <n v="148750"/>
    <x v="0"/>
  </r>
  <r>
    <x v="8"/>
    <x v="440"/>
    <x v="5"/>
    <x v="193"/>
    <x v="489"/>
    <x v="487"/>
    <x v="486"/>
    <x v="475"/>
    <n v="150"/>
    <n v="550"/>
    <n v="82500"/>
    <x v="2"/>
  </r>
  <r>
    <x v="8"/>
    <x v="441"/>
    <x v="1"/>
    <x v="415"/>
    <x v="490"/>
    <x v="488"/>
    <x v="487"/>
    <x v="476"/>
    <n v="250"/>
    <n v="350"/>
    <n v="87500"/>
    <x v="0"/>
  </r>
  <r>
    <x v="8"/>
    <x v="442"/>
    <x v="5"/>
    <x v="416"/>
    <x v="491"/>
    <x v="489"/>
    <x v="488"/>
    <x v="477"/>
    <n v="1975"/>
    <n v="550"/>
    <n v="1086250"/>
    <x v="2"/>
  </r>
  <r>
    <x v="8"/>
    <x v="443"/>
    <x v="7"/>
    <x v="417"/>
    <x v="492"/>
    <x v="490"/>
    <x v="489"/>
    <x v="478"/>
    <n v="1575"/>
    <n v="350"/>
    <n v="551250"/>
    <x v="0"/>
  </r>
  <r>
    <x v="8"/>
    <x v="444"/>
    <x v="1"/>
    <x v="418"/>
    <x v="493"/>
    <x v="491"/>
    <x v="490"/>
    <x v="479"/>
    <n v="103975"/>
    <n v="350"/>
    <n v="36391250"/>
    <x v="0"/>
  </r>
  <r>
    <x v="9"/>
    <x v="445"/>
    <x v="1"/>
    <x v="419"/>
    <x v="494"/>
    <x v="492"/>
    <x v="491"/>
    <x v="480"/>
    <n v="13325"/>
    <n v="350"/>
    <n v="4663750"/>
    <x v="0"/>
  </r>
  <r>
    <x v="9"/>
    <x v="446"/>
    <x v="14"/>
    <x v="420"/>
    <x v="495"/>
    <x v="493"/>
    <x v="492"/>
    <x v="481"/>
    <n v="34200"/>
    <n v="550"/>
    <n v="18810000"/>
    <x v="2"/>
  </r>
  <r>
    <x v="9"/>
    <x v="447"/>
    <x v="3"/>
    <x v="421"/>
    <x v="496"/>
    <x v="494"/>
    <x v="493"/>
    <x v="482"/>
    <n v="8925"/>
    <n v="250"/>
    <n v="2231250"/>
    <x v="1"/>
  </r>
  <r>
    <x v="9"/>
    <x v="448"/>
    <x v="0"/>
    <x v="422"/>
    <x v="497"/>
    <x v="495"/>
    <x v="494"/>
    <x v="483"/>
    <n v="42475"/>
    <n v="350"/>
    <n v="14866250"/>
    <x v="0"/>
  </r>
  <r>
    <x v="9"/>
    <x v="449"/>
    <x v="8"/>
    <x v="423"/>
    <x v="498"/>
    <x v="496"/>
    <x v="495"/>
    <x v="484"/>
    <n v="63450"/>
    <n v="350"/>
    <n v="22207500"/>
    <x v="0"/>
  </r>
  <r>
    <x v="9"/>
    <x v="450"/>
    <x v="5"/>
    <x v="424"/>
    <x v="499"/>
    <x v="497"/>
    <x v="496"/>
    <x v="485"/>
    <n v="3175"/>
    <n v="550"/>
    <n v="1746250"/>
    <x v="2"/>
  </r>
  <r>
    <x v="9"/>
    <x v="451"/>
    <x v="7"/>
    <x v="425"/>
    <x v="500"/>
    <x v="498"/>
    <x v="497"/>
    <x v="486"/>
    <n v="12275"/>
    <n v="350"/>
    <n v="4296250"/>
    <x v="0"/>
  </r>
  <r>
    <x v="9"/>
    <x v="452"/>
    <x v="3"/>
    <x v="426"/>
    <x v="501"/>
    <x v="499"/>
    <x v="498"/>
    <x v="487"/>
    <n v="244750"/>
    <n v="250"/>
    <n v="61187500"/>
    <x v="1"/>
  </r>
  <r>
    <x v="9"/>
    <x v="453"/>
    <x v="6"/>
    <x v="427"/>
    <x v="502"/>
    <x v="500"/>
    <x v="499"/>
    <x v="488"/>
    <n v="4300"/>
    <n v="450"/>
    <n v="1935000"/>
    <x v="2"/>
  </r>
  <r>
    <x v="9"/>
    <x v="454"/>
    <x v="2"/>
    <x v="85"/>
    <x v="503"/>
    <x v="501"/>
    <x v="500"/>
    <x v="489"/>
    <n v="2525"/>
    <n v="450"/>
    <n v="1136250"/>
    <x v="0"/>
  </r>
  <r>
    <x v="9"/>
    <x v="455"/>
    <x v="7"/>
    <x v="428"/>
    <x v="504"/>
    <x v="502"/>
    <x v="501"/>
    <x v="490"/>
    <n v="3275"/>
    <n v="350"/>
    <n v="1146250"/>
    <x v="0"/>
  </r>
  <r>
    <x v="9"/>
    <x v="20"/>
    <x v="5"/>
    <x v="429"/>
    <x v="505"/>
    <x v="503"/>
    <x v="502"/>
    <x v="491"/>
    <n v="19650"/>
    <n v="550"/>
    <n v="10807500"/>
    <x v="2"/>
  </r>
  <r>
    <x v="9"/>
    <x v="456"/>
    <x v="6"/>
    <x v="430"/>
    <x v="506"/>
    <x v="504"/>
    <x v="503"/>
    <x v="492"/>
    <n v="20200"/>
    <n v="450"/>
    <n v="9090000"/>
    <x v="2"/>
  </r>
  <r>
    <x v="9"/>
    <x v="457"/>
    <x v="1"/>
    <x v="270"/>
    <x v="507"/>
    <x v="505"/>
    <x v="504"/>
    <x v="493"/>
    <n v="2325"/>
    <n v="350"/>
    <n v="813750"/>
    <x v="0"/>
  </r>
  <r>
    <x v="9"/>
    <x v="458"/>
    <x v="5"/>
    <x v="431"/>
    <x v="508"/>
    <x v="506"/>
    <x v="505"/>
    <x v="494"/>
    <n v="1625"/>
    <n v="550"/>
    <n v="893750"/>
    <x v="2"/>
  </r>
  <r>
    <x v="9"/>
    <x v="459"/>
    <x v="0"/>
    <x v="84"/>
    <x v="509"/>
    <x v="507"/>
    <x v="506"/>
    <x v="85"/>
    <n v="3600"/>
    <n v="350"/>
    <n v="1260000"/>
    <x v="0"/>
  </r>
  <r>
    <x v="9"/>
    <x v="460"/>
    <x v="4"/>
    <x v="191"/>
    <x v="510"/>
    <x v="508"/>
    <x v="507"/>
    <x v="495"/>
    <n v="1775"/>
    <n v="450"/>
    <n v="798750"/>
    <x v="2"/>
  </r>
  <r>
    <x v="9"/>
    <x v="82"/>
    <x v="1"/>
    <x v="430"/>
    <x v="511"/>
    <x v="509"/>
    <x v="508"/>
    <x v="496"/>
    <n v="20200"/>
    <n v="350"/>
    <n v="7070000"/>
    <x v="0"/>
  </r>
  <r>
    <x v="9"/>
    <x v="461"/>
    <x v="12"/>
    <x v="432"/>
    <x v="512"/>
    <x v="510"/>
    <x v="509"/>
    <x v="497"/>
    <n v="7150"/>
    <n v="250"/>
    <n v="1787500"/>
    <x v="1"/>
  </r>
  <r>
    <x v="9"/>
    <x v="462"/>
    <x v="7"/>
    <x v="433"/>
    <x v="513"/>
    <x v="511"/>
    <x v="510"/>
    <x v="498"/>
    <n v="2075"/>
    <n v="350"/>
    <n v="726250"/>
    <x v="0"/>
  </r>
  <r>
    <x v="9"/>
    <x v="350"/>
    <x v="12"/>
    <x v="434"/>
    <x v="514"/>
    <x v="512"/>
    <x v="511"/>
    <x v="499"/>
    <n v="4625"/>
    <n v="250"/>
    <n v="1156250"/>
    <x v="1"/>
  </r>
  <r>
    <x v="9"/>
    <x v="463"/>
    <x v="0"/>
    <x v="271"/>
    <x v="515"/>
    <x v="513"/>
    <x v="512"/>
    <x v="500"/>
    <n v="2275"/>
    <n v="350"/>
    <n v="796250"/>
    <x v="0"/>
  </r>
  <r>
    <x v="9"/>
    <x v="464"/>
    <x v="14"/>
    <x v="435"/>
    <x v="516"/>
    <x v="495"/>
    <x v="494"/>
    <x v="501"/>
    <n v="3250"/>
    <n v="550"/>
    <n v="1787500"/>
    <x v="2"/>
  </r>
  <r>
    <x v="9"/>
    <x v="400"/>
    <x v="6"/>
    <x v="389"/>
    <x v="444"/>
    <x v="442"/>
    <x v="441"/>
    <x v="433"/>
    <n v="56325"/>
    <n v="450"/>
    <n v="25346250"/>
    <x v="2"/>
  </r>
  <r>
    <x v="9"/>
    <x v="465"/>
    <x v="0"/>
    <x v="112"/>
    <x v="517"/>
    <x v="514"/>
    <x v="513"/>
    <x v="474"/>
    <n v="425"/>
    <n v="350"/>
    <n v="148750"/>
    <x v="0"/>
  </r>
  <r>
    <x v="9"/>
    <x v="466"/>
    <x v="14"/>
    <x v="410"/>
    <x v="518"/>
    <x v="515"/>
    <x v="514"/>
    <x v="502"/>
    <n v="1100"/>
    <n v="550"/>
    <n v="605000"/>
    <x v="2"/>
  </r>
  <r>
    <x v="9"/>
    <x v="467"/>
    <x v="13"/>
    <x v="436"/>
    <x v="519"/>
    <x v="516"/>
    <x v="515"/>
    <x v="503"/>
    <n v="3150"/>
    <n v="550"/>
    <n v="1732500"/>
    <x v="2"/>
  </r>
  <r>
    <x v="9"/>
    <x v="468"/>
    <x v="2"/>
    <x v="437"/>
    <x v="520"/>
    <x v="517"/>
    <x v="516"/>
    <x v="504"/>
    <n v="10025"/>
    <n v="450"/>
    <n v="4511250"/>
    <x v="0"/>
  </r>
  <r>
    <x v="9"/>
    <x v="58"/>
    <x v="1"/>
    <x v="438"/>
    <x v="521"/>
    <x v="518"/>
    <x v="517"/>
    <x v="505"/>
    <n v="15750"/>
    <n v="350"/>
    <n v="5512500"/>
    <x v="0"/>
  </r>
  <r>
    <x v="9"/>
    <x v="469"/>
    <x v="8"/>
    <x v="439"/>
    <x v="522"/>
    <x v="519"/>
    <x v="518"/>
    <x v="506"/>
    <n v="251900"/>
    <n v="350"/>
    <n v="88165000"/>
    <x v="0"/>
  </r>
  <r>
    <x v="9"/>
    <x v="470"/>
    <x v="7"/>
    <x v="440"/>
    <x v="523"/>
    <x v="520"/>
    <x v="519"/>
    <x v="507"/>
    <n v="10700"/>
    <n v="350"/>
    <n v="3745000"/>
    <x v="0"/>
  </r>
  <r>
    <x v="9"/>
    <x v="471"/>
    <x v="2"/>
    <x v="241"/>
    <x v="524"/>
    <x v="521"/>
    <x v="520"/>
    <x v="508"/>
    <n v="2000"/>
    <n v="450"/>
    <n v="900000"/>
    <x v="0"/>
  </r>
  <r>
    <x v="9"/>
    <x v="472"/>
    <x v="7"/>
    <x v="441"/>
    <x v="525"/>
    <x v="522"/>
    <x v="521"/>
    <x v="509"/>
    <n v="51400"/>
    <n v="350"/>
    <n v="17990000"/>
    <x v="0"/>
  </r>
  <r>
    <x v="9"/>
    <x v="473"/>
    <x v="0"/>
    <x v="442"/>
    <x v="526"/>
    <x v="523"/>
    <x v="522"/>
    <x v="510"/>
    <n v="3750"/>
    <n v="350"/>
    <n v="1312500"/>
    <x v="0"/>
  </r>
  <r>
    <x v="9"/>
    <x v="474"/>
    <x v="6"/>
    <x v="330"/>
    <x v="527"/>
    <x v="524"/>
    <x v="523"/>
    <x v="356"/>
    <n v="975"/>
    <n v="450"/>
    <n v="438750"/>
    <x v="2"/>
  </r>
  <r>
    <x v="9"/>
    <x v="475"/>
    <x v="14"/>
    <x v="369"/>
    <x v="528"/>
    <x v="525"/>
    <x v="524"/>
    <x v="511"/>
    <n v="650"/>
    <n v="550"/>
    <n v="357500"/>
    <x v="2"/>
  </r>
  <r>
    <x v="9"/>
    <x v="476"/>
    <x v="13"/>
    <x v="245"/>
    <x v="529"/>
    <x v="526"/>
    <x v="525"/>
    <x v="512"/>
    <n v="1750"/>
    <n v="550"/>
    <n v="962500"/>
    <x v="2"/>
  </r>
  <r>
    <x v="9"/>
    <x v="477"/>
    <x v="7"/>
    <x v="443"/>
    <x v="530"/>
    <x v="527"/>
    <x v="526"/>
    <x v="513"/>
    <n v="20800"/>
    <n v="350"/>
    <n v="7280000"/>
    <x v="0"/>
  </r>
  <r>
    <x v="9"/>
    <x v="478"/>
    <x v="11"/>
    <x v="444"/>
    <x v="531"/>
    <x v="528"/>
    <x v="527"/>
    <x v="514"/>
    <n v="6225"/>
    <n v="250"/>
    <n v="1556250"/>
    <x v="1"/>
  </r>
  <r>
    <x v="9"/>
    <x v="479"/>
    <x v="1"/>
    <x v="445"/>
    <x v="532"/>
    <x v="529"/>
    <x v="528"/>
    <x v="515"/>
    <n v="18475"/>
    <n v="350"/>
    <n v="6466250"/>
    <x v="0"/>
  </r>
  <r>
    <x v="9"/>
    <x v="58"/>
    <x v="2"/>
    <x v="446"/>
    <x v="533"/>
    <x v="530"/>
    <x v="529"/>
    <x v="516"/>
    <n v="57675"/>
    <n v="450"/>
    <n v="25953750"/>
    <x v="0"/>
  </r>
  <r>
    <x v="9"/>
    <x v="480"/>
    <x v="4"/>
    <x v="447"/>
    <x v="534"/>
    <x v="531"/>
    <x v="530"/>
    <x v="517"/>
    <n v="7100"/>
    <n v="450"/>
    <n v="3195000"/>
    <x v="2"/>
  </r>
  <r>
    <x v="9"/>
    <x v="481"/>
    <x v="2"/>
    <x v="448"/>
    <x v="535"/>
    <x v="532"/>
    <x v="531"/>
    <x v="518"/>
    <n v="78800"/>
    <n v="450"/>
    <n v="35460000"/>
    <x v="0"/>
  </r>
  <r>
    <x v="9"/>
    <x v="463"/>
    <x v="11"/>
    <x v="55"/>
    <x v="536"/>
    <x v="533"/>
    <x v="532"/>
    <x v="56"/>
    <n v="2400"/>
    <n v="250"/>
    <n v="600000"/>
    <x v="1"/>
  </r>
  <r>
    <x v="9"/>
    <x v="482"/>
    <x v="4"/>
    <x v="449"/>
    <x v="537"/>
    <x v="534"/>
    <x v="533"/>
    <x v="519"/>
    <n v="12600"/>
    <n v="450"/>
    <n v="5670000"/>
    <x v="2"/>
  </r>
  <r>
    <x v="9"/>
    <x v="483"/>
    <x v="14"/>
    <x v="38"/>
    <x v="538"/>
    <x v="535"/>
    <x v="534"/>
    <x v="520"/>
    <n v="1650"/>
    <n v="550"/>
    <n v="907500"/>
    <x v="2"/>
  </r>
  <r>
    <x v="9"/>
    <x v="484"/>
    <x v="0"/>
    <x v="450"/>
    <x v="539"/>
    <x v="536"/>
    <x v="535"/>
    <x v="521"/>
    <n v="34700"/>
    <n v="350"/>
    <n v="12145000"/>
    <x v="0"/>
  </r>
  <r>
    <x v="9"/>
    <x v="485"/>
    <x v="12"/>
    <x v="451"/>
    <x v="540"/>
    <x v="537"/>
    <x v="536"/>
    <x v="522"/>
    <n v="23175"/>
    <n v="250"/>
    <n v="5793750"/>
    <x v="1"/>
  </r>
  <r>
    <x v="9"/>
    <x v="486"/>
    <x v="1"/>
    <x v="452"/>
    <x v="541"/>
    <x v="538"/>
    <x v="537"/>
    <x v="523"/>
    <n v="55475"/>
    <n v="350"/>
    <n v="19416250"/>
    <x v="0"/>
  </r>
  <r>
    <x v="9"/>
    <x v="487"/>
    <x v="8"/>
    <x v="11"/>
    <x v="542"/>
    <x v="539"/>
    <x v="538"/>
    <x v="524"/>
    <n v="13550"/>
    <n v="350"/>
    <n v="4742500"/>
    <x v="0"/>
  </r>
  <r>
    <x v="9"/>
    <x v="474"/>
    <x v="8"/>
    <x v="453"/>
    <x v="543"/>
    <x v="540"/>
    <x v="539"/>
    <x v="525"/>
    <n v="825"/>
    <n v="350"/>
    <n v="288750"/>
    <x v="0"/>
  </r>
  <r>
    <x v="9"/>
    <x v="488"/>
    <x v="6"/>
    <x v="454"/>
    <x v="544"/>
    <x v="541"/>
    <x v="540"/>
    <x v="526"/>
    <n v="125025"/>
    <n v="450"/>
    <n v="56261250"/>
    <x v="2"/>
  </r>
  <r>
    <x v="9"/>
    <x v="489"/>
    <x v="1"/>
    <x v="455"/>
    <x v="545"/>
    <x v="495"/>
    <x v="494"/>
    <x v="527"/>
    <n v="24825"/>
    <n v="350"/>
    <n v="8688750"/>
    <x v="0"/>
  </r>
  <r>
    <x v="9"/>
    <x v="490"/>
    <x v="8"/>
    <x v="456"/>
    <x v="546"/>
    <x v="542"/>
    <x v="541"/>
    <x v="528"/>
    <n v="46350"/>
    <n v="350"/>
    <n v="16222500"/>
    <x v="0"/>
  </r>
  <r>
    <x v="9"/>
    <x v="491"/>
    <x v="8"/>
    <x v="134"/>
    <x v="547"/>
    <x v="543"/>
    <x v="542"/>
    <x v="529"/>
    <n v="1550"/>
    <n v="350"/>
    <n v="542500"/>
    <x v="0"/>
  </r>
  <r>
    <x v="9"/>
    <x v="492"/>
    <x v="14"/>
    <x v="457"/>
    <x v="548"/>
    <x v="544"/>
    <x v="543"/>
    <x v="530"/>
    <n v="12825"/>
    <n v="550"/>
    <n v="7053750"/>
    <x v="2"/>
  </r>
  <r>
    <x v="9"/>
    <x v="493"/>
    <x v="1"/>
    <x v="458"/>
    <x v="549"/>
    <x v="545"/>
    <x v="544"/>
    <x v="531"/>
    <n v="10400"/>
    <n v="350"/>
    <n v="3640000"/>
    <x v="0"/>
  </r>
  <r>
    <x v="9"/>
    <x v="494"/>
    <x v="13"/>
    <x v="189"/>
    <x v="550"/>
    <x v="546"/>
    <x v="545"/>
    <x v="532"/>
    <n v="925"/>
    <n v="550"/>
    <n v="508750"/>
    <x v="2"/>
  </r>
  <r>
    <x v="9"/>
    <x v="495"/>
    <x v="0"/>
    <x v="417"/>
    <x v="551"/>
    <x v="547"/>
    <x v="546"/>
    <x v="533"/>
    <n v="1575"/>
    <n v="350"/>
    <n v="551250"/>
    <x v="0"/>
  </r>
  <r>
    <x v="9"/>
    <x v="496"/>
    <x v="10"/>
    <x v="413"/>
    <x v="552"/>
    <x v="548"/>
    <x v="547"/>
    <x v="534"/>
    <n v="75"/>
    <n v="550"/>
    <n v="41250"/>
    <x v="2"/>
  </r>
  <r>
    <x v="10"/>
    <x v="497"/>
    <x v="1"/>
    <x v="459"/>
    <x v="553"/>
    <x v="549"/>
    <x v="548"/>
    <x v="535"/>
    <n v="38225"/>
    <n v="350"/>
    <n v="13378750"/>
    <x v="0"/>
  </r>
  <r>
    <x v="10"/>
    <x v="498"/>
    <x v="7"/>
    <x v="460"/>
    <x v="554"/>
    <x v="550"/>
    <x v="549"/>
    <x v="536"/>
    <n v="44775"/>
    <n v="350"/>
    <n v="15671250"/>
    <x v="0"/>
  </r>
  <r>
    <x v="10"/>
    <x v="499"/>
    <x v="2"/>
    <x v="461"/>
    <x v="555"/>
    <x v="551"/>
    <x v="550"/>
    <x v="537"/>
    <n v="8950"/>
    <n v="450"/>
    <n v="4027500"/>
    <x v="0"/>
  </r>
  <r>
    <x v="10"/>
    <x v="82"/>
    <x v="1"/>
    <x v="462"/>
    <x v="556"/>
    <x v="552"/>
    <x v="551"/>
    <x v="538"/>
    <n v="63725"/>
    <n v="350"/>
    <n v="22303750"/>
    <x v="0"/>
  </r>
  <r>
    <x v="10"/>
    <x v="20"/>
    <x v="5"/>
    <x v="327"/>
    <x v="359"/>
    <x v="357"/>
    <x v="357"/>
    <x v="353"/>
    <n v="27850"/>
    <n v="550"/>
    <n v="15317500"/>
    <x v="2"/>
  </r>
  <r>
    <x v="10"/>
    <x v="500"/>
    <x v="1"/>
    <x v="427"/>
    <x v="557"/>
    <x v="553"/>
    <x v="552"/>
    <x v="539"/>
    <n v="4300"/>
    <n v="350"/>
    <n v="1505000"/>
    <x v="0"/>
  </r>
  <r>
    <x v="10"/>
    <x v="501"/>
    <x v="4"/>
    <x v="463"/>
    <x v="558"/>
    <x v="554"/>
    <x v="553"/>
    <x v="540"/>
    <n v="8850"/>
    <n v="450"/>
    <n v="3982500"/>
    <x v="2"/>
  </r>
  <r>
    <x v="10"/>
    <x v="502"/>
    <x v="1"/>
    <x v="464"/>
    <x v="559"/>
    <x v="555"/>
    <x v="554"/>
    <x v="541"/>
    <n v="6400"/>
    <n v="350"/>
    <n v="2240000"/>
    <x v="0"/>
  </r>
  <r>
    <x v="10"/>
    <x v="503"/>
    <x v="7"/>
    <x v="465"/>
    <x v="560"/>
    <x v="556"/>
    <x v="555"/>
    <x v="542"/>
    <n v="34350"/>
    <n v="350"/>
    <n v="12022500"/>
    <x v="0"/>
  </r>
  <r>
    <x v="10"/>
    <x v="504"/>
    <x v="2"/>
    <x v="466"/>
    <x v="561"/>
    <x v="557"/>
    <x v="556"/>
    <x v="543"/>
    <n v="39625"/>
    <n v="450"/>
    <n v="17831250"/>
    <x v="0"/>
  </r>
  <r>
    <x v="10"/>
    <x v="505"/>
    <x v="8"/>
    <x v="467"/>
    <x v="562"/>
    <x v="558"/>
    <x v="557"/>
    <x v="544"/>
    <n v="186450"/>
    <n v="350"/>
    <n v="65257500"/>
    <x v="0"/>
  </r>
  <r>
    <x v="10"/>
    <x v="506"/>
    <x v="4"/>
    <x v="45"/>
    <x v="563"/>
    <x v="559"/>
    <x v="558"/>
    <x v="545"/>
    <n v="1450"/>
    <n v="450"/>
    <n v="652500"/>
    <x v="2"/>
  </r>
  <r>
    <x v="10"/>
    <x v="507"/>
    <x v="2"/>
    <x v="468"/>
    <x v="564"/>
    <x v="560"/>
    <x v="559"/>
    <x v="546"/>
    <n v="6650"/>
    <n v="450"/>
    <n v="2992500"/>
    <x v="0"/>
  </r>
  <r>
    <x v="10"/>
    <x v="508"/>
    <x v="0"/>
    <x v="303"/>
    <x v="565"/>
    <x v="561"/>
    <x v="560"/>
    <x v="547"/>
    <n v="4000"/>
    <n v="350"/>
    <n v="1400000"/>
    <x v="0"/>
  </r>
  <r>
    <x v="10"/>
    <x v="509"/>
    <x v="1"/>
    <x v="469"/>
    <x v="566"/>
    <x v="562"/>
    <x v="561"/>
    <x v="548"/>
    <n v="3775"/>
    <n v="350"/>
    <n v="1321250"/>
    <x v="0"/>
  </r>
  <r>
    <x v="10"/>
    <x v="510"/>
    <x v="6"/>
    <x v="470"/>
    <x v="567"/>
    <x v="563"/>
    <x v="562"/>
    <x v="549"/>
    <n v="3875"/>
    <n v="450"/>
    <n v="1743750"/>
    <x v="2"/>
  </r>
  <r>
    <x v="10"/>
    <x v="82"/>
    <x v="1"/>
    <x v="471"/>
    <x v="568"/>
    <x v="564"/>
    <x v="563"/>
    <x v="550"/>
    <n v="37525"/>
    <n v="350"/>
    <n v="13133750"/>
    <x v="0"/>
  </r>
  <r>
    <x v="10"/>
    <x v="58"/>
    <x v="6"/>
    <x v="38"/>
    <x v="569"/>
    <x v="565"/>
    <x v="564"/>
    <x v="551"/>
    <n v="1650"/>
    <n v="450"/>
    <n v="742500"/>
    <x v="2"/>
  </r>
  <r>
    <x v="10"/>
    <x v="511"/>
    <x v="4"/>
    <x v="472"/>
    <x v="570"/>
    <x v="566"/>
    <x v="565"/>
    <x v="552"/>
    <n v="4825"/>
    <n v="450"/>
    <n v="2171250"/>
    <x v="2"/>
  </r>
  <r>
    <x v="10"/>
    <x v="512"/>
    <x v="2"/>
    <x v="473"/>
    <x v="571"/>
    <x v="567"/>
    <x v="566"/>
    <x v="553"/>
    <n v="2975"/>
    <n v="450"/>
    <n v="1338750"/>
    <x v="0"/>
  </r>
  <r>
    <x v="10"/>
    <x v="185"/>
    <x v="14"/>
    <x v="275"/>
    <x v="572"/>
    <x v="568"/>
    <x v="567"/>
    <x v="289"/>
    <n v="4175"/>
    <n v="550"/>
    <n v="2296250"/>
    <x v="2"/>
  </r>
  <r>
    <x v="10"/>
    <x v="513"/>
    <x v="1"/>
    <x v="474"/>
    <x v="573"/>
    <x v="569"/>
    <x v="568"/>
    <x v="554"/>
    <n v="127525"/>
    <n v="350"/>
    <n v="44633750"/>
    <x v="0"/>
  </r>
  <r>
    <x v="10"/>
    <x v="514"/>
    <x v="0"/>
    <x v="475"/>
    <x v="574"/>
    <x v="570"/>
    <x v="569"/>
    <x v="555"/>
    <n v="19475"/>
    <n v="350"/>
    <n v="6816250"/>
    <x v="0"/>
  </r>
  <r>
    <x v="10"/>
    <x v="515"/>
    <x v="14"/>
    <x v="476"/>
    <x v="575"/>
    <x v="571"/>
    <x v="570"/>
    <x v="556"/>
    <n v="25000"/>
    <n v="550"/>
    <n v="13750000"/>
    <x v="2"/>
  </r>
  <r>
    <x v="10"/>
    <x v="516"/>
    <x v="1"/>
    <x v="477"/>
    <x v="576"/>
    <x v="572"/>
    <x v="571"/>
    <x v="557"/>
    <n v="80525"/>
    <n v="350"/>
    <n v="28183750"/>
    <x v="0"/>
  </r>
  <r>
    <x v="10"/>
    <x v="504"/>
    <x v="8"/>
    <x v="478"/>
    <x v="577"/>
    <x v="573"/>
    <x v="572"/>
    <x v="558"/>
    <n v="5650"/>
    <n v="350"/>
    <n v="1977500"/>
    <x v="0"/>
  </r>
  <r>
    <x v="10"/>
    <x v="517"/>
    <x v="8"/>
    <x v="479"/>
    <x v="578"/>
    <x v="574"/>
    <x v="573"/>
    <x v="559"/>
    <n v="8100"/>
    <n v="350"/>
    <n v="2835000"/>
    <x v="0"/>
  </r>
  <r>
    <x v="10"/>
    <x v="518"/>
    <x v="0"/>
    <x v="480"/>
    <x v="579"/>
    <x v="575"/>
    <x v="574"/>
    <x v="560"/>
    <n v="17975"/>
    <n v="350"/>
    <n v="6291250"/>
    <x v="0"/>
  </r>
  <r>
    <x v="10"/>
    <x v="519"/>
    <x v="4"/>
    <x v="481"/>
    <x v="580"/>
    <x v="576"/>
    <x v="575"/>
    <x v="561"/>
    <n v="3075"/>
    <n v="450"/>
    <n v="1383750"/>
    <x v="2"/>
  </r>
  <r>
    <x v="10"/>
    <x v="520"/>
    <x v="1"/>
    <x v="482"/>
    <x v="581"/>
    <x v="577"/>
    <x v="576"/>
    <x v="562"/>
    <n v="1325"/>
    <n v="350"/>
    <n v="463750"/>
    <x v="0"/>
  </r>
  <r>
    <x v="10"/>
    <x v="521"/>
    <x v="7"/>
    <x v="483"/>
    <x v="582"/>
    <x v="578"/>
    <x v="577"/>
    <x v="563"/>
    <n v="26525"/>
    <n v="350"/>
    <n v="9283750"/>
    <x v="0"/>
  </r>
  <r>
    <x v="10"/>
    <x v="522"/>
    <x v="1"/>
    <x v="484"/>
    <x v="583"/>
    <x v="579"/>
    <x v="578"/>
    <x v="564"/>
    <n v="54900"/>
    <n v="350"/>
    <n v="19215000"/>
    <x v="0"/>
  </r>
  <r>
    <x v="10"/>
    <x v="523"/>
    <x v="2"/>
    <x v="485"/>
    <x v="584"/>
    <x v="580"/>
    <x v="579"/>
    <x v="565"/>
    <n v="46400"/>
    <n v="450"/>
    <n v="20880000"/>
    <x v="0"/>
  </r>
  <r>
    <x v="10"/>
    <x v="524"/>
    <x v="3"/>
    <x v="486"/>
    <x v="585"/>
    <x v="581"/>
    <x v="580"/>
    <x v="566"/>
    <n v="19225"/>
    <n v="250"/>
    <n v="4806250"/>
    <x v="1"/>
  </r>
  <r>
    <x v="10"/>
    <x v="90"/>
    <x v="7"/>
    <x v="303"/>
    <x v="586"/>
    <x v="582"/>
    <x v="581"/>
    <x v="567"/>
    <n v="4000"/>
    <n v="350"/>
    <n v="1400000"/>
    <x v="0"/>
  </r>
  <r>
    <x v="10"/>
    <x v="525"/>
    <x v="0"/>
    <x v="487"/>
    <x v="587"/>
    <x v="583"/>
    <x v="582"/>
    <x v="568"/>
    <n v="40525"/>
    <n v="350"/>
    <n v="14183750"/>
    <x v="0"/>
  </r>
  <r>
    <x v="10"/>
    <x v="66"/>
    <x v="3"/>
    <x v="488"/>
    <x v="588"/>
    <x v="584"/>
    <x v="583"/>
    <x v="569"/>
    <n v="17575"/>
    <n v="250"/>
    <n v="4393750"/>
    <x v="1"/>
  </r>
  <r>
    <x v="10"/>
    <x v="526"/>
    <x v="10"/>
    <x v="146"/>
    <x v="589"/>
    <x v="585"/>
    <x v="584"/>
    <x v="570"/>
    <n v="300"/>
    <n v="550"/>
    <n v="165000"/>
    <x v="2"/>
  </r>
  <r>
    <x v="10"/>
    <x v="527"/>
    <x v="14"/>
    <x v="215"/>
    <x v="590"/>
    <x v="586"/>
    <x v="585"/>
    <x v="571"/>
    <n v="3575"/>
    <n v="550"/>
    <n v="1966250"/>
    <x v="2"/>
  </r>
  <r>
    <x v="10"/>
    <x v="528"/>
    <x v="0"/>
    <x v="489"/>
    <x v="591"/>
    <x v="587"/>
    <x v="586"/>
    <x v="572"/>
    <n v="78925"/>
    <n v="350"/>
    <n v="27623750"/>
    <x v="0"/>
  </r>
  <r>
    <x v="10"/>
    <x v="529"/>
    <x v="13"/>
    <x v="245"/>
    <x v="592"/>
    <x v="588"/>
    <x v="587"/>
    <x v="512"/>
    <n v="1750"/>
    <n v="550"/>
    <n v="962500"/>
    <x v="2"/>
  </r>
  <r>
    <x v="10"/>
    <x v="530"/>
    <x v="12"/>
    <x v="490"/>
    <x v="593"/>
    <x v="589"/>
    <x v="588"/>
    <x v="573"/>
    <n v="1800"/>
    <n v="250"/>
    <n v="450000"/>
    <x v="1"/>
  </r>
  <r>
    <x v="10"/>
    <x v="531"/>
    <x v="1"/>
    <x v="298"/>
    <x v="594"/>
    <x v="590"/>
    <x v="589"/>
    <x v="574"/>
    <n v="1250"/>
    <n v="350"/>
    <n v="437500"/>
    <x v="0"/>
  </r>
  <r>
    <x v="10"/>
    <x v="532"/>
    <x v="0"/>
    <x v="491"/>
    <x v="595"/>
    <x v="591"/>
    <x v="590"/>
    <x v="575"/>
    <n v="21200"/>
    <n v="350"/>
    <n v="7420000"/>
    <x v="0"/>
  </r>
  <r>
    <x v="10"/>
    <x v="474"/>
    <x v="14"/>
    <x v="492"/>
    <x v="596"/>
    <x v="592"/>
    <x v="591"/>
    <x v="576"/>
    <n v="2475"/>
    <n v="550"/>
    <n v="1361250"/>
    <x v="2"/>
  </r>
  <r>
    <x v="10"/>
    <x v="533"/>
    <x v="2"/>
    <x v="493"/>
    <x v="597"/>
    <x v="593"/>
    <x v="592"/>
    <x v="577"/>
    <n v="21125"/>
    <n v="450"/>
    <n v="9506250"/>
    <x v="0"/>
  </r>
  <r>
    <x v="10"/>
    <x v="58"/>
    <x v="2"/>
    <x v="494"/>
    <x v="598"/>
    <x v="594"/>
    <x v="593"/>
    <x v="578"/>
    <n v="50875"/>
    <n v="450"/>
    <n v="22893750"/>
    <x v="0"/>
  </r>
  <r>
    <x v="10"/>
    <x v="534"/>
    <x v="5"/>
    <x v="495"/>
    <x v="599"/>
    <x v="595"/>
    <x v="594"/>
    <x v="579"/>
    <n v="13050"/>
    <n v="550"/>
    <n v="7177500"/>
    <x v="2"/>
  </r>
  <r>
    <x v="10"/>
    <x v="535"/>
    <x v="5"/>
    <x v="215"/>
    <x v="600"/>
    <x v="596"/>
    <x v="595"/>
    <x v="580"/>
    <n v="3575"/>
    <n v="550"/>
    <n v="1966250"/>
    <x v="2"/>
  </r>
  <r>
    <x v="10"/>
    <x v="536"/>
    <x v="6"/>
    <x v="496"/>
    <x v="601"/>
    <x v="597"/>
    <x v="596"/>
    <x v="581"/>
    <n v="5825"/>
    <n v="450"/>
    <n v="2621250"/>
    <x v="2"/>
  </r>
  <r>
    <x v="10"/>
    <x v="537"/>
    <x v="6"/>
    <x v="497"/>
    <x v="602"/>
    <x v="598"/>
    <x v="597"/>
    <x v="582"/>
    <n v="12850"/>
    <n v="450"/>
    <n v="5782500"/>
    <x v="2"/>
  </r>
  <r>
    <x v="10"/>
    <x v="538"/>
    <x v="8"/>
    <x v="498"/>
    <x v="603"/>
    <x v="599"/>
    <x v="598"/>
    <x v="583"/>
    <n v="61125"/>
    <n v="350"/>
    <n v="21393750"/>
    <x v="0"/>
  </r>
  <r>
    <x v="10"/>
    <x v="539"/>
    <x v="2"/>
    <x v="337"/>
    <x v="604"/>
    <x v="600"/>
    <x v="599"/>
    <x v="584"/>
    <n v="475"/>
    <n v="450"/>
    <n v="213750"/>
    <x v="0"/>
  </r>
  <r>
    <x v="10"/>
    <x v="540"/>
    <x v="13"/>
    <x v="499"/>
    <x v="605"/>
    <x v="601"/>
    <x v="600"/>
    <x v="585"/>
    <n v="375"/>
    <n v="550"/>
    <n v="206250"/>
    <x v="2"/>
  </r>
  <r>
    <x v="10"/>
    <x v="541"/>
    <x v="5"/>
    <x v="500"/>
    <x v="606"/>
    <x v="602"/>
    <x v="601"/>
    <x v="586"/>
    <n v="10900"/>
    <n v="550"/>
    <n v="5995000"/>
    <x v="2"/>
  </r>
  <r>
    <x v="10"/>
    <x v="542"/>
    <x v="15"/>
    <x v="193"/>
    <x v="607"/>
    <x v="603"/>
    <x v="602"/>
    <x v="195"/>
    <n v="150"/>
    <n v="250"/>
    <n v="37500"/>
    <x v="1"/>
  </r>
  <r>
    <x v="10"/>
    <x v="543"/>
    <x v="13"/>
    <x v="298"/>
    <x v="608"/>
    <x v="604"/>
    <x v="603"/>
    <x v="587"/>
    <n v="1250"/>
    <n v="550"/>
    <n v="687500"/>
    <x v="2"/>
  </r>
  <r>
    <x v="10"/>
    <x v="544"/>
    <x v="10"/>
    <x v="501"/>
    <x v="609"/>
    <x v="605"/>
    <x v="604"/>
    <x v="588"/>
    <n v="550"/>
    <n v="550"/>
    <n v="302500"/>
    <x v="2"/>
  </r>
  <r>
    <x v="10"/>
    <x v="545"/>
    <x v="12"/>
    <x v="502"/>
    <x v="610"/>
    <x v="606"/>
    <x v="605"/>
    <x v="589"/>
    <n v="44075"/>
    <n v="250"/>
    <n v="11018750"/>
    <x v="1"/>
  </r>
  <r>
    <x v="10"/>
    <x v="546"/>
    <x v="8"/>
    <x v="503"/>
    <x v="611"/>
    <x v="607"/>
    <x v="606"/>
    <x v="590"/>
    <n v="29675"/>
    <n v="350"/>
    <n v="10386250"/>
    <x v="0"/>
  </r>
  <r>
    <x v="11"/>
    <x v="547"/>
    <x v="2"/>
    <x v="504"/>
    <x v="612"/>
    <x v="608"/>
    <x v="607"/>
    <x v="591"/>
    <n v="59250"/>
    <n v="450"/>
    <n v="26662500"/>
    <x v="0"/>
  </r>
  <r>
    <x v="11"/>
    <x v="548"/>
    <x v="2"/>
    <x v="505"/>
    <x v="613"/>
    <x v="609"/>
    <x v="608"/>
    <x v="592"/>
    <n v="31150"/>
    <n v="450"/>
    <n v="14017500"/>
    <x v="0"/>
  </r>
  <r>
    <x v="11"/>
    <x v="549"/>
    <x v="0"/>
    <x v="102"/>
    <x v="614"/>
    <x v="610"/>
    <x v="609"/>
    <x v="105"/>
    <n v="21150"/>
    <n v="350"/>
    <n v="7402500"/>
    <x v="0"/>
  </r>
  <r>
    <x v="11"/>
    <x v="550"/>
    <x v="8"/>
    <x v="506"/>
    <x v="615"/>
    <x v="611"/>
    <x v="610"/>
    <x v="593"/>
    <n v="16450"/>
    <n v="350"/>
    <n v="5757500"/>
    <x v="0"/>
  </r>
  <r>
    <x v="11"/>
    <x v="551"/>
    <x v="2"/>
    <x v="414"/>
    <x v="616"/>
    <x v="612"/>
    <x v="611"/>
    <x v="594"/>
    <n v="13075"/>
    <n v="450"/>
    <n v="5883750"/>
    <x v="0"/>
  </r>
  <r>
    <x v="11"/>
    <x v="552"/>
    <x v="3"/>
    <x v="507"/>
    <x v="617"/>
    <x v="613"/>
    <x v="612"/>
    <x v="595"/>
    <n v="2375"/>
    <n v="250"/>
    <n v="593750"/>
    <x v="1"/>
  </r>
  <r>
    <x v="11"/>
    <x v="553"/>
    <x v="7"/>
    <x v="508"/>
    <x v="618"/>
    <x v="614"/>
    <x v="613"/>
    <x v="596"/>
    <n v="43100"/>
    <n v="350"/>
    <n v="15085000"/>
    <x v="0"/>
  </r>
  <r>
    <x v="11"/>
    <x v="554"/>
    <x v="6"/>
    <x v="144"/>
    <x v="619"/>
    <x v="615"/>
    <x v="614"/>
    <x v="147"/>
    <n v="6425"/>
    <n v="450"/>
    <n v="2891250"/>
    <x v="2"/>
  </r>
  <r>
    <x v="11"/>
    <x v="555"/>
    <x v="8"/>
    <x v="509"/>
    <x v="620"/>
    <x v="616"/>
    <x v="615"/>
    <x v="597"/>
    <n v="58275"/>
    <n v="350"/>
    <n v="20396250"/>
    <x v="0"/>
  </r>
  <r>
    <x v="11"/>
    <x v="20"/>
    <x v="13"/>
    <x v="510"/>
    <x v="621"/>
    <x v="617"/>
    <x v="616"/>
    <x v="598"/>
    <n v="2050"/>
    <n v="550"/>
    <n v="1127500"/>
    <x v="2"/>
  </r>
  <r>
    <x v="11"/>
    <x v="58"/>
    <x v="4"/>
    <x v="184"/>
    <x v="622"/>
    <x v="618"/>
    <x v="617"/>
    <x v="599"/>
    <n v="14550"/>
    <n v="450"/>
    <n v="6547500"/>
    <x v="2"/>
  </r>
  <r>
    <x v="11"/>
    <x v="556"/>
    <x v="6"/>
    <x v="445"/>
    <x v="623"/>
    <x v="619"/>
    <x v="618"/>
    <x v="600"/>
    <n v="18475"/>
    <n v="450"/>
    <n v="8313750"/>
    <x v="2"/>
  </r>
  <r>
    <x v="11"/>
    <x v="557"/>
    <x v="14"/>
    <x v="253"/>
    <x v="624"/>
    <x v="620"/>
    <x v="619"/>
    <x v="601"/>
    <n v="11050"/>
    <n v="550"/>
    <n v="6077500"/>
    <x v="2"/>
  </r>
  <r>
    <x v="11"/>
    <x v="558"/>
    <x v="6"/>
    <x v="511"/>
    <x v="625"/>
    <x v="621"/>
    <x v="620"/>
    <x v="602"/>
    <n v="32400"/>
    <n v="450"/>
    <n v="14580000"/>
    <x v="2"/>
  </r>
  <r>
    <x v="11"/>
    <x v="58"/>
    <x v="1"/>
    <x v="512"/>
    <x v="626"/>
    <x v="622"/>
    <x v="621"/>
    <x v="603"/>
    <n v="104825"/>
    <n v="350"/>
    <n v="36688750"/>
    <x v="0"/>
  </r>
  <r>
    <x v="11"/>
    <x v="559"/>
    <x v="8"/>
    <x v="513"/>
    <x v="627"/>
    <x v="623"/>
    <x v="622"/>
    <x v="604"/>
    <n v="63750"/>
    <n v="350"/>
    <n v="22312500"/>
    <x v="0"/>
  </r>
  <r>
    <x v="11"/>
    <x v="560"/>
    <x v="5"/>
    <x v="514"/>
    <x v="628"/>
    <x v="624"/>
    <x v="623"/>
    <x v="605"/>
    <n v="2825"/>
    <n v="550"/>
    <n v="1553750"/>
    <x v="2"/>
  </r>
  <r>
    <x v="11"/>
    <x v="561"/>
    <x v="1"/>
    <x v="515"/>
    <x v="629"/>
    <x v="625"/>
    <x v="624"/>
    <x v="606"/>
    <n v="77000"/>
    <n v="350"/>
    <n v="26950000"/>
    <x v="0"/>
  </r>
  <r>
    <x v="11"/>
    <x v="562"/>
    <x v="5"/>
    <x v="337"/>
    <x v="630"/>
    <x v="626"/>
    <x v="625"/>
    <x v="416"/>
    <n v="475"/>
    <n v="550"/>
    <n v="261250"/>
    <x v="2"/>
  </r>
  <r>
    <x v="11"/>
    <x v="563"/>
    <x v="6"/>
    <x v="415"/>
    <x v="631"/>
    <x v="627"/>
    <x v="626"/>
    <x v="607"/>
    <n v="250"/>
    <n v="450"/>
    <n v="112500"/>
    <x v="2"/>
  </r>
  <r>
    <x v="11"/>
    <x v="564"/>
    <x v="7"/>
    <x v="516"/>
    <x v="632"/>
    <x v="628"/>
    <x v="627"/>
    <x v="608"/>
    <n v="39175"/>
    <n v="350"/>
    <n v="13711250"/>
    <x v="0"/>
  </r>
  <r>
    <x v="11"/>
    <x v="565"/>
    <x v="8"/>
    <x v="517"/>
    <x v="633"/>
    <x v="629"/>
    <x v="628"/>
    <x v="609"/>
    <n v="96550"/>
    <n v="350"/>
    <n v="33792500"/>
    <x v="0"/>
  </r>
  <r>
    <x v="11"/>
    <x v="566"/>
    <x v="12"/>
    <x v="518"/>
    <x v="634"/>
    <x v="630"/>
    <x v="629"/>
    <x v="610"/>
    <n v="20875"/>
    <n v="250"/>
    <n v="5218750"/>
    <x v="1"/>
  </r>
  <r>
    <x v="11"/>
    <x v="567"/>
    <x v="2"/>
    <x v="519"/>
    <x v="635"/>
    <x v="631"/>
    <x v="630"/>
    <x v="611"/>
    <n v="119225"/>
    <n v="450"/>
    <n v="53651250"/>
    <x v="0"/>
  </r>
  <r>
    <x v="11"/>
    <x v="568"/>
    <x v="8"/>
    <x v="520"/>
    <x v="636"/>
    <x v="632"/>
    <x v="631"/>
    <x v="612"/>
    <n v="28325"/>
    <n v="350"/>
    <n v="9913750"/>
    <x v="0"/>
  </r>
  <r>
    <x v="11"/>
    <x v="569"/>
    <x v="13"/>
    <x v="521"/>
    <x v="637"/>
    <x v="633"/>
    <x v="632"/>
    <x v="613"/>
    <n v="2800"/>
    <n v="550"/>
    <n v="1540000"/>
    <x v="2"/>
  </r>
  <r>
    <x v="11"/>
    <x v="570"/>
    <x v="8"/>
    <x v="522"/>
    <x v="638"/>
    <x v="634"/>
    <x v="633"/>
    <x v="614"/>
    <n v="23000"/>
    <n v="350"/>
    <n v="8050000"/>
    <x v="0"/>
  </r>
  <r>
    <x v="11"/>
    <x v="571"/>
    <x v="0"/>
    <x v="523"/>
    <x v="639"/>
    <x v="635"/>
    <x v="634"/>
    <x v="615"/>
    <n v="26000"/>
    <n v="350"/>
    <n v="9100000"/>
    <x v="0"/>
  </r>
  <r>
    <x v="11"/>
    <x v="572"/>
    <x v="8"/>
    <x v="524"/>
    <x v="640"/>
    <x v="636"/>
    <x v="635"/>
    <x v="616"/>
    <n v="158425"/>
    <n v="350"/>
    <n v="55448750"/>
    <x v="0"/>
  </r>
  <r>
    <x v="11"/>
    <x v="573"/>
    <x v="1"/>
    <x v="233"/>
    <x v="641"/>
    <x v="637"/>
    <x v="636"/>
    <x v="617"/>
    <n v="4725"/>
    <n v="350"/>
    <n v="1653750"/>
    <x v="0"/>
  </r>
  <r>
    <x v="11"/>
    <x v="66"/>
    <x v="1"/>
    <x v="386"/>
    <x v="642"/>
    <x v="638"/>
    <x v="637"/>
    <x v="618"/>
    <n v="29225"/>
    <n v="350"/>
    <n v="10228750"/>
    <x v="0"/>
  </r>
  <r>
    <x v="11"/>
    <x v="574"/>
    <x v="1"/>
    <x v="525"/>
    <x v="643"/>
    <x v="639"/>
    <x v="638"/>
    <x v="619"/>
    <n v="126000"/>
    <n v="350"/>
    <n v="44100000"/>
    <x v="0"/>
  </r>
  <r>
    <x v="11"/>
    <x v="575"/>
    <x v="5"/>
    <x v="330"/>
    <x v="644"/>
    <x v="640"/>
    <x v="639"/>
    <x v="620"/>
    <n v="975"/>
    <n v="550"/>
    <n v="536250"/>
    <x v="2"/>
  </r>
  <r>
    <x v="11"/>
    <x v="576"/>
    <x v="7"/>
    <x v="526"/>
    <x v="645"/>
    <x v="641"/>
    <x v="640"/>
    <x v="621"/>
    <n v="63300"/>
    <n v="350"/>
    <n v="22155000"/>
    <x v="0"/>
  </r>
  <r>
    <x v="11"/>
    <x v="577"/>
    <x v="2"/>
    <x v="527"/>
    <x v="646"/>
    <x v="620"/>
    <x v="619"/>
    <x v="622"/>
    <n v="9575"/>
    <n v="450"/>
    <n v="4308750"/>
    <x v="0"/>
  </r>
  <r>
    <x v="11"/>
    <x v="578"/>
    <x v="6"/>
    <x v="305"/>
    <x v="647"/>
    <x v="642"/>
    <x v="641"/>
    <x v="623"/>
    <n v="5200"/>
    <n v="450"/>
    <n v="2340000"/>
    <x v="2"/>
  </r>
  <r>
    <x v="11"/>
    <x v="579"/>
    <x v="4"/>
    <x v="77"/>
    <x v="648"/>
    <x v="643"/>
    <x v="642"/>
    <x v="624"/>
    <n v="4075"/>
    <n v="450"/>
    <n v="1833750"/>
    <x v="2"/>
  </r>
  <r>
    <x v="11"/>
    <x v="580"/>
    <x v="6"/>
    <x v="528"/>
    <x v="649"/>
    <x v="644"/>
    <x v="643"/>
    <x v="625"/>
    <n v="6250"/>
    <n v="450"/>
    <n v="2812500"/>
    <x v="2"/>
  </r>
  <r>
    <x v="11"/>
    <x v="581"/>
    <x v="6"/>
    <x v="529"/>
    <x v="650"/>
    <x v="645"/>
    <x v="644"/>
    <x v="626"/>
    <n v="39425"/>
    <n v="450"/>
    <n v="17741250"/>
    <x v="2"/>
  </r>
  <r>
    <x v="11"/>
    <x v="582"/>
    <x v="18"/>
    <x v="382"/>
    <x v="651"/>
    <x v="646"/>
    <x v="645"/>
    <x v="627"/>
    <n v="325"/>
    <n v="250"/>
    <n v="81250"/>
    <x v="1"/>
  </r>
  <r>
    <x v="11"/>
    <x v="583"/>
    <x v="0"/>
    <x v="530"/>
    <x v="652"/>
    <x v="647"/>
    <x v="646"/>
    <x v="628"/>
    <n v="139825"/>
    <n v="350"/>
    <n v="48938750"/>
    <x v="0"/>
  </r>
  <r>
    <x v="11"/>
    <x v="584"/>
    <x v="3"/>
    <x v="531"/>
    <x v="653"/>
    <x v="648"/>
    <x v="647"/>
    <x v="629"/>
    <n v="122775"/>
    <n v="250"/>
    <n v="30693750"/>
    <x v="1"/>
  </r>
  <r>
    <x v="11"/>
    <x v="585"/>
    <x v="1"/>
    <x v="229"/>
    <x v="654"/>
    <x v="649"/>
    <x v="648"/>
    <x v="238"/>
    <n v="1875"/>
    <n v="350"/>
    <n v="656250"/>
    <x v="0"/>
  </r>
  <r>
    <x v="11"/>
    <x v="586"/>
    <x v="1"/>
    <x v="532"/>
    <x v="655"/>
    <x v="650"/>
    <x v="649"/>
    <x v="630"/>
    <n v="40450"/>
    <n v="350"/>
    <n v="14157500"/>
    <x v="0"/>
  </r>
  <r>
    <x v="11"/>
    <x v="587"/>
    <x v="2"/>
    <x v="103"/>
    <x v="656"/>
    <x v="651"/>
    <x v="650"/>
    <x v="459"/>
    <n v="2925"/>
    <n v="450"/>
    <n v="1316250"/>
    <x v="0"/>
  </r>
  <r>
    <x v="11"/>
    <x v="588"/>
    <x v="1"/>
    <x v="481"/>
    <x v="657"/>
    <x v="652"/>
    <x v="651"/>
    <x v="631"/>
    <n v="3075"/>
    <n v="350"/>
    <n v="1076250"/>
    <x v="0"/>
  </r>
  <r>
    <x v="11"/>
    <x v="589"/>
    <x v="4"/>
    <x v="415"/>
    <x v="658"/>
    <x v="653"/>
    <x v="652"/>
    <x v="632"/>
    <n v="250"/>
    <n v="450"/>
    <n v="112500"/>
    <x v="2"/>
  </r>
  <r>
    <x v="11"/>
    <x v="590"/>
    <x v="14"/>
    <x v="193"/>
    <x v="659"/>
    <x v="654"/>
    <x v="653"/>
    <x v="633"/>
    <n v="150"/>
    <n v="550"/>
    <n v="82500"/>
    <x v="2"/>
  </r>
  <r>
    <x v="11"/>
    <x v="591"/>
    <x v="7"/>
    <x v="328"/>
    <x v="660"/>
    <x v="655"/>
    <x v="654"/>
    <x v="634"/>
    <n v="25"/>
    <n v="350"/>
    <n v="8750"/>
    <x v="0"/>
  </r>
  <r>
    <x v="11"/>
    <x v="592"/>
    <x v="2"/>
    <x v="533"/>
    <x v="661"/>
    <x v="656"/>
    <x v="655"/>
    <x v="635"/>
    <n v="113600"/>
    <n v="450"/>
    <n v="51120000"/>
    <x v="0"/>
  </r>
  <r>
    <x v="11"/>
    <x v="68"/>
    <x v="9"/>
    <x v="312"/>
    <x v="662"/>
    <x v="657"/>
    <x v="656"/>
    <x v="636"/>
    <n v="3725"/>
    <n v="250"/>
    <n v="931250"/>
    <x v="1"/>
  </r>
  <r>
    <x v="11"/>
    <x v="593"/>
    <x v="0"/>
    <x v="534"/>
    <x v="663"/>
    <x v="658"/>
    <x v="657"/>
    <x v="637"/>
    <n v="163400"/>
    <n v="350"/>
    <n v="57190000"/>
    <x v="0"/>
  </r>
  <r>
    <x v="11"/>
    <x v="594"/>
    <x v="8"/>
    <x v="535"/>
    <x v="664"/>
    <x v="620"/>
    <x v="619"/>
    <x v="638"/>
    <n v="8900"/>
    <n v="350"/>
    <n v="3115000"/>
    <x v="0"/>
  </r>
  <r>
    <x v="11"/>
    <x v="595"/>
    <x v="1"/>
    <x v="536"/>
    <x v="665"/>
    <x v="659"/>
    <x v="658"/>
    <x v="639"/>
    <n v="29500"/>
    <n v="350"/>
    <n v="10325000"/>
    <x v="0"/>
  </r>
  <r>
    <x v="11"/>
    <x v="596"/>
    <x v="12"/>
    <x v="537"/>
    <x v="666"/>
    <x v="660"/>
    <x v="659"/>
    <x v="640"/>
    <n v="8700"/>
    <n v="250"/>
    <n v="2175000"/>
    <x v="1"/>
  </r>
  <r>
    <x v="11"/>
    <x v="20"/>
    <x v="13"/>
    <x v="453"/>
    <x v="667"/>
    <x v="661"/>
    <x v="660"/>
    <x v="641"/>
    <n v="825"/>
    <n v="550"/>
    <n v="453750"/>
    <x v="2"/>
  </r>
  <r>
    <x v="11"/>
    <x v="597"/>
    <x v="1"/>
    <x v="538"/>
    <x v="668"/>
    <x v="662"/>
    <x v="661"/>
    <x v="642"/>
    <n v="5225"/>
    <n v="350"/>
    <n v="1828750"/>
    <x v="0"/>
  </r>
  <r>
    <x v="11"/>
    <x v="598"/>
    <x v="6"/>
    <x v="539"/>
    <x v="669"/>
    <x v="663"/>
    <x v="662"/>
    <x v="643"/>
    <n v="350"/>
    <n v="450"/>
    <n v="157500"/>
    <x v="2"/>
  </r>
  <r>
    <x v="11"/>
    <x v="599"/>
    <x v="1"/>
    <x v="146"/>
    <x v="670"/>
    <x v="664"/>
    <x v="663"/>
    <x v="644"/>
    <n v="300"/>
    <n v="350"/>
    <n v="105000"/>
    <x v="0"/>
  </r>
  <r>
    <x v="11"/>
    <x v="600"/>
    <x v="0"/>
    <x v="460"/>
    <x v="638"/>
    <x v="665"/>
    <x v="664"/>
    <x v="645"/>
    <n v="44775"/>
    <n v="350"/>
    <n v="15671250"/>
    <x v="0"/>
  </r>
  <r>
    <x v="12"/>
    <x v="601"/>
    <x v="8"/>
    <x v="420"/>
    <x v="671"/>
    <x v="666"/>
    <x v="665"/>
    <x v="646"/>
    <n v="34200"/>
    <n v="350"/>
    <n v="11970000"/>
    <x v="0"/>
  </r>
  <r>
    <x v="12"/>
    <x v="602"/>
    <x v="4"/>
    <x v="540"/>
    <x v="672"/>
    <x v="667"/>
    <x v="666"/>
    <x v="647"/>
    <n v="6575"/>
    <n v="450"/>
    <n v="2958750"/>
    <x v="2"/>
  </r>
  <r>
    <x v="12"/>
    <x v="603"/>
    <x v="13"/>
    <x v="541"/>
    <x v="673"/>
    <x v="668"/>
    <x v="667"/>
    <x v="648"/>
    <n v="4800"/>
    <n v="550"/>
    <n v="2640000"/>
    <x v="2"/>
  </r>
  <r>
    <x v="12"/>
    <x v="604"/>
    <x v="0"/>
    <x v="322"/>
    <x v="674"/>
    <x v="669"/>
    <x v="668"/>
    <x v="649"/>
    <n v="700"/>
    <n v="350"/>
    <n v="245000"/>
    <x v="0"/>
  </r>
  <r>
    <x v="12"/>
    <x v="605"/>
    <x v="10"/>
    <x v="37"/>
    <x v="675"/>
    <x v="670"/>
    <x v="669"/>
    <x v="650"/>
    <n v="3475"/>
    <n v="550"/>
    <n v="1911250"/>
    <x v="2"/>
  </r>
  <r>
    <x v="12"/>
    <x v="606"/>
    <x v="6"/>
    <x v="514"/>
    <x v="676"/>
    <x v="671"/>
    <x v="670"/>
    <x v="651"/>
    <n v="2825"/>
    <n v="450"/>
    <n v="1271250"/>
    <x v="2"/>
  </r>
  <r>
    <x v="12"/>
    <x v="607"/>
    <x v="5"/>
    <x v="542"/>
    <x v="677"/>
    <x v="672"/>
    <x v="671"/>
    <x v="652"/>
    <n v="5925"/>
    <n v="550"/>
    <n v="3258750"/>
    <x v="2"/>
  </r>
  <r>
    <x v="12"/>
    <x v="551"/>
    <x v="2"/>
    <x v="414"/>
    <x v="616"/>
    <x v="612"/>
    <x v="611"/>
    <x v="594"/>
    <n v="13075"/>
    <n v="450"/>
    <n v="5883750"/>
    <x v="0"/>
  </r>
  <r>
    <x v="12"/>
    <x v="608"/>
    <x v="5"/>
    <x v="416"/>
    <x v="678"/>
    <x v="673"/>
    <x v="672"/>
    <x v="477"/>
    <n v="1975"/>
    <n v="550"/>
    <n v="1086250"/>
    <x v="2"/>
  </r>
  <r>
    <x v="12"/>
    <x v="609"/>
    <x v="5"/>
    <x v="94"/>
    <x v="679"/>
    <x v="674"/>
    <x v="673"/>
    <x v="653"/>
    <n v="3350"/>
    <n v="550"/>
    <n v="1842500"/>
    <x v="2"/>
  </r>
  <r>
    <x v="12"/>
    <x v="610"/>
    <x v="4"/>
    <x v="543"/>
    <x v="680"/>
    <x v="675"/>
    <x v="674"/>
    <x v="654"/>
    <n v="3100"/>
    <n v="450"/>
    <n v="1395000"/>
    <x v="2"/>
  </r>
  <r>
    <x v="12"/>
    <x v="611"/>
    <x v="7"/>
    <x v="424"/>
    <x v="681"/>
    <x v="676"/>
    <x v="675"/>
    <x v="655"/>
    <n v="3175"/>
    <n v="350"/>
    <n v="1111250"/>
    <x v="0"/>
  </r>
  <r>
    <x v="12"/>
    <x v="612"/>
    <x v="5"/>
    <x v="12"/>
    <x v="682"/>
    <x v="677"/>
    <x v="676"/>
    <x v="656"/>
    <n v="34875"/>
    <n v="550"/>
    <n v="19181250"/>
    <x v="2"/>
  </r>
  <r>
    <x v="12"/>
    <x v="556"/>
    <x v="6"/>
    <x v="445"/>
    <x v="623"/>
    <x v="619"/>
    <x v="618"/>
    <x v="600"/>
    <n v="18475"/>
    <n v="450"/>
    <n v="8313750"/>
    <x v="2"/>
  </r>
  <r>
    <x v="12"/>
    <x v="613"/>
    <x v="14"/>
    <x v="308"/>
    <x v="683"/>
    <x v="678"/>
    <x v="677"/>
    <x v="657"/>
    <n v="875"/>
    <n v="550"/>
    <n v="481250"/>
    <x v="2"/>
  </r>
  <r>
    <x v="12"/>
    <x v="614"/>
    <x v="0"/>
    <x v="544"/>
    <x v="684"/>
    <x v="679"/>
    <x v="678"/>
    <x v="658"/>
    <n v="29000"/>
    <n v="350"/>
    <n v="10150000"/>
    <x v="0"/>
  </r>
  <r>
    <x v="12"/>
    <x v="615"/>
    <x v="5"/>
    <x v="545"/>
    <x v="685"/>
    <x v="680"/>
    <x v="679"/>
    <x v="659"/>
    <n v="500"/>
    <n v="550"/>
    <n v="275000"/>
    <x v="2"/>
  </r>
  <r>
    <x v="12"/>
    <x v="616"/>
    <x v="13"/>
    <x v="214"/>
    <x v="686"/>
    <x v="681"/>
    <x v="680"/>
    <x v="660"/>
    <n v="2600"/>
    <n v="550"/>
    <n v="1430000"/>
    <x v="2"/>
  </r>
  <r>
    <x v="12"/>
    <x v="617"/>
    <x v="4"/>
    <x v="546"/>
    <x v="687"/>
    <x v="682"/>
    <x v="681"/>
    <x v="661"/>
    <n v="6025"/>
    <n v="450"/>
    <n v="2711250"/>
    <x v="2"/>
  </r>
  <r>
    <x v="12"/>
    <x v="248"/>
    <x v="7"/>
    <x v="547"/>
    <x v="688"/>
    <x v="683"/>
    <x v="682"/>
    <x v="662"/>
    <n v="9600"/>
    <n v="350"/>
    <n v="3360000"/>
    <x v="0"/>
  </r>
  <r>
    <x v="12"/>
    <x v="618"/>
    <x v="4"/>
    <x v="548"/>
    <x v="674"/>
    <x v="684"/>
    <x v="683"/>
    <x v="663"/>
    <n v="3800"/>
    <n v="450"/>
    <n v="1710000"/>
    <x v="2"/>
  </r>
  <r>
    <x v="12"/>
    <x v="619"/>
    <x v="2"/>
    <x v="402"/>
    <x v="689"/>
    <x v="685"/>
    <x v="684"/>
    <x v="664"/>
    <n v="1350"/>
    <n v="450"/>
    <n v="607500"/>
    <x v="0"/>
  </r>
  <r>
    <x v="12"/>
    <x v="620"/>
    <x v="2"/>
    <x v="55"/>
    <x v="690"/>
    <x v="686"/>
    <x v="685"/>
    <x v="665"/>
    <n v="2400"/>
    <n v="450"/>
    <n v="1080000"/>
    <x v="0"/>
  </r>
  <r>
    <x v="12"/>
    <x v="621"/>
    <x v="0"/>
    <x v="549"/>
    <x v="691"/>
    <x v="687"/>
    <x v="686"/>
    <x v="666"/>
    <n v="65750"/>
    <n v="350"/>
    <n v="23012500"/>
    <x v="0"/>
  </r>
  <r>
    <x v="12"/>
    <x v="622"/>
    <x v="2"/>
    <x v="550"/>
    <x v="692"/>
    <x v="688"/>
    <x v="687"/>
    <x v="667"/>
    <n v="26700"/>
    <n v="450"/>
    <n v="12015000"/>
    <x v="0"/>
  </r>
  <r>
    <x v="12"/>
    <x v="623"/>
    <x v="2"/>
    <x v="305"/>
    <x v="693"/>
    <x v="689"/>
    <x v="688"/>
    <x v="668"/>
    <n v="5200"/>
    <n v="450"/>
    <n v="2340000"/>
    <x v="0"/>
  </r>
  <r>
    <x v="12"/>
    <x v="624"/>
    <x v="0"/>
    <x v="551"/>
    <x v="694"/>
    <x v="690"/>
    <x v="689"/>
    <x v="669"/>
    <n v="8050"/>
    <n v="350"/>
    <n v="2817500"/>
    <x v="0"/>
  </r>
  <r>
    <x v="12"/>
    <x v="625"/>
    <x v="13"/>
    <x v="552"/>
    <x v="695"/>
    <x v="691"/>
    <x v="690"/>
    <x v="670"/>
    <n v="5025"/>
    <n v="550"/>
    <n v="2763750"/>
    <x v="2"/>
  </r>
  <r>
    <x v="12"/>
    <x v="626"/>
    <x v="0"/>
    <x v="553"/>
    <x v="696"/>
    <x v="692"/>
    <x v="691"/>
    <x v="671"/>
    <n v="39975"/>
    <n v="350"/>
    <n v="13991250"/>
    <x v="0"/>
  </r>
  <r>
    <x v="12"/>
    <x v="627"/>
    <x v="9"/>
    <x v="282"/>
    <x v="697"/>
    <x v="693"/>
    <x v="692"/>
    <x v="672"/>
    <n v="8500"/>
    <n v="250"/>
    <n v="2125000"/>
    <x v="1"/>
  </r>
  <r>
    <x v="12"/>
    <x v="628"/>
    <x v="2"/>
    <x v="189"/>
    <x v="698"/>
    <x v="694"/>
    <x v="693"/>
    <x v="673"/>
    <n v="925"/>
    <n v="450"/>
    <n v="416250"/>
    <x v="0"/>
  </r>
  <r>
    <x v="12"/>
    <x v="629"/>
    <x v="2"/>
    <x v="554"/>
    <x v="699"/>
    <x v="695"/>
    <x v="694"/>
    <x v="674"/>
    <n v="14125"/>
    <n v="450"/>
    <n v="6356250"/>
    <x v="0"/>
  </r>
  <r>
    <x v="12"/>
    <x v="630"/>
    <x v="0"/>
    <x v="555"/>
    <x v="700"/>
    <x v="696"/>
    <x v="695"/>
    <x v="675"/>
    <n v="61075"/>
    <n v="350"/>
    <n v="21376250"/>
    <x v="0"/>
  </r>
  <r>
    <x v="12"/>
    <x v="631"/>
    <x v="2"/>
    <x v="556"/>
    <x v="701"/>
    <x v="697"/>
    <x v="696"/>
    <x v="676"/>
    <n v="12175"/>
    <n v="450"/>
    <n v="5478750"/>
    <x v="0"/>
  </r>
  <r>
    <x v="12"/>
    <x v="632"/>
    <x v="1"/>
    <x v="557"/>
    <x v="702"/>
    <x v="698"/>
    <x v="697"/>
    <x v="677"/>
    <n v="12200"/>
    <n v="350"/>
    <n v="4270000"/>
    <x v="0"/>
  </r>
  <r>
    <x v="12"/>
    <x v="58"/>
    <x v="13"/>
    <x v="558"/>
    <x v="703"/>
    <x v="699"/>
    <x v="698"/>
    <x v="678"/>
    <n v="2225"/>
    <n v="550"/>
    <n v="1223750"/>
    <x v="2"/>
  </r>
  <r>
    <x v="12"/>
    <x v="633"/>
    <x v="3"/>
    <x v="559"/>
    <x v="704"/>
    <x v="700"/>
    <x v="699"/>
    <x v="615"/>
    <n v="28000"/>
    <n v="250"/>
    <n v="7000000"/>
    <x v="1"/>
  </r>
  <r>
    <x v="12"/>
    <x v="634"/>
    <x v="1"/>
    <x v="435"/>
    <x v="705"/>
    <x v="701"/>
    <x v="700"/>
    <x v="679"/>
    <n v="3250"/>
    <n v="350"/>
    <n v="1137500"/>
    <x v="0"/>
  </r>
  <r>
    <x v="12"/>
    <x v="635"/>
    <x v="1"/>
    <x v="560"/>
    <x v="706"/>
    <x v="702"/>
    <x v="701"/>
    <x v="680"/>
    <n v="2850"/>
    <n v="350"/>
    <n v="997500"/>
    <x v="0"/>
  </r>
  <r>
    <x v="12"/>
    <x v="636"/>
    <x v="5"/>
    <x v="185"/>
    <x v="707"/>
    <x v="703"/>
    <x v="702"/>
    <x v="681"/>
    <n v="125"/>
    <n v="550"/>
    <n v="68750"/>
    <x v="2"/>
  </r>
  <r>
    <x v="12"/>
    <x v="595"/>
    <x v="1"/>
    <x v="536"/>
    <x v="665"/>
    <x v="659"/>
    <x v="658"/>
    <x v="639"/>
    <n v="29500"/>
    <n v="350"/>
    <n v="10325000"/>
    <x v="0"/>
  </r>
  <r>
    <x v="12"/>
    <x v="637"/>
    <x v="5"/>
    <x v="335"/>
    <x v="708"/>
    <x v="704"/>
    <x v="703"/>
    <x v="362"/>
    <n v="3050"/>
    <n v="550"/>
    <n v="1677500"/>
    <x v="2"/>
  </r>
  <r>
    <x v="12"/>
    <x v="638"/>
    <x v="14"/>
    <x v="561"/>
    <x v="709"/>
    <x v="705"/>
    <x v="704"/>
    <x v="682"/>
    <n v="3300"/>
    <n v="550"/>
    <n v="1815000"/>
    <x v="2"/>
  </r>
  <r>
    <x v="12"/>
    <x v="525"/>
    <x v="0"/>
    <x v="358"/>
    <x v="710"/>
    <x v="706"/>
    <x v="705"/>
    <x v="683"/>
    <n v="30400"/>
    <n v="350"/>
    <n v="10640000"/>
    <x v="0"/>
  </r>
  <r>
    <x v="12"/>
    <x v="20"/>
    <x v="5"/>
    <x v="89"/>
    <x v="711"/>
    <x v="707"/>
    <x v="706"/>
    <x v="684"/>
    <n v="8250"/>
    <n v="550"/>
    <n v="4537500"/>
    <x v="2"/>
  </r>
  <r>
    <x v="12"/>
    <x v="547"/>
    <x v="6"/>
    <x v="562"/>
    <x v="712"/>
    <x v="708"/>
    <x v="707"/>
    <x v="685"/>
    <n v="4275"/>
    <n v="450"/>
    <n v="1923750"/>
    <x v="2"/>
  </r>
  <r>
    <x v="12"/>
    <x v="639"/>
    <x v="2"/>
    <x v="379"/>
    <x v="713"/>
    <x v="709"/>
    <x v="708"/>
    <x v="686"/>
    <n v="850"/>
    <n v="450"/>
    <n v="382500"/>
    <x v="0"/>
  </r>
  <r>
    <x v="12"/>
    <x v="58"/>
    <x v="2"/>
    <x v="563"/>
    <x v="714"/>
    <x v="710"/>
    <x v="709"/>
    <x v="687"/>
    <n v="106475"/>
    <n v="450"/>
    <n v="47913750"/>
    <x v="0"/>
  </r>
  <r>
    <x v="12"/>
    <x v="579"/>
    <x v="4"/>
    <x v="77"/>
    <x v="648"/>
    <x v="643"/>
    <x v="642"/>
    <x v="624"/>
    <n v="4075"/>
    <n v="450"/>
    <n v="1833750"/>
    <x v="2"/>
  </r>
  <r>
    <x v="12"/>
    <x v="640"/>
    <x v="11"/>
    <x v="292"/>
    <x v="715"/>
    <x v="711"/>
    <x v="710"/>
    <x v="85"/>
    <n v="4200"/>
    <n v="250"/>
    <n v="1050000"/>
    <x v="1"/>
  </r>
  <r>
    <x v="12"/>
    <x v="20"/>
    <x v="5"/>
    <x v="410"/>
    <x v="716"/>
    <x v="712"/>
    <x v="711"/>
    <x v="461"/>
    <n v="1100"/>
    <n v="550"/>
    <n v="605000"/>
    <x v="2"/>
  </r>
  <r>
    <x v="12"/>
    <x v="641"/>
    <x v="0"/>
    <x v="564"/>
    <x v="717"/>
    <x v="713"/>
    <x v="712"/>
    <x v="688"/>
    <n v="13475"/>
    <n v="350"/>
    <n v="4716250"/>
    <x v="0"/>
  </r>
  <r>
    <x v="12"/>
    <x v="642"/>
    <x v="0"/>
    <x v="565"/>
    <x v="718"/>
    <x v="714"/>
    <x v="713"/>
    <x v="689"/>
    <n v="11600"/>
    <n v="350"/>
    <n v="4060000"/>
    <x v="0"/>
  </r>
  <r>
    <x v="12"/>
    <x v="643"/>
    <x v="6"/>
    <x v="566"/>
    <x v="719"/>
    <x v="715"/>
    <x v="714"/>
    <x v="690"/>
    <n v="17300"/>
    <n v="450"/>
    <n v="7785000"/>
    <x v="2"/>
  </r>
  <r>
    <x v="12"/>
    <x v="644"/>
    <x v="4"/>
    <x v="339"/>
    <x v="720"/>
    <x v="716"/>
    <x v="715"/>
    <x v="691"/>
    <n v="175"/>
    <n v="450"/>
    <n v="78750"/>
    <x v="2"/>
  </r>
  <r>
    <x v="12"/>
    <x v="645"/>
    <x v="5"/>
    <x v="38"/>
    <x v="721"/>
    <x v="717"/>
    <x v="716"/>
    <x v="692"/>
    <n v="1650"/>
    <n v="550"/>
    <n v="907500"/>
    <x v="2"/>
  </r>
  <r>
    <x v="12"/>
    <x v="646"/>
    <x v="5"/>
    <x v="567"/>
    <x v="722"/>
    <x v="718"/>
    <x v="717"/>
    <x v="693"/>
    <n v="100"/>
    <n v="550"/>
    <n v="55000"/>
    <x v="2"/>
  </r>
  <r>
    <x v="12"/>
    <x v="647"/>
    <x v="2"/>
    <x v="339"/>
    <x v="723"/>
    <x v="719"/>
    <x v="718"/>
    <x v="367"/>
    <n v="175"/>
    <n v="450"/>
    <n v="78750"/>
    <x v="0"/>
  </r>
  <r>
    <x v="12"/>
    <x v="648"/>
    <x v="4"/>
    <x v="445"/>
    <x v="724"/>
    <x v="720"/>
    <x v="719"/>
    <x v="694"/>
    <n v="18475"/>
    <n v="450"/>
    <n v="8313750"/>
    <x v="2"/>
  </r>
  <r>
    <x v="12"/>
    <x v="649"/>
    <x v="8"/>
    <x v="568"/>
    <x v="725"/>
    <x v="721"/>
    <x v="720"/>
    <x v="695"/>
    <n v="31825"/>
    <n v="350"/>
    <n v="11138750"/>
    <x v="0"/>
  </r>
  <r>
    <x v="13"/>
    <x v="650"/>
    <x v="1"/>
    <x v="569"/>
    <x v="726"/>
    <x v="722"/>
    <x v="721"/>
    <x v="696"/>
    <n v="21275"/>
    <n v="350"/>
    <n v="7446250"/>
    <x v="0"/>
  </r>
  <r>
    <x v="13"/>
    <x v="651"/>
    <x v="8"/>
    <x v="570"/>
    <x v="727"/>
    <x v="723"/>
    <x v="722"/>
    <x v="697"/>
    <n v="18250"/>
    <n v="350"/>
    <n v="6387500"/>
    <x v="0"/>
  </r>
  <r>
    <x v="13"/>
    <x v="652"/>
    <x v="0"/>
    <x v="571"/>
    <x v="728"/>
    <x v="724"/>
    <x v="723"/>
    <x v="698"/>
    <n v="4850"/>
    <n v="350"/>
    <n v="1697500"/>
    <x v="0"/>
  </r>
  <r>
    <x v="13"/>
    <x v="653"/>
    <x v="5"/>
    <x v="572"/>
    <x v="729"/>
    <x v="725"/>
    <x v="724"/>
    <x v="699"/>
    <n v="4575"/>
    <n v="550"/>
    <n v="2516250"/>
    <x v="2"/>
  </r>
  <r>
    <x v="13"/>
    <x v="654"/>
    <x v="3"/>
    <x v="427"/>
    <x v="730"/>
    <x v="726"/>
    <x v="725"/>
    <x v="293"/>
    <n v="4300"/>
    <n v="250"/>
    <n v="1075000"/>
    <x v="1"/>
  </r>
  <r>
    <x v="13"/>
    <x v="655"/>
    <x v="0"/>
    <x v="507"/>
    <x v="731"/>
    <x v="727"/>
    <x v="726"/>
    <x v="700"/>
    <n v="2375"/>
    <n v="350"/>
    <n v="831250"/>
    <x v="0"/>
  </r>
  <r>
    <x v="13"/>
    <x v="656"/>
    <x v="4"/>
    <x v="573"/>
    <x v="732"/>
    <x v="728"/>
    <x v="727"/>
    <x v="701"/>
    <n v="4525"/>
    <n v="450"/>
    <n v="2036250"/>
    <x v="2"/>
  </r>
  <r>
    <x v="13"/>
    <x v="657"/>
    <x v="8"/>
    <x v="574"/>
    <x v="733"/>
    <x v="729"/>
    <x v="728"/>
    <x v="702"/>
    <n v="32525"/>
    <n v="350"/>
    <n v="11383750"/>
    <x v="0"/>
  </r>
  <r>
    <x v="13"/>
    <x v="658"/>
    <x v="1"/>
    <x v="575"/>
    <x v="734"/>
    <x v="730"/>
    <x v="729"/>
    <x v="703"/>
    <n v="29175"/>
    <n v="350"/>
    <n v="10211250"/>
    <x v="0"/>
  </r>
  <r>
    <x v="13"/>
    <x v="659"/>
    <x v="2"/>
    <x v="139"/>
    <x v="735"/>
    <x v="731"/>
    <x v="730"/>
    <x v="704"/>
    <n v="7175"/>
    <n v="450"/>
    <n v="3228750"/>
    <x v="0"/>
  </r>
  <r>
    <x v="13"/>
    <x v="333"/>
    <x v="13"/>
    <x v="576"/>
    <x v="736"/>
    <x v="732"/>
    <x v="731"/>
    <x v="705"/>
    <n v="2700"/>
    <n v="550"/>
    <n v="1485000"/>
    <x v="2"/>
  </r>
  <r>
    <x v="13"/>
    <x v="660"/>
    <x v="5"/>
    <x v="119"/>
    <x v="737"/>
    <x v="733"/>
    <x v="732"/>
    <x v="122"/>
    <n v="1375"/>
    <n v="550"/>
    <n v="756250"/>
    <x v="2"/>
  </r>
  <r>
    <x v="13"/>
    <x v="661"/>
    <x v="3"/>
    <x v="577"/>
    <x v="738"/>
    <x v="734"/>
    <x v="733"/>
    <x v="706"/>
    <n v="12400"/>
    <n v="250"/>
    <n v="3100000"/>
    <x v="1"/>
  </r>
  <r>
    <x v="13"/>
    <x v="662"/>
    <x v="1"/>
    <x v="578"/>
    <x v="739"/>
    <x v="735"/>
    <x v="734"/>
    <x v="707"/>
    <n v="4550"/>
    <n v="350"/>
    <n v="1592500"/>
    <x v="0"/>
  </r>
  <r>
    <x v="13"/>
    <x v="663"/>
    <x v="6"/>
    <x v="579"/>
    <x v="740"/>
    <x v="736"/>
    <x v="735"/>
    <x v="708"/>
    <n v="2450"/>
    <n v="450"/>
    <n v="1102500"/>
    <x v="2"/>
  </r>
  <r>
    <x v="13"/>
    <x v="664"/>
    <x v="6"/>
    <x v="499"/>
    <x v="741"/>
    <x v="737"/>
    <x v="736"/>
    <x v="709"/>
    <n v="375"/>
    <n v="450"/>
    <n v="168750"/>
    <x v="2"/>
  </r>
  <r>
    <x v="13"/>
    <x v="665"/>
    <x v="4"/>
    <x v="580"/>
    <x v="742"/>
    <x v="738"/>
    <x v="737"/>
    <x v="710"/>
    <n v="1025"/>
    <n v="450"/>
    <n v="461250"/>
    <x v="2"/>
  </r>
  <r>
    <x v="13"/>
    <x v="666"/>
    <x v="2"/>
    <x v="259"/>
    <x v="743"/>
    <x v="739"/>
    <x v="738"/>
    <x v="711"/>
    <n v="1725"/>
    <n v="450"/>
    <n v="776250"/>
    <x v="0"/>
  </r>
  <r>
    <x v="13"/>
    <x v="667"/>
    <x v="7"/>
    <x v="425"/>
    <x v="744"/>
    <x v="740"/>
    <x v="739"/>
    <x v="486"/>
    <n v="12275"/>
    <n v="350"/>
    <n v="4296250"/>
    <x v="0"/>
  </r>
  <r>
    <x v="13"/>
    <x v="668"/>
    <x v="3"/>
    <x v="307"/>
    <x v="745"/>
    <x v="741"/>
    <x v="740"/>
    <x v="712"/>
    <n v="7200"/>
    <n v="250"/>
    <n v="1800000"/>
    <x v="1"/>
  </r>
  <r>
    <x v="13"/>
    <x v="669"/>
    <x v="3"/>
    <x v="581"/>
    <x v="746"/>
    <x v="742"/>
    <x v="741"/>
    <x v="713"/>
    <n v="10050"/>
    <n v="250"/>
    <n v="2512500"/>
    <x v="1"/>
  </r>
  <r>
    <x v="13"/>
    <x v="670"/>
    <x v="13"/>
    <x v="52"/>
    <x v="747"/>
    <x v="743"/>
    <x v="742"/>
    <x v="714"/>
    <n v="400"/>
    <n v="550"/>
    <n v="220000"/>
    <x v="2"/>
  </r>
  <r>
    <x v="13"/>
    <x v="671"/>
    <x v="6"/>
    <x v="582"/>
    <x v="748"/>
    <x v="744"/>
    <x v="743"/>
    <x v="715"/>
    <n v="2100"/>
    <n v="450"/>
    <n v="945000"/>
    <x v="2"/>
  </r>
  <r>
    <x v="13"/>
    <x v="672"/>
    <x v="4"/>
    <x v="70"/>
    <x v="749"/>
    <x v="745"/>
    <x v="744"/>
    <x v="716"/>
    <n v="725"/>
    <n v="450"/>
    <n v="326250"/>
    <x v="2"/>
  </r>
  <r>
    <x v="13"/>
    <x v="673"/>
    <x v="13"/>
    <x v="583"/>
    <x v="750"/>
    <x v="746"/>
    <x v="745"/>
    <x v="649"/>
    <n v="600"/>
    <n v="550"/>
    <n v="330000"/>
    <x v="2"/>
  </r>
  <r>
    <x v="13"/>
    <x v="674"/>
    <x v="10"/>
    <x v="298"/>
    <x v="751"/>
    <x v="747"/>
    <x v="746"/>
    <x v="717"/>
    <n v="1250"/>
    <n v="550"/>
    <n v="687500"/>
    <x v="2"/>
  </r>
  <r>
    <x v="13"/>
    <x v="675"/>
    <x v="10"/>
    <x v="70"/>
    <x v="752"/>
    <x v="748"/>
    <x v="747"/>
    <x v="718"/>
    <n v="725"/>
    <n v="550"/>
    <n v="398750"/>
    <x v="2"/>
  </r>
  <r>
    <x v="13"/>
    <x v="667"/>
    <x v="8"/>
    <x v="584"/>
    <x v="753"/>
    <x v="749"/>
    <x v="748"/>
    <x v="719"/>
    <n v="15050"/>
    <n v="350"/>
    <n v="5267500"/>
    <x v="0"/>
  </r>
  <r>
    <x v="13"/>
    <x v="676"/>
    <x v="7"/>
    <x v="585"/>
    <x v="754"/>
    <x v="750"/>
    <x v="749"/>
    <x v="720"/>
    <n v="19550"/>
    <n v="350"/>
    <n v="6842500"/>
    <x v="0"/>
  </r>
  <r>
    <x v="13"/>
    <x v="58"/>
    <x v="14"/>
    <x v="294"/>
    <x v="755"/>
    <x v="751"/>
    <x v="750"/>
    <x v="721"/>
    <n v="23225"/>
    <n v="550"/>
    <n v="12773750"/>
    <x v="2"/>
  </r>
  <r>
    <x v="13"/>
    <x v="677"/>
    <x v="5"/>
    <x v="428"/>
    <x v="756"/>
    <x v="752"/>
    <x v="751"/>
    <x v="722"/>
    <n v="3275"/>
    <n v="550"/>
    <n v="1801250"/>
    <x v="2"/>
  </r>
  <r>
    <x v="13"/>
    <x v="678"/>
    <x v="4"/>
    <x v="586"/>
    <x v="757"/>
    <x v="753"/>
    <x v="752"/>
    <x v="723"/>
    <n v="2950"/>
    <n v="450"/>
    <n v="1327500"/>
    <x v="2"/>
  </r>
  <r>
    <x v="13"/>
    <x v="612"/>
    <x v="5"/>
    <x v="12"/>
    <x v="682"/>
    <x v="677"/>
    <x v="676"/>
    <x v="656"/>
    <n v="34875"/>
    <n v="550"/>
    <n v="19181250"/>
    <x v="2"/>
  </r>
  <r>
    <x v="13"/>
    <x v="658"/>
    <x v="2"/>
    <x v="45"/>
    <x v="758"/>
    <x v="754"/>
    <x v="753"/>
    <x v="201"/>
    <n v="1450"/>
    <n v="450"/>
    <n v="652500"/>
    <x v="0"/>
  </r>
  <r>
    <x v="13"/>
    <x v="679"/>
    <x v="10"/>
    <x v="539"/>
    <x v="759"/>
    <x v="755"/>
    <x v="754"/>
    <x v="724"/>
    <n v="350"/>
    <n v="550"/>
    <n v="192500"/>
    <x v="2"/>
  </r>
  <r>
    <x v="13"/>
    <x v="615"/>
    <x v="4"/>
    <x v="121"/>
    <x v="760"/>
    <x v="756"/>
    <x v="755"/>
    <x v="725"/>
    <n v="950"/>
    <n v="450"/>
    <n v="427500"/>
    <x v="2"/>
  </r>
  <r>
    <x v="13"/>
    <x v="680"/>
    <x v="7"/>
    <x v="587"/>
    <x v="761"/>
    <x v="757"/>
    <x v="756"/>
    <x v="726"/>
    <n v="34900"/>
    <n v="350"/>
    <n v="12215000"/>
    <x v="0"/>
  </r>
  <r>
    <x v="13"/>
    <x v="681"/>
    <x v="10"/>
    <x v="369"/>
    <x v="762"/>
    <x v="758"/>
    <x v="757"/>
    <x v="727"/>
    <n v="650"/>
    <n v="550"/>
    <n v="357500"/>
    <x v="2"/>
  </r>
  <r>
    <x v="13"/>
    <x v="661"/>
    <x v="8"/>
    <x v="514"/>
    <x v="763"/>
    <x v="759"/>
    <x v="758"/>
    <x v="728"/>
    <n v="2825"/>
    <n v="350"/>
    <n v="988750"/>
    <x v="0"/>
  </r>
  <r>
    <x v="13"/>
    <x v="682"/>
    <x v="13"/>
    <x v="121"/>
    <x v="764"/>
    <x v="760"/>
    <x v="759"/>
    <x v="729"/>
    <n v="950"/>
    <n v="550"/>
    <n v="522500"/>
    <x v="2"/>
  </r>
  <r>
    <x v="13"/>
    <x v="683"/>
    <x v="1"/>
    <x v="424"/>
    <x v="765"/>
    <x v="761"/>
    <x v="760"/>
    <x v="730"/>
    <n v="3175"/>
    <n v="350"/>
    <n v="1111250"/>
    <x v="0"/>
  </r>
  <r>
    <x v="13"/>
    <x v="684"/>
    <x v="4"/>
    <x v="588"/>
    <x v="766"/>
    <x v="762"/>
    <x v="761"/>
    <x v="731"/>
    <n v="5275"/>
    <n v="450"/>
    <n v="2373750"/>
    <x v="2"/>
  </r>
  <r>
    <x v="13"/>
    <x v="685"/>
    <x v="4"/>
    <x v="61"/>
    <x v="767"/>
    <x v="763"/>
    <x v="762"/>
    <x v="732"/>
    <n v="675"/>
    <n v="450"/>
    <n v="303750"/>
    <x v="2"/>
  </r>
  <r>
    <x v="13"/>
    <x v="686"/>
    <x v="0"/>
    <x v="185"/>
    <x v="768"/>
    <x v="764"/>
    <x v="763"/>
    <x v="195"/>
    <n v="125"/>
    <n v="350"/>
    <n v="43750"/>
    <x v="0"/>
  </r>
  <r>
    <x v="13"/>
    <x v="687"/>
    <x v="13"/>
    <x v="270"/>
    <x v="769"/>
    <x v="765"/>
    <x v="764"/>
    <x v="733"/>
    <n v="2325"/>
    <n v="550"/>
    <n v="1278750"/>
    <x v="2"/>
  </r>
  <r>
    <x v="13"/>
    <x v="688"/>
    <x v="13"/>
    <x v="131"/>
    <x v="770"/>
    <x v="766"/>
    <x v="765"/>
    <x v="734"/>
    <n v="625"/>
    <n v="550"/>
    <n v="343750"/>
    <x v="2"/>
  </r>
  <r>
    <x v="13"/>
    <x v="689"/>
    <x v="13"/>
    <x v="128"/>
    <x v="771"/>
    <x v="767"/>
    <x v="766"/>
    <x v="735"/>
    <n v="750"/>
    <n v="550"/>
    <n v="412500"/>
    <x v="2"/>
  </r>
  <r>
    <x v="13"/>
    <x v="690"/>
    <x v="8"/>
    <x v="589"/>
    <x v="772"/>
    <x v="768"/>
    <x v="767"/>
    <x v="736"/>
    <n v="95975"/>
    <n v="350"/>
    <n v="33591250"/>
    <x v="0"/>
  </r>
  <r>
    <x v="13"/>
    <x v="691"/>
    <x v="2"/>
    <x v="182"/>
    <x v="773"/>
    <x v="769"/>
    <x v="768"/>
    <x v="737"/>
    <n v="1200"/>
    <n v="450"/>
    <n v="540000"/>
    <x v="0"/>
  </r>
  <r>
    <x v="13"/>
    <x v="692"/>
    <x v="1"/>
    <x v="322"/>
    <x v="774"/>
    <x v="770"/>
    <x v="769"/>
    <x v="738"/>
    <n v="700"/>
    <n v="350"/>
    <n v="245000"/>
    <x v="0"/>
  </r>
  <r>
    <x v="13"/>
    <x v="693"/>
    <x v="13"/>
    <x v="499"/>
    <x v="775"/>
    <x v="771"/>
    <x v="770"/>
    <x v="585"/>
    <n v="375"/>
    <n v="550"/>
    <n v="206250"/>
    <x v="2"/>
  </r>
  <r>
    <x v="13"/>
    <x v="630"/>
    <x v="0"/>
    <x v="555"/>
    <x v="700"/>
    <x v="696"/>
    <x v="695"/>
    <x v="675"/>
    <n v="61075"/>
    <n v="350"/>
    <n v="21376250"/>
    <x v="0"/>
  </r>
  <r>
    <x v="13"/>
    <x v="694"/>
    <x v="12"/>
    <x v="147"/>
    <x v="776"/>
    <x v="772"/>
    <x v="771"/>
    <x v="167"/>
    <n v="5375"/>
    <n v="250"/>
    <n v="1343750"/>
    <x v="1"/>
  </r>
  <r>
    <x v="13"/>
    <x v="695"/>
    <x v="19"/>
    <x v="185"/>
    <x v="777"/>
    <x v="773"/>
    <x v="772"/>
    <x v="739"/>
    <n v="125"/>
    <n v="250"/>
    <n v="31250"/>
    <x v="1"/>
  </r>
  <r>
    <x v="13"/>
    <x v="696"/>
    <x v="8"/>
    <x v="590"/>
    <x v="778"/>
    <x v="774"/>
    <x v="773"/>
    <x v="740"/>
    <n v="12550"/>
    <n v="350"/>
    <n v="4392500"/>
    <x v="0"/>
  </r>
  <r>
    <x v="13"/>
    <x v="697"/>
    <x v="4"/>
    <x v="156"/>
    <x v="779"/>
    <x v="775"/>
    <x v="774"/>
    <x v="741"/>
    <n v="450"/>
    <n v="450"/>
    <n v="202500"/>
    <x v="2"/>
  </r>
  <r>
    <x v="13"/>
    <x v="698"/>
    <x v="6"/>
    <x v="119"/>
    <x v="780"/>
    <x v="776"/>
    <x v="775"/>
    <x v="742"/>
    <n v="1375"/>
    <n v="450"/>
    <n v="618750"/>
    <x v="2"/>
  </r>
  <r>
    <x v="13"/>
    <x v="699"/>
    <x v="7"/>
    <x v="409"/>
    <x v="781"/>
    <x v="777"/>
    <x v="776"/>
    <x v="743"/>
    <n v="200"/>
    <n v="350"/>
    <n v="70000"/>
    <x v="0"/>
  </r>
  <r>
    <x v="13"/>
    <x v="700"/>
    <x v="1"/>
    <x v="591"/>
    <x v="782"/>
    <x v="778"/>
    <x v="777"/>
    <x v="744"/>
    <n v="7750"/>
    <n v="350"/>
    <n v="2712500"/>
    <x v="0"/>
  </r>
  <r>
    <x v="13"/>
    <x v="701"/>
    <x v="7"/>
    <x v="592"/>
    <x v="783"/>
    <x v="779"/>
    <x v="778"/>
    <x v="745"/>
    <n v="50250"/>
    <n v="350"/>
    <n v="17587500"/>
    <x v="0"/>
  </r>
  <r>
    <x v="14"/>
    <x v="702"/>
    <x v="4"/>
    <x v="593"/>
    <x v="784"/>
    <x v="780"/>
    <x v="779"/>
    <x v="746"/>
    <n v="16075"/>
    <n v="450"/>
    <n v="7233750"/>
    <x v="2"/>
  </r>
  <r>
    <x v="14"/>
    <x v="703"/>
    <x v="1"/>
    <x v="594"/>
    <x v="785"/>
    <x v="781"/>
    <x v="780"/>
    <x v="747"/>
    <n v="104025"/>
    <n v="350"/>
    <n v="36408750"/>
    <x v="0"/>
  </r>
  <r>
    <x v="14"/>
    <x v="704"/>
    <x v="4"/>
    <x v="595"/>
    <x v="786"/>
    <x v="782"/>
    <x v="781"/>
    <x v="748"/>
    <n v="30025"/>
    <n v="450"/>
    <n v="13511250"/>
    <x v="2"/>
  </r>
  <r>
    <x v="14"/>
    <x v="705"/>
    <x v="1"/>
    <x v="596"/>
    <x v="787"/>
    <x v="783"/>
    <x v="782"/>
    <x v="749"/>
    <n v="40800"/>
    <n v="350"/>
    <n v="14280000"/>
    <x v="0"/>
  </r>
  <r>
    <x v="14"/>
    <x v="706"/>
    <x v="14"/>
    <x v="597"/>
    <x v="788"/>
    <x v="784"/>
    <x v="783"/>
    <x v="750"/>
    <n v="16675"/>
    <n v="550"/>
    <n v="9171250"/>
    <x v="2"/>
  </r>
  <r>
    <x v="14"/>
    <x v="707"/>
    <x v="14"/>
    <x v="598"/>
    <x v="789"/>
    <x v="785"/>
    <x v="784"/>
    <x v="751"/>
    <n v="9950"/>
    <n v="550"/>
    <n v="5472500"/>
    <x v="2"/>
  </r>
  <r>
    <x v="14"/>
    <x v="649"/>
    <x v="8"/>
    <x v="568"/>
    <x v="725"/>
    <x v="721"/>
    <x v="720"/>
    <x v="695"/>
    <n v="31825"/>
    <n v="350"/>
    <n v="11138750"/>
    <x v="0"/>
  </r>
  <r>
    <x v="14"/>
    <x v="708"/>
    <x v="14"/>
    <x v="447"/>
    <x v="790"/>
    <x v="786"/>
    <x v="785"/>
    <x v="752"/>
    <n v="7100"/>
    <n v="550"/>
    <n v="3905000"/>
    <x v="2"/>
  </r>
  <r>
    <x v="14"/>
    <x v="709"/>
    <x v="4"/>
    <x v="599"/>
    <x v="791"/>
    <x v="787"/>
    <x v="786"/>
    <x v="753"/>
    <n v="8475"/>
    <n v="450"/>
    <n v="3813750"/>
    <x v="2"/>
  </r>
  <r>
    <x v="14"/>
    <x v="710"/>
    <x v="7"/>
    <x v="449"/>
    <x v="792"/>
    <x v="788"/>
    <x v="787"/>
    <x v="754"/>
    <n v="12600"/>
    <n v="350"/>
    <n v="4410000"/>
    <x v="0"/>
  </r>
  <r>
    <x v="14"/>
    <x v="711"/>
    <x v="4"/>
    <x v="571"/>
    <x v="793"/>
    <x v="789"/>
    <x v="788"/>
    <x v="755"/>
    <n v="4850"/>
    <n v="450"/>
    <n v="2182500"/>
    <x v="2"/>
  </r>
  <r>
    <x v="14"/>
    <x v="712"/>
    <x v="2"/>
    <x v="600"/>
    <x v="794"/>
    <x v="781"/>
    <x v="780"/>
    <x v="756"/>
    <n v="1825"/>
    <n v="450"/>
    <n v="821250"/>
    <x v="0"/>
  </r>
  <r>
    <x v="14"/>
    <x v="713"/>
    <x v="4"/>
    <x v="601"/>
    <x v="795"/>
    <x v="790"/>
    <x v="789"/>
    <x v="757"/>
    <n v="6500"/>
    <n v="450"/>
    <n v="2925000"/>
    <x v="2"/>
  </r>
  <r>
    <x v="14"/>
    <x v="714"/>
    <x v="14"/>
    <x v="521"/>
    <x v="796"/>
    <x v="791"/>
    <x v="790"/>
    <x v="758"/>
    <n v="2800"/>
    <n v="550"/>
    <n v="1540000"/>
    <x v="2"/>
  </r>
  <r>
    <x v="14"/>
    <x v="715"/>
    <x v="14"/>
    <x v="233"/>
    <x v="797"/>
    <x v="792"/>
    <x v="791"/>
    <x v="759"/>
    <n v="4725"/>
    <n v="550"/>
    <n v="2598750"/>
    <x v="2"/>
  </r>
  <r>
    <x v="14"/>
    <x v="716"/>
    <x v="13"/>
    <x v="181"/>
    <x v="798"/>
    <x v="793"/>
    <x v="792"/>
    <x v="760"/>
    <n v="3025"/>
    <n v="550"/>
    <n v="1663750"/>
    <x v="2"/>
  </r>
  <r>
    <x v="14"/>
    <x v="717"/>
    <x v="13"/>
    <x v="401"/>
    <x v="799"/>
    <x v="794"/>
    <x v="793"/>
    <x v="444"/>
    <n v="1050"/>
    <n v="550"/>
    <n v="577500"/>
    <x v="2"/>
  </r>
  <r>
    <x v="14"/>
    <x v="718"/>
    <x v="7"/>
    <x v="602"/>
    <x v="800"/>
    <x v="795"/>
    <x v="794"/>
    <x v="761"/>
    <n v="6075"/>
    <n v="350"/>
    <n v="2126250"/>
    <x v="0"/>
  </r>
  <r>
    <x v="14"/>
    <x v="622"/>
    <x v="2"/>
    <x v="550"/>
    <x v="692"/>
    <x v="688"/>
    <x v="687"/>
    <x v="667"/>
    <n v="26700"/>
    <n v="450"/>
    <n v="12015000"/>
    <x v="0"/>
  </r>
  <r>
    <x v="14"/>
    <x v="629"/>
    <x v="2"/>
    <x v="554"/>
    <x v="699"/>
    <x v="695"/>
    <x v="694"/>
    <x v="674"/>
    <n v="14125"/>
    <n v="450"/>
    <n v="6356250"/>
    <x v="0"/>
  </r>
  <r>
    <x v="14"/>
    <x v="719"/>
    <x v="1"/>
    <x v="603"/>
    <x v="801"/>
    <x v="796"/>
    <x v="795"/>
    <x v="762"/>
    <n v="23400"/>
    <n v="350"/>
    <n v="8190000"/>
    <x v="0"/>
  </r>
  <r>
    <x v="14"/>
    <x v="720"/>
    <x v="1"/>
    <x v="604"/>
    <x v="802"/>
    <x v="797"/>
    <x v="796"/>
    <x v="763"/>
    <n v="1700"/>
    <n v="350"/>
    <n v="595000"/>
    <x v="0"/>
  </r>
  <r>
    <x v="14"/>
    <x v="631"/>
    <x v="2"/>
    <x v="556"/>
    <x v="701"/>
    <x v="697"/>
    <x v="696"/>
    <x v="676"/>
    <n v="12175"/>
    <n v="450"/>
    <n v="5478750"/>
    <x v="0"/>
  </r>
  <r>
    <x v="14"/>
    <x v="721"/>
    <x v="2"/>
    <x v="330"/>
    <x v="803"/>
    <x v="798"/>
    <x v="797"/>
    <x v="764"/>
    <n v="975"/>
    <n v="450"/>
    <n v="438750"/>
    <x v="0"/>
  </r>
  <r>
    <x v="14"/>
    <x v="595"/>
    <x v="1"/>
    <x v="536"/>
    <x v="665"/>
    <x v="659"/>
    <x v="658"/>
    <x v="639"/>
    <n v="29500"/>
    <n v="350"/>
    <n v="10325000"/>
    <x v="0"/>
  </r>
  <r>
    <x v="14"/>
    <x v="722"/>
    <x v="7"/>
    <x v="605"/>
    <x v="804"/>
    <x v="799"/>
    <x v="798"/>
    <x v="765"/>
    <n v="20525"/>
    <n v="350"/>
    <n v="7183750"/>
    <x v="0"/>
  </r>
  <r>
    <x v="14"/>
    <x v="723"/>
    <x v="0"/>
    <x v="606"/>
    <x v="805"/>
    <x v="800"/>
    <x v="799"/>
    <x v="766"/>
    <n v="29850"/>
    <n v="350"/>
    <n v="10447500"/>
    <x v="0"/>
  </r>
  <r>
    <x v="14"/>
    <x v="66"/>
    <x v="8"/>
    <x v="607"/>
    <x v="806"/>
    <x v="801"/>
    <x v="800"/>
    <x v="767"/>
    <n v="25200"/>
    <n v="350"/>
    <n v="8820000"/>
    <x v="0"/>
  </r>
  <r>
    <x v="14"/>
    <x v="724"/>
    <x v="1"/>
    <x v="431"/>
    <x v="807"/>
    <x v="789"/>
    <x v="788"/>
    <x v="768"/>
    <n v="1625"/>
    <n v="350"/>
    <n v="568750"/>
    <x v="0"/>
  </r>
  <r>
    <x v="14"/>
    <x v="677"/>
    <x v="5"/>
    <x v="428"/>
    <x v="756"/>
    <x v="752"/>
    <x v="751"/>
    <x v="722"/>
    <n v="3275"/>
    <n v="550"/>
    <n v="1801250"/>
    <x v="2"/>
  </r>
  <r>
    <x v="14"/>
    <x v="725"/>
    <x v="4"/>
    <x v="482"/>
    <x v="808"/>
    <x v="802"/>
    <x v="801"/>
    <x v="769"/>
    <n v="1325"/>
    <n v="450"/>
    <n v="596250"/>
    <x v="2"/>
  </r>
  <r>
    <x v="14"/>
    <x v="626"/>
    <x v="0"/>
    <x v="553"/>
    <x v="696"/>
    <x v="692"/>
    <x v="691"/>
    <x v="671"/>
    <n v="39975"/>
    <n v="350"/>
    <n v="13991250"/>
    <x v="0"/>
  </r>
  <r>
    <x v="14"/>
    <x v="726"/>
    <x v="4"/>
    <x v="608"/>
    <x v="809"/>
    <x v="803"/>
    <x v="802"/>
    <x v="770"/>
    <n v="1400"/>
    <n v="450"/>
    <n v="630000"/>
    <x v="2"/>
  </r>
  <r>
    <x v="14"/>
    <x v="727"/>
    <x v="14"/>
    <x v="337"/>
    <x v="810"/>
    <x v="804"/>
    <x v="803"/>
    <x v="771"/>
    <n v="475"/>
    <n v="550"/>
    <n v="261250"/>
    <x v="2"/>
  </r>
  <r>
    <x v="14"/>
    <x v="481"/>
    <x v="2"/>
    <x v="448"/>
    <x v="535"/>
    <x v="532"/>
    <x v="531"/>
    <x v="518"/>
    <n v="78800"/>
    <n v="450"/>
    <n v="35460000"/>
    <x v="0"/>
  </r>
  <r>
    <x v="14"/>
    <x v="643"/>
    <x v="2"/>
    <x v="296"/>
    <x v="811"/>
    <x v="780"/>
    <x v="779"/>
    <x v="772"/>
    <n v="1950"/>
    <n v="450"/>
    <n v="877500"/>
    <x v="0"/>
  </r>
  <r>
    <x v="14"/>
    <x v="728"/>
    <x v="20"/>
    <x v="609"/>
    <x v="812"/>
    <x v="805"/>
    <x v="804"/>
    <x v="773"/>
    <n v="42550"/>
    <n v="250"/>
    <n v="10637500"/>
    <x v="1"/>
  </r>
  <r>
    <x v="14"/>
    <x v="729"/>
    <x v="13"/>
    <x v="382"/>
    <x v="813"/>
    <x v="806"/>
    <x v="805"/>
    <x v="422"/>
    <n v="325"/>
    <n v="550"/>
    <n v="178750"/>
    <x v="2"/>
  </r>
  <r>
    <x v="14"/>
    <x v="20"/>
    <x v="13"/>
    <x v="88"/>
    <x v="437"/>
    <x v="435"/>
    <x v="434"/>
    <x v="426"/>
    <n v="10500"/>
    <n v="550"/>
    <n v="5775000"/>
    <x v="2"/>
  </r>
  <r>
    <x v="14"/>
    <x v="620"/>
    <x v="2"/>
    <x v="55"/>
    <x v="690"/>
    <x v="686"/>
    <x v="685"/>
    <x v="665"/>
    <n v="2400"/>
    <n v="450"/>
    <n v="1080000"/>
    <x v="0"/>
  </r>
  <r>
    <x v="14"/>
    <x v="167"/>
    <x v="14"/>
    <x v="610"/>
    <x v="814"/>
    <x v="807"/>
    <x v="806"/>
    <x v="774"/>
    <n v="5800"/>
    <n v="550"/>
    <n v="3190000"/>
    <x v="2"/>
  </r>
  <r>
    <x v="14"/>
    <x v="730"/>
    <x v="14"/>
    <x v="611"/>
    <x v="815"/>
    <x v="808"/>
    <x v="807"/>
    <x v="775"/>
    <n v="1525"/>
    <n v="550"/>
    <n v="838750"/>
    <x v="2"/>
  </r>
  <r>
    <x v="14"/>
    <x v="630"/>
    <x v="0"/>
    <x v="555"/>
    <x v="700"/>
    <x v="696"/>
    <x v="695"/>
    <x v="675"/>
    <n v="61075"/>
    <n v="350"/>
    <n v="21376250"/>
    <x v="0"/>
  </r>
  <r>
    <x v="14"/>
    <x v="731"/>
    <x v="6"/>
    <x v="612"/>
    <x v="816"/>
    <x v="809"/>
    <x v="808"/>
    <x v="776"/>
    <n v="9450"/>
    <n v="450"/>
    <n v="4252500"/>
    <x v="2"/>
  </r>
  <r>
    <x v="14"/>
    <x v="732"/>
    <x v="4"/>
    <x v="183"/>
    <x v="817"/>
    <x v="810"/>
    <x v="809"/>
    <x v="777"/>
    <n v="2550"/>
    <n v="450"/>
    <n v="1147500"/>
    <x v="2"/>
  </r>
  <r>
    <x v="14"/>
    <x v="733"/>
    <x v="4"/>
    <x v="415"/>
    <x v="818"/>
    <x v="811"/>
    <x v="810"/>
    <x v="632"/>
    <n v="250"/>
    <n v="450"/>
    <n v="112500"/>
    <x v="2"/>
  </r>
  <r>
    <x v="14"/>
    <x v="525"/>
    <x v="0"/>
    <x v="613"/>
    <x v="819"/>
    <x v="812"/>
    <x v="811"/>
    <x v="778"/>
    <n v="33275"/>
    <n v="350"/>
    <n v="11646250"/>
    <x v="0"/>
  </r>
  <r>
    <x v="14"/>
    <x v="734"/>
    <x v="14"/>
    <x v="614"/>
    <x v="820"/>
    <x v="813"/>
    <x v="812"/>
    <x v="779"/>
    <n v="7775"/>
    <n v="550"/>
    <n v="4276250"/>
    <x v="2"/>
  </r>
  <r>
    <x v="14"/>
    <x v="735"/>
    <x v="0"/>
    <x v="615"/>
    <x v="821"/>
    <x v="814"/>
    <x v="813"/>
    <x v="780"/>
    <n v="5000"/>
    <n v="350"/>
    <n v="1750000"/>
    <x v="0"/>
  </r>
  <r>
    <x v="14"/>
    <x v="736"/>
    <x v="4"/>
    <x v="616"/>
    <x v="822"/>
    <x v="815"/>
    <x v="814"/>
    <x v="781"/>
    <n v="2650"/>
    <n v="450"/>
    <n v="1192500"/>
    <x v="2"/>
  </r>
  <r>
    <x v="14"/>
    <x v="737"/>
    <x v="0"/>
    <x v="193"/>
    <x v="823"/>
    <x v="816"/>
    <x v="815"/>
    <x v="782"/>
    <n v="150"/>
    <n v="350"/>
    <n v="52500"/>
    <x v="0"/>
  </r>
  <r>
    <x v="14"/>
    <x v="738"/>
    <x v="14"/>
    <x v="45"/>
    <x v="824"/>
    <x v="817"/>
    <x v="816"/>
    <x v="783"/>
    <n v="1450"/>
    <n v="550"/>
    <n v="797500"/>
    <x v="2"/>
  </r>
  <r>
    <x v="14"/>
    <x v="739"/>
    <x v="8"/>
    <x v="430"/>
    <x v="825"/>
    <x v="818"/>
    <x v="817"/>
    <x v="784"/>
    <n v="20200"/>
    <n v="350"/>
    <n v="7070000"/>
    <x v="0"/>
  </r>
  <r>
    <x v="14"/>
    <x v="604"/>
    <x v="0"/>
    <x v="322"/>
    <x v="674"/>
    <x v="669"/>
    <x v="668"/>
    <x v="649"/>
    <n v="700"/>
    <n v="350"/>
    <n v="245000"/>
    <x v="0"/>
  </r>
  <r>
    <x v="14"/>
    <x v="740"/>
    <x v="8"/>
    <x v="583"/>
    <x v="826"/>
    <x v="819"/>
    <x v="818"/>
    <x v="785"/>
    <n v="600"/>
    <n v="350"/>
    <n v="210000"/>
    <x v="0"/>
  </r>
  <r>
    <x v="14"/>
    <x v="741"/>
    <x v="0"/>
    <x v="617"/>
    <x v="827"/>
    <x v="820"/>
    <x v="819"/>
    <x v="786"/>
    <n v="23375"/>
    <n v="350"/>
    <n v="8181250"/>
    <x v="0"/>
  </r>
  <r>
    <x v="14"/>
    <x v="742"/>
    <x v="8"/>
    <x v="457"/>
    <x v="828"/>
    <x v="821"/>
    <x v="820"/>
    <x v="787"/>
    <n v="12825"/>
    <n v="350"/>
    <n v="4488750"/>
    <x v="0"/>
  </r>
  <r>
    <x v="14"/>
    <x v="743"/>
    <x v="7"/>
    <x v="618"/>
    <x v="829"/>
    <x v="822"/>
    <x v="821"/>
    <x v="788"/>
    <n v="111500"/>
    <n v="350"/>
    <n v="39025000"/>
    <x v="0"/>
  </r>
  <r>
    <x v="14"/>
    <x v="744"/>
    <x v="10"/>
    <x v="382"/>
    <x v="830"/>
    <x v="823"/>
    <x v="822"/>
    <x v="789"/>
    <n v="325"/>
    <n v="550"/>
    <n v="178750"/>
    <x v="2"/>
  </r>
  <r>
    <x v="14"/>
    <x v="745"/>
    <x v="10"/>
    <x v="70"/>
    <x v="831"/>
    <x v="824"/>
    <x v="823"/>
    <x v="718"/>
    <n v="725"/>
    <n v="550"/>
    <n v="398750"/>
    <x v="2"/>
  </r>
  <r>
    <x v="15"/>
    <x v="746"/>
    <x v="2"/>
    <x v="619"/>
    <x v="832"/>
    <x v="825"/>
    <x v="824"/>
    <x v="790"/>
    <n v="77650"/>
    <n v="450"/>
    <n v="34942500"/>
    <x v="0"/>
  </r>
  <r>
    <x v="15"/>
    <x v="20"/>
    <x v="14"/>
    <x v="116"/>
    <x v="118"/>
    <x v="117"/>
    <x v="117"/>
    <x v="119"/>
    <n v="35375"/>
    <n v="550"/>
    <n v="19456250"/>
    <x v="2"/>
  </r>
  <r>
    <x v="15"/>
    <x v="747"/>
    <x v="2"/>
    <x v="620"/>
    <x v="833"/>
    <x v="826"/>
    <x v="825"/>
    <x v="791"/>
    <n v="1900"/>
    <n v="450"/>
    <n v="855000"/>
    <x v="0"/>
  </r>
  <r>
    <x v="15"/>
    <x v="204"/>
    <x v="6"/>
    <x v="208"/>
    <x v="217"/>
    <x v="216"/>
    <x v="216"/>
    <x v="216"/>
    <n v="13575"/>
    <n v="450"/>
    <n v="6108750"/>
    <x v="2"/>
  </r>
  <r>
    <x v="15"/>
    <x v="748"/>
    <x v="3"/>
    <x v="621"/>
    <x v="834"/>
    <x v="827"/>
    <x v="826"/>
    <x v="792"/>
    <n v="18975"/>
    <n v="250"/>
    <n v="4743750"/>
    <x v="1"/>
  </r>
  <r>
    <x v="15"/>
    <x v="749"/>
    <x v="2"/>
    <x v="545"/>
    <x v="835"/>
    <x v="828"/>
    <x v="827"/>
    <x v="793"/>
    <n v="500"/>
    <n v="450"/>
    <n v="225000"/>
    <x v="0"/>
  </r>
  <r>
    <x v="15"/>
    <x v="113"/>
    <x v="2"/>
    <x v="113"/>
    <x v="115"/>
    <x v="114"/>
    <x v="114"/>
    <x v="116"/>
    <n v="615000"/>
    <n v="450"/>
    <n v="276750000"/>
    <x v="0"/>
  </r>
  <r>
    <x v="15"/>
    <x v="750"/>
    <x v="7"/>
    <x v="622"/>
    <x v="836"/>
    <x v="829"/>
    <x v="828"/>
    <x v="794"/>
    <n v="7375"/>
    <n v="350"/>
    <n v="2581250"/>
    <x v="0"/>
  </r>
  <r>
    <x v="15"/>
    <x v="751"/>
    <x v="13"/>
    <x v="453"/>
    <x v="837"/>
    <x v="830"/>
    <x v="829"/>
    <x v="641"/>
    <n v="825"/>
    <n v="550"/>
    <n v="453750"/>
    <x v="2"/>
  </r>
  <r>
    <x v="15"/>
    <x v="118"/>
    <x v="0"/>
    <x v="120"/>
    <x v="122"/>
    <x v="121"/>
    <x v="121"/>
    <x v="123"/>
    <n v="104050"/>
    <n v="350"/>
    <n v="36417500"/>
    <x v="0"/>
  </r>
  <r>
    <x v="15"/>
    <x v="752"/>
    <x v="3"/>
    <x v="603"/>
    <x v="838"/>
    <x v="831"/>
    <x v="830"/>
    <x v="795"/>
    <n v="23400"/>
    <n v="250"/>
    <n v="5850000"/>
    <x v="1"/>
  </r>
  <r>
    <x v="15"/>
    <x v="753"/>
    <x v="12"/>
    <x v="623"/>
    <x v="839"/>
    <x v="832"/>
    <x v="831"/>
    <x v="796"/>
    <n v="9150"/>
    <n v="250"/>
    <n v="2287500"/>
    <x v="1"/>
  </r>
  <r>
    <x v="15"/>
    <x v="754"/>
    <x v="8"/>
    <x v="624"/>
    <x v="840"/>
    <x v="833"/>
    <x v="832"/>
    <x v="797"/>
    <n v="27400"/>
    <n v="350"/>
    <n v="9590000"/>
    <x v="0"/>
  </r>
  <r>
    <x v="15"/>
    <x v="755"/>
    <x v="1"/>
    <x v="156"/>
    <x v="841"/>
    <x v="834"/>
    <x v="833"/>
    <x v="798"/>
    <n v="450"/>
    <n v="350"/>
    <n v="157500"/>
    <x v="0"/>
  </r>
  <r>
    <x v="15"/>
    <x v="137"/>
    <x v="1"/>
    <x v="143"/>
    <x v="145"/>
    <x v="144"/>
    <x v="144"/>
    <x v="146"/>
    <n v="45425"/>
    <n v="350"/>
    <n v="15898750"/>
    <x v="0"/>
  </r>
  <r>
    <x v="15"/>
    <x v="756"/>
    <x v="12"/>
    <x v="607"/>
    <x v="842"/>
    <x v="835"/>
    <x v="834"/>
    <x v="799"/>
    <n v="25200"/>
    <n v="250"/>
    <n v="6300000"/>
    <x v="1"/>
  </r>
  <r>
    <x v="15"/>
    <x v="757"/>
    <x v="1"/>
    <x v="402"/>
    <x v="843"/>
    <x v="836"/>
    <x v="835"/>
    <x v="800"/>
    <n v="1350"/>
    <n v="350"/>
    <n v="472500"/>
    <x v="0"/>
  </r>
  <r>
    <x v="15"/>
    <x v="195"/>
    <x v="2"/>
    <x v="199"/>
    <x v="208"/>
    <x v="207"/>
    <x v="207"/>
    <x v="207"/>
    <n v="36125"/>
    <n v="450"/>
    <n v="16256250"/>
    <x v="0"/>
  </r>
  <r>
    <x v="15"/>
    <x v="758"/>
    <x v="3"/>
    <x v="625"/>
    <x v="844"/>
    <x v="837"/>
    <x v="836"/>
    <x v="801"/>
    <n v="7575"/>
    <n v="250"/>
    <n v="1893750"/>
    <x v="1"/>
  </r>
  <r>
    <x v="15"/>
    <x v="759"/>
    <x v="3"/>
    <x v="626"/>
    <x v="845"/>
    <x v="838"/>
    <x v="837"/>
    <x v="802"/>
    <n v="34525"/>
    <n v="250"/>
    <n v="8631250"/>
    <x v="1"/>
  </r>
  <r>
    <x v="15"/>
    <x v="760"/>
    <x v="8"/>
    <x v="627"/>
    <x v="846"/>
    <x v="839"/>
    <x v="838"/>
    <x v="803"/>
    <n v="59675"/>
    <n v="350"/>
    <n v="20886250"/>
    <x v="0"/>
  </r>
  <r>
    <x v="15"/>
    <x v="761"/>
    <x v="7"/>
    <x v="402"/>
    <x v="847"/>
    <x v="840"/>
    <x v="839"/>
    <x v="804"/>
    <n v="1350"/>
    <n v="350"/>
    <n v="472500"/>
    <x v="0"/>
  </r>
  <r>
    <x v="15"/>
    <x v="762"/>
    <x v="12"/>
    <x v="541"/>
    <x v="848"/>
    <x v="841"/>
    <x v="840"/>
    <x v="805"/>
    <n v="4800"/>
    <n v="250"/>
    <n v="1200000"/>
    <x v="1"/>
  </r>
  <r>
    <x v="15"/>
    <x v="196"/>
    <x v="0"/>
    <x v="200"/>
    <x v="209"/>
    <x v="208"/>
    <x v="208"/>
    <x v="208"/>
    <n v="75475"/>
    <n v="350"/>
    <n v="26416250"/>
    <x v="0"/>
  </r>
  <r>
    <x v="15"/>
    <x v="147"/>
    <x v="0"/>
    <x v="153"/>
    <x v="155"/>
    <x v="154"/>
    <x v="154"/>
    <x v="156"/>
    <n v="127150"/>
    <n v="350"/>
    <n v="44502500"/>
    <x v="0"/>
  </r>
  <r>
    <x v="15"/>
    <x v="763"/>
    <x v="0"/>
    <x v="628"/>
    <x v="849"/>
    <x v="842"/>
    <x v="841"/>
    <x v="806"/>
    <n v="800"/>
    <n v="350"/>
    <n v="280000"/>
    <x v="0"/>
  </r>
  <r>
    <x v="15"/>
    <x v="764"/>
    <x v="8"/>
    <x v="629"/>
    <x v="850"/>
    <x v="843"/>
    <x v="842"/>
    <x v="807"/>
    <n v="79675"/>
    <n v="350"/>
    <n v="27886250"/>
    <x v="0"/>
  </r>
  <r>
    <x v="15"/>
    <x v="765"/>
    <x v="3"/>
    <x v="112"/>
    <x v="851"/>
    <x v="844"/>
    <x v="843"/>
    <x v="808"/>
    <n v="425"/>
    <n v="250"/>
    <n v="106250"/>
    <x v="1"/>
  </r>
  <r>
    <x v="15"/>
    <x v="766"/>
    <x v="12"/>
    <x v="73"/>
    <x v="852"/>
    <x v="845"/>
    <x v="844"/>
    <x v="809"/>
    <n v="2350"/>
    <n v="250"/>
    <n v="587500"/>
    <x v="1"/>
  </r>
  <r>
    <x v="15"/>
    <x v="767"/>
    <x v="19"/>
    <x v="189"/>
    <x v="853"/>
    <x v="846"/>
    <x v="845"/>
    <x v="810"/>
    <n v="925"/>
    <n v="250"/>
    <n v="231250"/>
    <x v="1"/>
  </r>
  <r>
    <x v="15"/>
    <x v="98"/>
    <x v="8"/>
    <x v="98"/>
    <x v="100"/>
    <x v="99"/>
    <x v="99"/>
    <x v="101"/>
    <n v="211425"/>
    <n v="350"/>
    <n v="73998750"/>
    <x v="0"/>
  </r>
  <r>
    <x v="15"/>
    <x v="768"/>
    <x v="15"/>
    <x v="47"/>
    <x v="854"/>
    <x v="847"/>
    <x v="846"/>
    <x v="811"/>
    <n v="2750"/>
    <n v="250"/>
    <n v="687500"/>
    <x v="1"/>
  </r>
  <r>
    <x v="15"/>
    <x v="769"/>
    <x v="0"/>
    <x v="580"/>
    <x v="855"/>
    <x v="848"/>
    <x v="847"/>
    <x v="812"/>
    <n v="1025"/>
    <n v="350"/>
    <n v="358750"/>
    <x v="0"/>
  </r>
  <r>
    <x v="15"/>
    <x v="770"/>
    <x v="7"/>
    <x v="630"/>
    <x v="856"/>
    <x v="849"/>
    <x v="848"/>
    <x v="813"/>
    <n v="35675"/>
    <n v="350"/>
    <n v="12486250"/>
    <x v="0"/>
  </r>
  <r>
    <x v="15"/>
    <x v="771"/>
    <x v="1"/>
    <x v="322"/>
    <x v="857"/>
    <x v="850"/>
    <x v="849"/>
    <x v="738"/>
    <n v="700"/>
    <n v="350"/>
    <n v="245000"/>
    <x v="0"/>
  </r>
  <r>
    <x v="15"/>
    <x v="772"/>
    <x v="7"/>
    <x v="631"/>
    <x v="858"/>
    <x v="851"/>
    <x v="850"/>
    <x v="814"/>
    <n v="5900"/>
    <n v="350"/>
    <n v="2065000"/>
    <x v="0"/>
  </r>
  <r>
    <x v="15"/>
    <x v="773"/>
    <x v="7"/>
    <x v="191"/>
    <x v="859"/>
    <x v="852"/>
    <x v="851"/>
    <x v="815"/>
    <n v="1775"/>
    <n v="350"/>
    <n v="621250"/>
    <x v="0"/>
  </r>
  <r>
    <x v="15"/>
    <x v="774"/>
    <x v="6"/>
    <x v="567"/>
    <x v="860"/>
    <x v="853"/>
    <x v="852"/>
    <x v="816"/>
    <n v="100"/>
    <n v="450"/>
    <n v="45000"/>
    <x v="2"/>
  </r>
  <r>
    <x v="15"/>
    <x v="775"/>
    <x v="3"/>
    <x v="415"/>
    <x v="861"/>
    <x v="854"/>
    <x v="853"/>
    <x v="627"/>
    <n v="250"/>
    <n v="250"/>
    <n v="62500"/>
    <x v="1"/>
  </r>
  <r>
    <x v="15"/>
    <x v="776"/>
    <x v="10"/>
    <x v="328"/>
    <x v="862"/>
    <x v="855"/>
    <x v="854"/>
    <x v="354"/>
    <n v="25"/>
    <n v="550"/>
    <n v="13750"/>
    <x v="2"/>
  </r>
  <r>
    <x v="15"/>
    <x v="417"/>
    <x v="12"/>
    <x v="402"/>
    <x v="465"/>
    <x v="463"/>
    <x v="462"/>
    <x v="452"/>
    <n v="1350"/>
    <n v="250"/>
    <n v="337500"/>
    <x v="1"/>
  </r>
  <r>
    <x v="15"/>
    <x v="777"/>
    <x v="9"/>
    <x v="632"/>
    <x v="863"/>
    <x v="856"/>
    <x v="855"/>
    <x v="817"/>
    <n v="27375"/>
    <n v="250"/>
    <n v="6843750"/>
    <x v="1"/>
  </r>
  <r>
    <x v="15"/>
    <x v="778"/>
    <x v="5"/>
    <x v="601"/>
    <x v="864"/>
    <x v="857"/>
    <x v="856"/>
    <x v="818"/>
    <n v="6500"/>
    <n v="550"/>
    <n v="3575000"/>
    <x v="2"/>
  </r>
  <r>
    <x v="15"/>
    <x v="779"/>
    <x v="9"/>
    <x v="38"/>
    <x v="865"/>
    <x v="858"/>
    <x v="857"/>
    <x v="819"/>
    <n v="1650"/>
    <n v="250"/>
    <n v="412500"/>
    <x v="1"/>
  </r>
  <r>
    <x v="15"/>
    <x v="780"/>
    <x v="1"/>
    <x v="633"/>
    <x v="866"/>
    <x v="859"/>
    <x v="858"/>
    <x v="820"/>
    <n v="885700"/>
    <n v="350"/>
    <n v="309995000"/>
    <x v="0"/>
  </r>
  <r>
    <x v="15"/>
    <x v="781"/>
    <x v="10"/>
    <x v="328"/>
    <x v="867"/>
    <x v="860"/>
    <x v="859"/>
    <x v="354"/>
    <n v="25"/>
    <n v="550"/>
    <n v="13750"/>
    <x v="2"/>
  </r>
  <r>
    <x v="15"/>
    <x v="782"/>
    <x v="7"/>
    <x v="354"/>
    <x v="868"/>
    <x v="861"/>
    <x v="860"/>
    <x v="821"/>
    <n v="5875"/>
    <n v="350"/>
    <n v="2056250"/>
    <x v="0"/>
  </r>
  <r>
    <x v="15"/>
    <x v="783"/>
    <x v="0"/>
    <x v="70"/>
    <x v="869"/>
    <x v="862"/>
    <x v="861"/>
    <x v="822"/>
    <n v="725"/>
    <n v="350"/>
    <n v="253750"/>
    <x v="0"/>
  </r>
  <r>
    <x v="15"/>
    <x v="227"/>
    <x v="14"/>
    <x v="231"/>
    <x v="242"/>
    <x v="241"/>
    <x v="241"/>
    <x v="240"/>
    <n v="6525"/>
    <n v="550"/>
    <n v="3588750"/>
    <x v="2"/>
  </r>
  <r>
    <x v="15"/>
    <x v="199"/>
    <x v="0"/>
    <x v="203"/>
    <x v="212"/>
    <x v="211"/>
    <x v="211"/>
    <x v="211"/>
    <n v="24175"/>
    <n v="350"/>
    <n v="8461250"/>
    <x v="0"/>
  </r>
  <r>
    <x v="15"/>
    <x v="784"/>
    <x v="0"/>
    <x v="131"/>
    <x v="870"/>
    <x v="863"/>
    <x v="862"/>
    <x v="823"/>
    <n v="625"/>
    <n v="350"/>
    <n v="218750"/>
    <x v="0"/>
  </r>
  <r>
    <x v="15"/>
    <x v="394"/>
    <x v="6"/>
    <x v="384"/>
    <x v="436"/>
    <x v="434"/>
    <x v="433"/>
    <x v="425"/>
    <n v="64250"/>
    <n v="450"/>
    <n v="28912500"/>
    <x v="2"/>
  </r>
  <r>
    <x v="15"/>
    <x v="785"/>
    <x v="20"/>
    <x v="185"/>
    <x v="871"/>
    <x v="864"/>
    <x v="863"/>
    <x v="824"/>
    <n v="125"/>
    <n v="250"/>
    <n v="31250"/>
    <x v="1"/>
  </r>
  <r>
    <x v="15"/>
    <x v="786"/>
    <x v="19"/>
    <x v="583"/>
    <x v="872"/>
    <x v="865"/>
    <x v="864"/>
    <x v="115"/>
    <n v="600"/>
    <n v="250"/>
    <n v="150000"/>
    <x v="1"/>
  </r>
  <r>
    <x v="15"/>
    <x v="787"/>
    <x v="12"/>
    <x v="188"/>
    <x v="873"/>
    <x v="866"/>
    <x v="865"/>
    <x v="825"/>
    <n v="275"/>
    <n v="250"/>
    <n v="68750"/>
    <x v="1"/>
  </r>
  <r>
    <x v="15"/>
    <x v="109"/>
    <x v="6"/>
    <x v="109"/>
    <x v="111"/>
    <x v="110"/>
    <x v="110"/>
    <x v="112"/>
    <n v="19350"/>
    <n v="450"/>
    <n v="8707500"/>
    <x v="2"/>
  </r>
  <r>
    <x v="15"/>
    <x v="788"/>
    <x v="3"/>
    <x v="634"/>
    <x v="874"/>
    <x v="867"/>
    <x v="866"/>
    <x v="826"/>
    <n v="12050"/>
    <n v="250"/>
    <n v="3012500"/>
    <x v="1"/>
  </r>
  <r>
    <x v="15"/>
    <x v="789"/>
    <x v="10"/>
    <x v="185"/>
    <x v="875"/>
    <x v="868"/>
    <x v="867"/>
    <x v="827"/>
    <n v="125"/>
    <n v="550"/>
    <n v="68750"/>
    <x v="2"/>
  </r>
  <r>
    <x v="15"/>
    <x v="790"/>
    <x v="11"/>
    <x v="588"/>
    <x v="876"/>
    <x v="869"/>
    <x v="868"/>
    <x v="828"/>
    <n v="5275"/>
    <n v="250"/>
    <n v="1318750"/>
    <x v="1"/>
  </r>
  <r>
    <x v="15"/>
    <x v="192"/>
    <x v="6"/>
    <x v="196"/>
    <x v="205"/>
    <x v="204"/>
    <x v="204"/>
    <x v="204"/>
    <n v="95225"/>
    <n v="450"/>
    <n v="42851250"/>
    <x v="2"/>
  </r>
  <r>
    <x v="16"/>
    <x v="201"/>
    <x v="1"/>
    <x v="635"/>
    <x v="877"/>
    <x v="870"/>
    <x v="869"/>
    <x v="829"/>
    <n v="234525"/>
    <n v="350"/>
    <n v="82083750"/>
    <x v="0"/>
  </r>
  <r>
    <x v="16"/>
    <x v="90"/>
    <x v="2"/>
    <x v="636"/>
    <x v="878"/>
    <x v="871"/>
    <x v="870"/>
    <x v="830"/>
    <n v="53225"/>
    <n v="450"/>
    <n v="23951250"/>
    <x v="0"/>
  </r>
  <r>
    <x v="16"/>
    <x v="791"/>
    <x v="0"/>
    <x v="314"/>
    <x v="879"/>
    <x v="872"/>
    <x v="871"/>
    <x v="831"/>
    <n v="9925"/>
    <n v="350"/>
    <n v="3473750"/>
    <x v="0"/>
  </r>
  <r>
    <x v="16"/>
    <x v="792"/>
    <x v="7"/>
    <x v="637"/>
    <x v="880"/>
    <x v="873"/>
    <x v="872"/>
    <x v="832"/>
    <n v="102475"/>
    <n v="350"/>
    <n v="35866250"/>
    <x v="0"/>
  </r>
  <r>
    <x v="16"/>
    <x v="793"/>
    <x v="14"/>
    <x v="638"/>
    <x v="881"/>
    <x v="874"/>
    <x v="873"/>
    <x v="833"/>
    <n v="183750"/>
    <n v="550"/>
    <n v="101062500"/>
    <x v="2"/>
  </r>
  <r>
    <x v="16"/>
    <x v="794"/>
    <x v="14"/>
    <x v="501"/>
    <x v="882"/>
    <x v="875"/>
    <x v="874"/>
    <x v="834"/>
    <n v="550"/>
    <n v="550"/>
    <n v="302500"/>
    <x v="2"/>
  </r>
  <r>
    <x v="16"/>
    <x v="795"/>
    <x v="0"/>
    <x v="639"/>
    <x v="883"/>
    <x v="876"/>
    <x v="875"/>
    <x v="835"/>
    <n v="109300"/>
    <n v="350"/>
    <n v="38255000"/>
    <x v="0"/>
  </r>
  <r>
    <x v="16"/>
    <x v="66"/>
    <x v="12"/>
    <x v="640"/>
    <x v="884"/>
    <x v="877"/>
    <x v="876"/>
    <x v="836"/>
    <n v="18400"/>
    <n v="250"/>
    <n v="4600000"/>
    <x v="1"/>
  </r>
  <r>
    <x v="16"/>
    <x v="796"/>
    <x v="6"/>
    <x v="192"/>
    <x v="885"/>
    <x v="878"/>
    <x v="877"/>
    <x v="837"/>
    <n v="21325"/>
    <n v="450"/>
    <n v="9596250"/>
    <x v="2"/>
  </r>
  <r>
    <x v="16"/>
    <x v="797"/>
    <x v="6"/>
    <x v="641"/>
    <x v="886"/>
    <x v="879"/>
    <x v="878"/>
    <x v="838"/>
    <n v="169375"/>
    <n v="450"/>
    <n v="76218750"/>
    <x v="2"/>
  </r>
  <r>
    <x v="16"/>
    <x v="798"/>
    <x v="5"/>
    <x v="427"/>
    <x v="887"/>
    <x v="880"/>
    <x v="879"/>
    <x v="839"/>
    <n v="4300"/>
    <n v="550"/>
    <n v="2365000"/>
    <x v="2"/>
  </r>
  <r>
    <x v="16"/>
    <x v="799"/>
    <x v="8"/>
    <x v="642"/>
    <x v="888"/>
    <x v="881"/>
    <x v="880"/>
    <x v="840"/>
    <n v="8325"/>
    <n v="350"/>
    <n v="2913750"/>
    <x v="0"/>
  </r>
  <r>
    <x v="16"/>
    <x v="66"/>
    <x v="7"/>
    <x v="249"/>
    <x v="889"/>
    <x v="882"/>
    <x v="881"/>
    <x v="841"/>
    <n v="34325"/>
    <n v="350"/>
    <n v="12013750"/>
    <x v="0"/>
  </r>
  <r>
    <x v="16"/>
    <x v="800"/>
    <x v="0"/>
    <x v="213"/>
    <x v="890"/>
    <x v="883"/>
    <x v="882"/>
    <x v="842"/>
    <n v="63050"/>
    <n v="350"/>
    <n v="22067500"/>
    <x v="0"/>
  </r>
  <r>
    <x v="16"/>
    <x v="801"/>
    <x v="0"/>
    <x v="643"/>
    <x v="891"/>
    <x v="884"/>
    <x v="883"/>
    <x v="843"/>
    <n v="33175"/>
    <n v="350"/>
    <n v="11611250"/>
    <x v="0"/>
  </r>
  <r>
    <x v="16"/>
    <x v="802"/>
    <x v="2"/>
    <x v="644"/>
    <x v="892"/>
    <x v="885"/>
    <x v="884"/>
    <x v="844"/>
    <n v="100625"/>
    <n v="450"/>
    <n v="45281250"/>
    <x v="0"/>
  </r>
  <r>
    <x v="16"/>
    <x v="803"/>
    <x v="8"/>
    <x v="645"/>
    <x v="893"/>
    <x v="886"/>
    <x v="885"/>
    <x v="845"/>
    <n v="119850"/>
    <n v="350"/>
    <n v="41947500"/>
    <x v="0"/>
  </r>
  <r>
    <x v="16"/>
    <x v="250"/>
    <x v="4"/>
    <x v="251"/>
    <x v="267"/>
    <x v="266"/>
    <x v="266"/>
    <x v="263"/>
    <n v="64725"/>
    <n v="450"/>
    <n v="29126250"/>
    <x v="2"/>
  </r>
  <r>
    <x v="16"/>
    <x v="804"/>
    <x v="2"/>
    <x v="646"/>
    <x v="894"/>
    <x v="887"/>
    <x v="886"/>
    <x v="846"/>
    <n v="83950"/>
    <n v="450"/>
    <n v="37777500"/>
    <x v="0"/>
  </r>
  <r>
    <x v="16"/>
    <x v="58"/>
    <x v="2"/>
    <x v="647"/>
    <x v="895"/>
    <x v="888"/>
    <x v="887"/>
    <x v="847"/>
    <n v="21250"/>
    <n v="450"/>
    <n v="9562500"/>
    <x v="0"/>
  </r>
  <r>
    <x v="16"/>
    <x v="805"/>
    <x v="4"/>
    <x v="376"/>
    <x v="896"/>
    <x v="889"/>
    <x v="888"/>
    <x v="848"/>
    <n v="3675"/>
    <n v="450"/>
    <n v="1653750"/>
    <x v="2"/>
  </r>
  <r>
    <x v="16"/>
    <x v="806"/>
    <x v="7"/>
    <x v="440"/>
    <x v="897"/>
    <x v="890"/>
    <x v="889"/>
    <x v="507"/>
    <n v="10700"/>
    <n v="350"/>
    <n v="3745000"/>
    <x v="0"/>
  </r>
  <r>
    <x v="16"/>
    <x v="807"/>
    <x v="2"/>
    <x v="648"/>
    <x v="898"/>
    <x v="891"/>
    <x v="890"/>
    <x v="849"/>
    <n v="8550"/>
    <n v="450"/>
    <n v="3847500"/>
    <x v="0"/>
  </r>
  <r>
    <x v="16"/>
    <x v="808"/>
    <x v="2"/>
    <x v="649"/>
    <x v="899"/>
    <x v="892"/>
    <x v="891"/>
    <x v="850"/>
    <n v="65800"/>
    <n v="450"/>
    <n v="29610000"/>
    <x v="0"/>
  </r>
  <r>
    <x v="16"/>
    <x v="809"/>
    <x v="0"/>
    <x v="650"/>
    <x v="900"/>
    <x v="893"/>
    <x v="892"/>
    <x v="851"/>
    <n v="424950"/>
    <n v="350"/>
    <n v="148732500"/>
    <x v="0"/>
  </r>
  <r>
    <x v="16"/>
    <x v="810"/>
    <x v="1"/>
    <x v="651"/>
    <x v="901"/>
    <x v="894"/>
    <x v="893"/>
    <x v="852"/>
    <n v="8800"/>
    <n v="350"/>
    <n v="3080000"/>
    <x v="0"/>
  </r>
  <r>
    <x v="16"/>
    <x v="811"/>
    <x v="0"/>
    <x v="652"/>
    <x v="902"/>
    <x v="895"/>
    <x v="894"/>
    <x v="853"/>
    <n v="282450"/>
    <n v="350"/>
    <n v="98857500"/>
    <x v="0"/>
  </r>
  <r>
    <x v="16"/>
    <x v="480"/>
    <x v="4"/>
    <x v="447"/>
    <x v="534"/>
    <x v="531"/>
    <x v="530"/>
    <x v="517"/>
    <n v="7100"/>
    <n v="450"/>
    <n v="3195000"/>
    <x v="2"/>
  </r>
  <r>
    <x v="16"/>
    <x v="448"/>
    <x v="0"/>
    <x v="422"/>
    <x v="497"/>
    <x v="495"/>
    <x v="494"/>
    <x v="483"/>
    <n v="42475"/>
    <n v="350"/>
    <n v="14866250"/>
    <x v="0"/>
  </r>
  <r>
    <x v="16"/>
    <x v="812"/>
    <x v="0"/>
    <x v="653"/>
    <x v="903"/>
    <x v="884"/>
    <x v="883"/>
    <x v="854"/>
    <n v="18725"/>
    <n v="350"/>
    <n v="6553750"/>
    <x v="0"/>
  </r>
  <r>
    <x v="16"/>
    <x v="813"/>
    <x v="3"/>
    <x v="576"/>
    <x v="904"/>
    <x v="896"/>
    <x v="895"/>
    <x v="855"/>
    <n v="2700"/>
    <n v="250"/>
    <n v="675000"/>
    <x v="1"/>
  </r>
  <r>
    <x v="16"/>
    <x v="58"/>
    <x v="6"/>
    <x v="654"/>
    <x v="905"/>
    <x v="897"/>
    <x v="896"/>
    <x v="856"/>
    <n v="7900"/>
    <n v="450"/>
    <n v="3555000"/>
    <x v="2"/>
  </r>
  <r>
    <x v="16"/>
    <x v="814"/>
    <x v="4"/>
    <x v="655"/>
    <x v="906"/>
    <x v="898"/>
    <x v="897"/>
    <x v="857"/>
    <n v="302375"/>
    <n v="450"/>
    <n v="136068750"/>
    <x v="2"/>
  </r>
  <r>
    <x v="16"/>
    <x v="815"/>
    <x v="3"/>
    <x v="344"/>
    <x v="907"/>
    <x v="899"/>
    <x v="898"/>
    <x v="858"/>
    <n v="16825"/>
    <n v="250"/>
    <n v="4206250"/>
    <x v="1"/>
  </r>
  <r>
    <x v="16"/>
    <x v="816"/>
    <x v="2"/>
    <x v="337"/>
    <x v="908"/>
    <x v="900"/>
    <x v="899"/>
    <x v="584"/>
    <n v="475"/>
    <n v="450"/>
    <n v="213750"/>
    <x v="0"/>
  </r>
  <r>
    <x v="16"/>
    <x v="817"/>
    <x v="1"/>
    <x v="656"/>
    <x v="909"/>
    <x v="901"/>
    <x v="900"/>
    <x v="859"/>
    <n v="21650"/>
    <n v="350"/>
    <n v="7577500"/>
    <x v="0"/>
  </r>
  <r>
    <x v="16"/>
    <x v="818"/>
    <x v="0"/>
    <x v="431"/>
    <x v="910"/>
    <x v="902"/>
    <x v="901"/>
    <x v="860"/>
    <n v="1625"/>
    <n v="350"/>
    <n v="568750"/>
    <x v="0"/>
  </r>
  <r>
    <x v="16"/>
    <x v="819"/>
    <x v="4"/>
    <x v="70"/>
    <x v="911"/>
    <x v="903"/>
    <x v="902"/>
    <x v="716"/>
    <n v="725"/>
    <n v="450"/>
    <n v="326250"/>
    <x v="2"/>
  </r>
  <r>
    <x v="16"/>
    <x v="780"/>
    <x v="0"/>
    <x v="657"/>
    <x v="912"/>
    <x v="904"/>
    <x v="903"/>
    <x v="861"/>
    <n v="229650"/>
    <n v="350"/>
    <n v="80377500"/>
    <x v="0"/>
  </r>
  <r>
    <x v="16"/>
    <x v="820"/>
    <x v="7"/>
    <x v="399"/>
    <x v="913"/>
    <x v="905"/>
    <x v="904"/>
    <x v="862"/>
    <n v="1075"/>
    <n v="350"/>
    <n v="376250"/>
    <x v="0"/>
  </r>
  <r>
    <x v="16"/>
    <x v="271"/>
    <x v="4"/>
    <x v="274"/>
    <x v="292"/>
    <x v="291"/>
    <x v="291"/>
    <x v="288"/>
    <n v="61325"/>
    <n v="450"/>
    <n v="27596250"/>
    <x v="2"/>
  </r>
  <r>
    <x v="16"/>
    <x v="186"/>
    <x v="1"/>
    <x v="658"/>
    <x v="914"/>
    <x v="906"/>
    <x v="905"/>
    <x v="863"/>
    <n v="900"/>
    <n v="350"/>
    <n v="315000"/>
    <x v="0"/>
  </r>
  <r>
    <x v="16"/>
    <x v="20"/>
    <x v="5"/>
    <x v="429"/>
    <x v="505"/>
    <x v="503"/>
    <x v="502"/>
    <x v="491"/>
    <n v="19650"/>
    <n v="550"/>
    <n v="10807500"/>
    <x v="2"/>
  </r>
  <r>
    <x v="16"/>
    <x v="456"/>
    <x v="6"/>
    <x v="430"/>
    <x v="506"/>
    <x v="504"/>
    <x v="503"/>
    <x v="492"/>
    <n v="20200"/>
    <n v="450"/>
    <n v="9090000"/>
    <x v="2"/>
  </r>
  <r>
    <x v="16"/>
    <x v="267"/>
    <x v="4"/>
    <x v="270"/>
    <x v="288"/>
    <x v="287"/>
    <x v="287"/>
    <x v="284"/>
    <n v="2325"/>
    <n v="450"/>
    <n v="1046250"/>
    <x v="2"/>
  </r>
  <r>
    <x v="16"/>
    <x v="290"/>
    <x v="3"/>
    <x v="294"/>
    <x v="315"/>
    <x v="314"/>
    <x v="314"/>
    <x v="310"/>
    <n v="23225"/>
    <n v="250"/>
    <n v="5806250"/>
    <x v="1"/>
  </r>
  <r>
    <x v="16"/>
    <x v="821"/>
    <x v="4"/>
    <x v="185"/>
    <x v="915"/>
    <x v="907"/>
    <x v="906"/>
    <x v="864"/>
    <n v="125"/>
    <n v="450"/>
    <n v="56250"/>
    <x v="2"/>
  </r>
  <r>
    <x v="16"/>
    <x v="293"/>
    <x v="8"/>
    <x v="297"/>
    <x v="318"/>
    <x v="317"/>
    <x v="317"/>
    <x v="313"/>
    <n v="6475"/>
    <n v="350"/>
    <n v="2266250"/>
    <x v="0"/>
  </r>
  <r>
    <x v="16"/>
    <x v="822"/>
    <x v="7"/>
    <x v="659"/>
    <x v="916"/>
    <x v="908"/>
    <x v="907"/>
    <x v="865"/>
    <n v="193475"/>
    <n v="350"/>
    <n v="67716250"/>
    <x v="0"/>
  </r>
  <r>
    <x v="16"/>
    <x v="823"/>
    <x v="2"/>
    <x v="660"/>
    <x v="917"/>
    <x v="909"/>
    <x v="908"/>
    <x v="866"/>
    <n v="30825"/>
    <n v="450"/>
    <n v="13871250"/>
    <x v="0"/>
  </r>
  <r>
    <x v="16"/>
    <x v="453"/>
    <x v="6"/>
    <x v="427"/>
    <x v="502"/>
    <x v="500"/>
    <x v="499"/>
    <x v="488"/>
    <n v="4300"/>
    <n v="450"/>
    <n v="1935000"/>
    <x v="2"/>
  </r>
  <r>
    <x v="16"/>
    <x v="824"/>
    <x v="0"/>
    <x v="292"/>
    <x v="918"/>
    <x v="910"/>
    <x v="909"/>
    <x v="867"/>
    <n v="4200"/>
    <n v="350"/>
    <n v="1470000"/>
    <x v="0"/>
  </r>
  <r>
    <x v="16"/>
    <x v="825"/>
    <x v="1"/>
    <x v="661"/>
    <x v="919"/>
    <x v="911"/>
    <x v="910"/>
    <x v="868"/>
    <n v="118100"/>
    <n v="350"/>
    <n v="41335000"/>
    <x v="0"/>
  </r>
  <r>
    <x v="16"/>
    <x v="826"/>
    <x v="19"/>
    <x v="330"/>
    <x v="920"/>
    <x v="912"/>
    <x v="911"/>
    <x v="869"/>
    <n v="975"/>
    <n v="250"/>
    <n v="243750"/>
    <x v="1"/>
  </r>
  <r>
    <x v="16"/>
    <x v="827"/>
    <x v="15"/>
    <x v="611"/>
    <x v="921"/>
    <x v="913"/>
    <x v="912"/>
    <x v="870"/>
    <n v="1525"/>
    <n v="250"/>
    <n v="381250"/>
    <x v="1"/>
  </r>
  <r>
    <x v="16"/>
    <x v="828"/>
    <x v="0"/>
    <x v="564"/>
    <x v="922"/>
    <x v="914"/>
    <x v="913"/>
    <x v="688"/>
    <n v="13475"/>
    <n v="350"/>
    <n v="4716250"/>
    <x v="0"/>
  </r>
  <r>
    <x v="16"/>
    <x v="829"/>
    <x v="6"/>
    <x v="279"/>
    <x v="923"/>
    <x v="915"/>
    <x v="914"/>
    <x v="871"/>
    <n v="3900"/>
    <n v="450"/>
    <n v="1755000"/>
    <x v="2"/>
  </r>
  <r>
    <x v="16"/>
    <x v="830"/>
    <x v="0"/>
    <x v="229"/>
    <x v="924"/>
    <x v="884"/>
    <x v="883"/>
    <x v="872"/>
    <n v="1875"/>
    <n v="350"/>
    <n v="656250"/>
    <x v="0"/>
  </r>
  <r>
    <x v="16"/>
    <x v="831"/>
    <x v="13"/>
    <x v="156"/>
    <x v="925"/>
    <x v="916"/>
    <x v="915"/>
    <x v="159"/>
    <n v="450"/>
    <n v="550"/>
    <n v="247500"/>
    <x v="2"/>
  </r>
  <r>
    <x v="16"/>
    <x v="832"/>
    <x v="1"/>
    <x v="662"/>
    <x v="926"/>
    <x v="917"/>
    <x v="916"/>
    <x v="873"/>
    <n v="41775"/>
    <n v="350"/>
    <n v="14621250"/>
    <x v="0"/>
  </r>
  <r>
    <x v="17"/>
    <x v="481"/>
    <x v="2"/>
    <x v="448"/>
    <x v="535"/>
    <x v="532"/>
    <x v="531"/>
    <x v="518"/>
    <n v="78800"/>
    <n v="450"/>
    <n v="35460000"/>
    <x v="0"/>
  </r>
  <r>
    <x v="17"/>
    <x v="833"/>
    <x v="0"/>
    <x v="663"/>
    <x v="927"/>
    <x v="918"/>
    <x v="917"/>
    <x v="874"/>
    <n v="254125"/>
    <n v="350"/>
    <n v="88943750"/>
    <x v="0"/>
  </r>
  <r>
    <x v="17"/>
    <x v="834"/>
    <x v="0"/>
    <x v="664"/>
    <x v="928"/>
    <x v="919"/>
    <x v="918"/>
    <x v="875"/>
    <n v="36500"/>
    <n v="350"/>
    <n v="12775000"/>
    <x v="0"/>
  </r>
  <r>
    <x v="17"/>
    <x v="835"/>
    <x v="1"/>
    <x v="665"/>
    <x v="929"/>
    <x v="920"/>
    <x v="919"/>
    <x v="876"/>
    <n v="8650"/>
    <n v="350"/>
    <n v="3027500"/>
    <x v="0"/>
  </r>
  <r>
    <x v="17"/>
    <x v="836"/>
    <x v="13"/>
    <x v="435"/>
    <x v="930"/>
    <x v="921"/>
    <x v="920"/>
    <x v="877"/>
    <n v="3250"/>
    <n v="550"/>
    <n v="1787500"/>
    <x v="2"/>
  </r>
  <r>
    <x v="17"/>
    <x v="837"/>
    <x v="7"/>
    <x v="666"/>
    <x v="931"/>
    <x v="922"/>
    <x v="921"/>
    <x v="878"/>
    <n v="11325"/>
    <n v="350"/>
    <n v="3963750"/>
    <x v="0"/>
  </r>
  <r>
    <x v="17"/>
    <x v="838"/>
    <x v="2"/>
    <x v="70"/>
    <x v="932"/>
    <x v="923"/>
    <x v="922"/>
    <x v="256"/>
    <n v="725"/>
    <n v="450"/>
    <n v="326250"/>
    <x v="0"/>
  </r>
  <r>
    <x v="17"/>
    <x v="839"/>
    <x v="0"/>
    <x v="667"/>
    <x v="933"/>
    <x v="924"/>
    <x v="923"/>
    <x v="879"/>
    <n v="16600"/>
    <n v="350"/>
    <n v="5810000"/>
    <x v="0"/>
  </r>
  <r>
    <x v="17"/>
    <x v="840"/>
    <x v="4"/>
    <x v="85"/>
    <x v="934"/>
    <x v="925"/>
    <x v="924"/>
    <x v="321"/>
    <n v="2525"/>
    <n v="450"/>
    <n v="1136250"/>
    <x v="2"/>
  </r>
  <r>
    <x v="17"/>
    <x v="400"/>
    <x v="6"/>
    <x v="389"/>
    <x v="444"/>
    <x v="442"/>
    <x v="441"/>
    <x v="433"/>
    <n v="56325"/>
    <n v="450"/>
    <n v="25346250"/>
    <x v="2"/>
  </r>
  <r>
    <x v="17"/>
    <x v="841"/>
    <x v="0"/>
    <x v="80"/>
    <x v="935"/>
    <x v="926"/>
    <x v="925"/>
    <x v="880"/>
    <n v="1150"/>
    <n v="350"/>
    <n v="402500"/>
    <x v="0"/>
  </r>
  <r>
    <x v="17"/>
    <x v="395"/>
    <x v="13"/>
    <x v="73"/>
    <x v="438"/>
    <x v="436"/>
    <x v="435"/>
    <x v="427"/>
    <n v="2350"/>
    <n v="550"/>
    <n v="1292500"/>
    <x v="2"/>
  </r>
  <r>
    <x v="17"/>
    <x v="842"/>
    <x v="14"/>
    <x v="104"/>
    <x v="936"/>
    <x v="927"/>
    <x v="926"/>
    <x v="107"/>
    <n v="4375"/>
    <n v="550"/>
    <n v="2406250"/>
    <x v="2"/>
  </r>
  <r>
    <x v="17"/>
    <x v="20"/>
    <x v="6"/>
    <x v="668"/>
    <x v="937"/>
    <x v="928"/>
    <x v="927"/>
    <x v="881"/>
    <n v="16100"/>
    <n v="450"/>
    <n v="7245000"/>
    <x v="2"/>
  </r>
  <r>
    <x v="17"/>
    <x v="482"/>
    <x v="4"/>
    <x v="449"/>
    <x v="537"/>
    <x v="534"/>
    <x v="533"/>
    <x v="519"/>
    <n v="12600"/>
    <n v="450"/>
    <n v="5670000"/>
    <x v="2"/>
  </r>
  <r>
    <x v="17"/>
    <x v="432"/>
    <x v="0"/>
    <x v="38"/>
    <x v="481"/>
    <x v="479"/>
    <x v="478"/>
    <x v="468"/>
    <n v="1650"/>
    <n v="350"/>
    <n v="577500"/>
    <x v="0"/>
  </r>
  <r>
    <x v="17"/>
    <x v="843"/>
    <x v="8"/>
    <x v="669"/>
    <x v="938"/>
    <x v="929"/>
    <x v="928"/>
    <x v="882"/>
    <n v="33450"/>
    <n v="350"/>
    <n v="11707500"/>
    <x v="0"/>
  </r>
  <r>
    <x v="17"/>
    <x v="844"/>
    <x v="8"/>
    <x v="670"/>
    <x v="939"/>
    <x v="930"/>
    <x v="929"/>
    <x v="883"/>
    <n v="51425"/>
    <n v="350"/>
    <n v="17998750"/>
    <x v="0"/>
  </r>
  <r>
    <x v="17"/>
    <x v="845"/>
    <x v="13"/>
    <x v="490"/>
    <x v="940"/>
    <x v="931"/>
    <x v="930"/>
    <x v="884"/>
    <n v="1800"/>
    <n v="550"/>
    <n v="990000"/>
    <x v="2"/>
  </r>
  <r>
    <x v="17"/>
    <x v="90"/>
    <x v="0"/>
    <x v="671"/>
    <x v="941"/>
    <x v="932"/>
    <x v="931"/>
    <x v="885"/>
    <n v="6950"/>
    <n v="350"/>
    <n v="2432500"/>
    <x v="0"/>
  </r>
  <r>
    <x v="17"/>
    <x v="846"/>
    <x v="14"/>
    <x v="104"/>
    <x v="942"/>
    <x v="933"/>
    <x v="932"/>
    <x v="107"/>
    <n v="4375"/>
    <n v="550"/>
    <n v="2406250"/>
    <x v="2"/>
  </r>
  <r>
    <x v="17"/>
    <x v="120"/>
    <x v="7"/>
    <x v="672"/>
    <x v="943"/>
    <x v="934"/>
    <x v="933"/>
    <x v="886"/>
    <n v="35425"/>
    <n v="350"/>
    <n v="12398750"/>
    <x v="0"/>
  </r>
  <r>
    <x v="17"/>
    <x v="847"/>
    <x v="0"/>
    <x v="673"/>
    <x v="944"/>
    <x v="935"/>
    <x v="934"/>
    <x v="887"/>
    <n v="10325"/>
    <n v="350"/>
    <n v="3613750"/>
    <x v="0"/>
  </r>
  <r>
    <x v="17"/>
    <x v="848"/>
    <x v="4"/>
    <x v="181"/>
    <x v="945"/>
    <x v="936"/>
    <x v="935"/>
    <x v="888"/>
    <n v="3025"/>
    <n v="450"/>
    <n v="1361250"/>
    <x v="2"/>
  </r>
  <r>
    <x v="17"/>
    <x v="82"/>
    <x v="1"/>
    <x v="674"/>
    <x v="946"/>
    <x v="937"/>
    <x v="936"/>
    <x v="889"/>
    <n v="30625"/>
    <n v="350"/>
    <n v="10718750"/>
    <x v="0"/>
  </r>
  <r>
    <x v="17"/>
    <x v="849"/>
    <x v="14"/>
    <x v="123"/>
    <x v="947"/>
    <x v="938"/>
    <x v="937"/>
    <x v="890"/>
    <n v="6275"/>
    <n v="550"/>
    <n v="3451250"/>
    <x v="2"/>
  </r>
  <r>
    <x v="17"/>
    <x v="850"/>
    <x v="5"/>
    <x v="582"/>
    <x v="948"/>
    <x v="939"/>
    <x v="938"/>
    <x v="891"/>
    <n v="2100"/>
    <n v="550"/>
    <n v="1155000"/>
    <x v="2"/>
  </r>
  <r>
    <x v="17"/>
    <x v="851"/>
    <x v="10"/>
    <x v="112"/>
    <x v="949"/>
    <x v="940"/>
    <x v="939"/>
    <x v="462"/>
    <n v="425"/>
    <n v="550"/>
    <n v="233750"/>
    <x v="2"/>
  </r>
  <r>
    <x v="17"/>
    <x v="66"/>
    <x v="7"/>
    <x v="675"/>
    <x v="950"/>
    <x v="941"/>
    <x v="940"/>
    <x v="892"/>
    <n v="30875"/>
    <n v="350"/>
    <n v="10806250"/>
    <x v="0"/>
  </r>
  <r>
    <x v="17"/>
    <x v="852"/>
    <x v="13"/>
    <x v="398"/>
    <x v="951"/>
    <x v="942"/>
    <x v="941"/>
    <x v="893"/>
    <n v="4250"/>
    <n v="550"/>
    <n v="2337500"/>
    <x v="2"/>
  </r>
  <r>
    <x v="17"/>
    <x v="853"/>
    <x v="15"/>
    <x v="160"/>
    <x v="952"/>
    <x v="943"/>
    <x v="942"/>
    <x v="894"/>
    <n v="3550"/>
    <n v="250"/>
    <n v="887500"/>
    <x v="1"/>
  </r>
  <r>
    <x v="17"/>
    <x v="854"/>
    <x v="1"/>
    <x v="214"/>
    <x v="953"/>
    <x v="944"/>
    <x v="943"/>
    <x v="895"/>
    <n v="2600"/>
    <n v="350"/>
    <n v="910000"/>
    <x v="0"/>
  </r>
  <r>
    <x v="17"/>
    <x v="855"/>
    <x v="14"/>
    <x v="676"/>
    <x v="954"/>
    <x v="945"/>
    <x v="944"/>
    <x v="896"/>
    <n v="81725"/>
    <n v="550"/>
    <n v="44948750"/>
    <x v="2"/>
  </r>
  <r>
    <x v="17"/>
    <x v="856"/>
    <x v="2"/>
    <x v="677"/>
    <x v="955"/>
    <x v="946"/>
    <x v="945"/>
    <x v="897"/>
    <n v="44425"/>
    <n v="450"/>
    <n v="19991250"/>
    <x v="0"/>
  </r>
  <r>
    <x v="17"/>
    <x v="58"/>
    <x v="2"/>
    <x v="678"/>
    <x v="956"/>
    <x v="947"/>
    <x v="946"/>
    <x v="898"/>
    <n v="64575"/>
    <n v="450"/>
    <n v="29058750"/>
    <x v="0"/>
  </r>
  <r>
    <x v="17"/>
    <x v="857"/>
    <x v="6"/>
    <x v="160"/>
    <x v="957"/>
    <x v="948"/>
    <x v="947"/>
    <x v="899"/>
    <n v="3550"/>
    <n v="450"/>
    <n v="1597500"/>
    <x v="2"/>
  </r>
  <r>
    <x v="17"/>
    <x v="858"/>
    <x v="0"/>
    <x v="679"/>
    <x v="958"/>
    <x v="949"/>
    <x v="948"/>
    <x v="900"/>
    <n v="36000"/>
    <n v="350"/>
    <n v="12600000"/>
    <x v="0"/>
  </r>
  <r>
    <x v="17"/>
    <x v="859"/>
    <x v="9"/>
    <x v="680"/>
    <x v="959"/>
    <x v="950"/>
    <x v="949"/>
    <x v="901"/>
    <n v="5175"/>
    <n v="250"/>
    <n v="1293750"/>
    <x v="1"/>
  </r>
  <r>
    <x v="17"/>
    <x v="860"/>
    <x v="4"/>
    <x v="545"/>
    <x v="960"/>
    <x v="951"/>
    <x v="950"/>
    <x v="902"/>
    <n v="500"/>
    <n v="450"/>
    <n v="225000"/>
    <x v="2"/>
  </r>
  <r>
    <x v="17"/>
    <x v="861"/>
    <x v="1"/>
    <x v="681"/>
    <x v="961"/>
    <x v="952"/>
    <x v="951"/>
    <x v="903"/>
    <n v="64450"/>
    <n v="350"/>
    <n v="22557500"/>
    <x v="0"/>
  </r>
  <r>
    <x v="17"/>
    <x v="862"/>
    <x v="4"/>
    <x v="337"/>
    <x v="962"/>
    <x v="953"/>
    <x v="952"/>
    <x v="904"/>
    <n v="475"/>
    <n v="450"/>
    <n v="213750"/>
    <x v="2"/>
  </r>
  <r>
    <x v="17"/>
    <x v="116"/>
    <x v="8"/>
    <x v="682"/>
    <x v="963"/>
    <x v="954"/>
    <x v="953"/>
    <x v="905"/>
    <n v="7475"/>
    <n v="350"/>
    <n v="2616250"/>
    <x v="0"/>
  </r>
  <r>
    <x v="17"/>
    <x v="863"/>
    <x v="0"/>
    <x v="683"/>
    <x v="964"/>
    <x v="955"/>
    <x v="954"/>
    <x v="906"/>
    <n v="44700"/>
    <n v="350"/>
    <n v="15645000"/>
    <x v="0"/>
  </r>
  <r>
    <x v="17"/>
    <x v="864"/>
    <x v="4"/>
    <x v="501"/>
    <x v="965"/>
    <x v="956"/>
    <x v="955"/>
    <x v="907"/>
    <n v="550"/>
    <n v="450"/>
    <n v="247500"/>
    <x v="2"/>
  </r>
  <r>
    <x v="17"/>
    <x v="865"/>
    <x v="7"/>
    <x v="684"/>
    <x v="966"/>
    <x v="957"/>
    <x v="956"/>
    <x v="908"/>
    <n v="51550"/>
    <n v="350"/>
    <n v="18042500"/>
    <x v="0"/>
  </r>
  <r>
    <x v="17"/>
    <x v="775"/>
    <x v="15"/>
    <x v="685"/>
    <x v="967"/>
    <x v="958"/>
    <x v="957"/>
    <x v="909"/>
    <n v="7325"/>
    <n v="250"/>
    <n v="1831250"/>
    <x v="1"/>
  </r>
  <r>
    <x v="17"/>
    <x v="449"/>
    <x v="8"/>
    <x v="423"/>
    <x v="498"/>
    <x v="496"/>
    <x v="495"/>
    <x v="484"/>
    <n v="63450"/>
    <n v="350"/>
    <n v="22207500"/>
    <x v="0"/>
  </r>
  <r>
    <x v="17"/>
    <x v="866"/>
    <x v="6"/>
    <x v="417"/>
    <x v="968"/>
    <x v="959"/>
    <x v="958"/>
    <x v="910"/>
    <n v="1575"/>
    <n v="450"/>
    <n v="708750"/>
    <x v="2"/>
  </r>
  <r>
    <x v="17"/>
    <x v="867"/>
    <x v="14"/>
    <x v="229"/>
    <x v="969"/>
    <x v="960"/>
    <x v="959"/>
    <x v="911"/>
    <n v="1875"/>
    <n v="550"/>
    <n v="1031250"/>
    <x v="2"/>
  </r>
  <r>
    <x v="17"/>
    <x v="868"/>
    <x v="5"/>
    <x v="121"/>
    <x v="970"/>
    <x v="961"/>
    <x v="960"/>
    <x v="912"/>
    <n v="950"/>
    <n v="550"/>
    <n v="522500"/>
    <x v="2"/>
  </r>
  <r>
    <x v="17"/>
    <x v="20"/>
    <x v="13"/>
    <x v="88"/>
    <x v="437"/>
    <x v="435"/>
    <x v="434"/>
    <x v="426"/>
    <n v="10500"/>
    <n v="550"/>
    <n v="5775000"/>
    <x v="2"/>
  </r>
  <r>
    <x v="17"/>
    <x v="869"/>
    <x v="0"/>
    <x v="520"/>
    <x v="971"/>
    <x v="962"/>
    <x v="961"/>
    <x v="913"/>
    <n v="28325"/>
    <n v="350"/>
    <n v="9913750"/>
    <x v="0"/>
  </r>
  <r>
    <x v="17"/>
    <x v="870"/>
    <x v="10"/>
    <x v="686"/>
    <x v="972"/>
    <x v="963"/>
    <x v="962"/>
    <x v="914"/>
    <n v="9225"/>
    <n v="550"/>
    <n v="5073750"/>
    <x v="2"/>
  </r>
  <r>
    <x v="17"/>
    <x v="871"/>
    <x v="8"/>
    <x v="687"/>
    <x v="973"/>
    <x v="964"/>
    <x v="963"/>
    <x v="915"/>
    <n v="39750"/>
    <n v="350"/>
    <n v="13912500"/>
    <x v="0"/>
  </r>
  <r>
    <x v="17"/>
    <x v="872"/>
    <x v="10"/>
    <x v="52"/>
    <x v="974"/>
    <x v="965"/>
    <x v="964"/>
    <x v="53"/>
    <n v="400"/>
    <n v="550"/>
    <n v="220000"/>
    <x v="2"/>
  </r>
  <r>
    <x v="17"/>
    <x v="873"/>
    <x v="10"/>
    <x v="567"/>
    <x v="975"/>
    <x v="966"/>
    <x v="965"/>
    <x v="916"/>
    <n v="100"/>
    <n v="550"/>
    <n v="55000"/>
    <x v="2"/>
  </r>
  <r>
    <x v="17"/>
    <x v="874"/>
    <x v="8"/>
    <x v="52"/>
    <x v="976"/>
    <x v="967"/>
    <x v="966"/>
    <x v="917"/>
    <n v="400"/>
    <n v="350"/>
    <n v="140000"/>
    <x v="0"/>
  </r>
  <r>
    <x v="17"/>
    <x v="875"/>
    <x v="10"/>
    <x v="324"/>
    <x v="977"/>
    <x v="968"/>
    <x v="967"/>
    <x v="466"/>
    <n v="50"/>
    <n v="550"/>
    <n v="27500"/>
    <x v="2"/>
  </r>
  <r>
    <x v="17"/>
    <x v="454"/>
    <x v="2"/>
    <x v="85"/>
    <x v="503"/>
    <x v="501"/>
    <x v="500"/>
    <x v="489"/>
    <n v="2525"/>
    <n v="450"/>
    <n v="1136250"/>
    <x v="0"/>
  </r>
  <r>
    <x v="17"/>
    <x v="876"/>
    <x v="13"/>
    <x v="688"/>
    <x v="978"/>
    <x v="969"/>
    <x v="968"/>
    <x v="918"/>
    <n v="225"/>
    <n v="550"/>
    <n v="123750"/>
    <x v="2"/>
  </r>
  <r>
    <x v="18"/>
    <x v="746"/>
    <x v="2"/>
    <x v="619"/>
    <x v="832"/>
    <x v="825"/>
    <x v="824"/>
    <x v="790"/>
    <n v="77650"/>
    <n v="450"/>
    <n v="34942500"/>
    <x v="0"/>
  </r>
  <r>
    <x v="18"/>
    <x v="877"/>
    <x v="5"/>
    <x v="390"/>
    <x v="979"/>
    <x v="970"/>
    <x v="969"/>
    <x v="919"/>
    <n v="1300"/>
    <n v="550"/>
    <n v="715000"/>
    <x v="2"/>
  </r>
  <r>
    <x v="18"/>
    <x v="780"/>
    <x v="1"/>
    <x v="633"/>
    <x v="866"/>
    <x v="859"/>
    <x v="858"/>
    <x v="820"/>
    <n v="885700"/>
    <n v="350"/>
    <n v="309995000"/>
    <x v="0"/>
  </r>
  <r>
    <x v="18"/>
    <x v="878"/>
    <x v="1"/>
    <x v="122"/>
    <x v="980"/>
    <x v="971"/>
    <x v="970"/>
    <x v="920"/>
    <n v="27325"/>
    <n v="350"/>
    <n v="9563750"/>
    <x v="0"/>
  </r>
  <r>
    <x v="18"/>
    <x v="113"/>
    <x v="2"/>
    <x v="113"/>
    <x v="115"/>
    <x v="114"/>
    <x v="114"/>
    <x v="116"/>
    <n v="615000"/>
    <n v="450"/>
    <n v="276750000"/>
    <x v="0"/>
  </r>
  <r>
    <x v="18"/>
    <x v="879"/>
    <x v="0"/>
    <x v="689"/>
    <x v="981"/>
    <x v="972"/>
    <x v="971"/>
    <x v="921"/>
    <n v="143650"/>
    <n v="350"/>
    <n v="50277500"/>
    <x v="0"/>
  </r>
  <r>
    <x v="18"/>
    <x v="880"/>
    <x v="7"/>
    <x v="690"/>
    <x v="982"/>
    <x v="973"/>
    <x v="972"/>
    <x v="922"/>
    <n v="12700"/>
    <n v="350"/>
    <n v="4445000"/>
    <x v="0"/>
  </r>
  <r>
    <x v="18"/>
    <x v="881"/>
    <x v="8"/>
    <x v="691"/>
    <x v="983"/>
    <x v="974"/>
    <x v="973"/>
    <x v="923"/>
    <n v="125325"/>
    <n v="350"/>
    <n v="43863750"/>
    <x v="0"/>
  </r>
  <r>
    <x v="18"/>
    <x v="882"/>
    <x v="8"/>
    <x v="692"/>
    <x v="984"/>
    <x v="975"/>
    <x v="974"/>
    <x v="924"/>
    <n v="5700"/>
    <n v="350"/>
    <n v="1995000"/>
    <x v="0"/>
  </r>
  <r>
    <x v="18"/>
    <x v="147"/>
    <x v="0"/>
    <x v="153"/>
    <x v="155"/>
    <x v="154"/>
    <x v="154"/>
    <x v="156"/>
    <n v="127150"/>
    <n v="350"/>
    <n v="44502500"/>
    <x v="0"/>
  </r>
  <r>
    <x v="18"/>
    <x v="137"/>
    <x v="1"/>
    <x v="143"/>
    <x v="145"/>
    <x v="144"/>
    <x v="144"/>
    <x v="146"/>
    <n v="45425"/>
    <n v="350"/>
    <n v="15898750"/>
    <x v="0"/>
  </r>
  <r>
    <x v="18"/>
    <x v="784"/>
    <x v="0"/>
    <x v="131"/>
    <x v="870"/>
    <x v="863"/>
    <x v="862"/>
    <x v="823"/>
    <n v="625"/>
    <n v="350"/>
    <n v="218750"/>
    <x v="0"/>
  </r>
  <r>
    <x v="18"/>
    <x v="883"/>
    <x v="7"/>
    <x v="464"/>
    <x v="985"/>
    <x v="976"/>
    <x v="975"/>
    <x v="925"/>
    <n v="6400"/>
    <n v="350"/>
    <n v="2240000"/>
    <x v="0"/>
  </r>
  <r>
    <x v="18"/>
    <x v="20"/>
    <x v="14"/>
    <x v="116"/>
    <x v="118"/>
    <x v="117"/>
    <x v="117"/>
    <x v="119"/>
    <n v="35375"/>
    <n v="550"/>
    <n v="19456250"/>
    <x v="2"/>
  </r>
  <r>
    <x v="18"/>
    <x v="186"/>
    <x v="0"/>
    <x v="385"/>
    <x v="439"/>
    <x v="437"/>
    <x v="436"/>
    <x v="428"/>
    <n v="38900"/>
    <n v="350"/>
    <n v="13615000"/>
    <x v="0"/>
  </r>
  <r>
    <x v="18"/>
    <x v="884"/>
    <x v="7"/>
    <x v="693"/>
    <x v="986"/>
    <x v="977"/>
    <x v="976"/>
    <x v="926"/>
    <n v="75925"/>
    <n v="350"/>
    <n v="26573750"/>
    <x v="0"/>
  </r>
  <r>
    <x v="18"/>
    <x v="885"/>
    <x v="0"/>
    <x v="694"/>
    <x v="987"/>
    <x v="978"/>
    <x v="977"/>
    <x v="927"/>
    <n v="101825"/>
    <n v="350"/>
    <n v="35638750"/>
    <x v="0"/>
  </r>
  <r>
    <x v="18"/>
    <x v="886"/>
    <x v="3"/>
    <x v="695"/>
    <x v="988"/>
    <x v="979"/>
    <x v="978"/>
    <x v="928"/>
    <n v="105900"/>
    <n v="250"/>
    <n v="26475000"/>
    <x v="1"/>
  </r>
  <r>
    <x v="18"/>
    <x v="887"/>
    <x v="2"/>
    <x v="696"/>
    <x v="989"/>
    <x v="980"/>
    <x v="979"/>
    <x v="929"/>
    <n v="57025"/>
    <n v="450"/>
    <n v="25661250"/>
    <x v="0"/>
  </r>
  <r>
    <x v="18"/>
    <x v="888"/>
    <x v="8"/>
    <x v="602"/>
    <x v="990"/>
    <x v="981"/>
    <x v="980"/>
    <x v="930"/>
    <n v="6075"/>
    <n v="350"/>
    <n v="2126250"/>
    <x v="0"/>
  </r>
  <r>
    <x v="18"/>
    <x v="889"/>
    <x v="3"/>
    <x v="697"/>
    <x v="991"/>
    <x v="982"/>
    <x v="981"/>
    <x v="931"/>
    <n v="5475"/>
    <n v="250"/>
    <n v="1368750"/>
    <x v="1"/>
  </r>
  <r>
    <x v="18"/>
    <x v="143"/>
    <x v="15"/>
    <x v="149"/>
    <x v="151"/>
    <x v="150"/>
    <x v="150"/>
    <x v="152"/>
    <n v="98575"/>
    <n v="250"/>
    <n v="24643750"/>
    <x v="1"/>
  </r>
  <r>
    <x v="18"/>
    <x v="890"/>
    <x v="7"/>
    <x v="698"/>
    <x v="992"/>
    <x v="983"/>
    <x v="982"/>
    <x v="932"/>
    <n v="35600"/>
    <n v="350"/>
    <n v="12460000"/>
    <x v="0"/>
  </r>
  <r>
    <x v="18"/>
    <x v="116"/>
    <x v="2"/>
    <x v="118"/>
    <x v="120"/>
    <x v="119"/>
    <x v="119"/>
    <x v="121"/>
    <n v="144750"/>
    <n v="450"/>
    <n v="65137500"/>
    <x v="0"/>
  </r>
  <r>
    <x v="18"/>
    <x v="98"/>
    <x v="8"/>
    <x v="98"/>
    <x v="100"/>
    <x v="99"/>
    <x v="99"/>
    <x v="101"/>
    <n v="211425"/>
    <n v="350"/>
    <n v="73998750"/>
    <x v="0"/>
  </r>
  <r>
    <x v="18"/>
    <x v="891"/>
    <x v="7"/>
    <x v="699"/>
    <x v="993"/>
    <x v="984"/>
    <x v="983"/>
    <x v="933"/>
    <n v="6875"/>
    <n v="350"/>
    <n v="2406250"/>
    <x v="0"/>
  </r>
  <r>
    <x v="18"/>
    <x v="892"/>
    <x v="2"/>
    <x v="80"/>
    <x v="994"/>
    <x v="985"/>
    <x v="984"/>
    <x v="934"/>
    <n v="1150"/>
    <n v="450"/>
    <n v="517500"/>
    <x v="0"/>
  </r>
  <r>
    <x v="18"/>
    <x v="893"/>
    <x v="1"/>
    <x v="700"/>
    <x v="995"/>
    <x v="986"/>
    <x v="985"/>
    <x v="935"/>
    <n v="45725"/>
    <n v="350"/>
    <n v="16003750"/>
    <x v="0"/>
  </r>
  <r>
    <x v="18"/>
    <x v="894"/>
    <x v="12"/>
    <x v="245"/>
    <x v="996"/>
    <x v="987"/>
    <x v="986"/>
    <x v="936"/>
    <n v="1750"/>
    <n v="250"/>
    <n v="437500"/>
    <x v="1"/>
  </r>
  <r>
    <x v="18"/>
    <x v="118"/>
    <x v="0"/>
    <x v="120"/>
    <x v="122"/>
    <x v="121"/>
    <x v="121"/>
    <x v="123"/>
    <n v="104050"/>
    <n v="350"/>
    <n v="36417500"/>
    <x v="0"/>
  </r>
  <r>
    <x v="18"/>
    <x v="895"/>
    <x v="0"/>
    <x v="701"/>
    <x v="997"/>
    <x v="988"/>
    <x v="987"/>
    <x v="937"/>
    <n v="130850"/>
    <n v="350"/>
    <n v="45797500"/>
    <x v="0"/>
  </r>
  <r>
    <x v="18"/>
    <x v="139"/>
    <x v="1"/>
    <x v="145"/>
    <x v="147"/>
    <x v="146"/>
    <x v="146"/>
    <x v="148"/>
    <n v="16875"/>
    <n v="350"/>
    <n v="5906250"/>
    <x v="0"/>
  </r>
  <r>
    <x v="18"/>
    <x v="896"/>
    <x v="8"/>
    <x v="702"/>
    <x v="998"/>
    <x v="989"/>
    <x v="988"/>
    <x v="938"/>
    <n v="23650"/>
    <n v="350"/>
    <n v="8277500"/>
    <x v="0"/>
  </r>
  <r>
    <x v="18"/>
    <x v="897"/>
    <x v="10"/>
    <x v="703"/>
    <x v="999"/>
    <x v="990"/>
    <x v="989"/>
    <x v="939"/>
    <n v="2425"/>
    <n v="550"/>
    <n v="1333750"/>
    <x v="2"/>
  </r>
  <r>
    <x v="18"/>
    <x v="898"/>
    <x v="3"/>
    <x v="704"/>
    <x v="1000"/>
    <x v="991"/>
    <x v="990"/>
    <x v="940"/>
    <n v="19300"/>
    <n v="250"/>
    <n v="4825000"/>
    <x v="1"/>
  </r>
  <r>
    <x v="18"/>
    <x v="899"/>
    <x v="13"/>
    <x v="545"/>
    <x v="1001"/>
    <x v="992"/>
    <x v="991"/>
    <x v="941"/>
    <n v="500"/>
    <n v="550"/>
    <n v="275000"/>
    <x v="2"/>
  </r>
  <r>
    <x v="18"/>
    <x v="900"/>
    <x v="12"/>
    <x v="705"/>
    <x v="1002"/>
    <x v="993"/>
    <x v="992"/>
    <x v="942"/>
    <n v="18950"/>
    <n v="250"/>
    <n v="4737500"/>
    <x v="1"/>
  </r>
  <r>
    <x v="18"/>
    <x v="901"/>
    <x v="10"/>
    <x v="185"/>
    <x v="1003"/>
    <x v="994"/>
    <x v="993"/>
    <x v="827"/>
    <n v="125"/>
    <n v="550"/>
    <n v="68750"/>
    <x v="2"/>
  </r>
  <r>
    <x v="18"/>
    <x v="20"/>
    <x v="13"/>
    <x v="88"/>
    <x v="437"/>
    <x v="435"/>
    <x v="434"/>
    <x v="426"/>
    <n v="10500"/>
    <n v="550"/>
    <n v="5775000"/>
    <x v="2"/>
  </r>
  <r>
    <x v="18"/>
    <x v="902"/>
    <x v="6"/>
    <x v="289"/>
    <x v="1004"/>
    <x v="995"/>
    <x v="994"/>
    <x v="943"/>
    <n v="1275"/>
    <n v="450"/>
    <n v="573750"/>
    <x v="2"/>
  </r>
  <r>
    <x v="18"/>
    <x v="148"/>
    <x v="8"/>
    <x v="154"/>
    <x v="156"/>
    <x v="155"/>
    <x v="155"/>
    <x v="157"/>
    <n v="20250"/>
    <n v="350"/>
    <n v="7087500"/>
    <x v="0"/>
  </r>
  <r>
    <x v="18"/>
    <x v="903"/>
    <x v="1"/>
    <x v="706"/>
    <x v="1005"/>
    <x v="996"/>
    <x v="995"/>
    <x v="944"/>
    <n v="13825"/>
    <n v="350"/>
    <n v="4838750"/>
    <x v="0"/>
  </r>
  <r>
    <x v="18"/>
    <x v="904"/>
    <x v="7"/>
    <x v="554"/>
    <x v="1006"/>
    <x v="997"/>
    <x v="996"/>
    <x v="945"/>
    <n v="14125"/>
    <n v="350"/>
    <n v="4943750"/>
    <x v="0"/>
  </r>
  <r>
    <x v="18"/>
    <x v="905"/>
    <x v="4"/>
    <x v="55"/>
    <x v="1007"/>
    <x v="998"/>
    <x v="997"/>
    <x v="946"/>
    <n v="2400"/>
    <n v="450"/>
    <n v="1080000"/>
    <x v="2"/>
  </r>
  <r>
    <x v="18"/>
    <x v="906"/>
    <x v="0"/>
    <x v="707"/>
    <x v="1008"/>
    <x v="999"/>
    <x v="998"/>
    <x v="947"/>
    <n v="3325"/>
    <n v="350"/>
    <n v="1163750"/>
    <x v="0"/>
  </r>
  <r>
    <x v="18"/>
    <x v="907"/>
    <x v="2"/>
    <x v="708"/>
    <x v="1009"/>
    <x v="1000"/>
    <x v="999"/>
    <x v="948"/>
    <n v="807600"/>
    <n v="450"/>
    <n v="363420000"/>
    <x v="0"/>
  </r>
  <r>
    <x v="18"/>
    <x v="908"/>
    <x v="13"/>
    <x v="709"/>
    <x v="1010"/>
    <x v="1001"/>
    <x v="1000"/>
    <x v="949"/>
    <n v="3650"/>
    <n v="550"/>
    <n v="2007500"/>
    <x v="2"/>
  </r>
  <r>
    <x v="18"/>
    <x v="909"/>
    <x v="14"/>
    <x v="710"/>
    <x v="1011"/>
    <x v="1002"/>
    <x v="1001"/>
    <x v="950"/>
    <n v="6125"/>
    <n v="550"/>
    <n v="3368750"/>
    <x v="2"/>
  </r>
  <r>
    <x v="18"/>
    <x v="102"/>
    <x v="0"/>
    <x v="102"/>
    <x v="104"/>
    <x v="103"/>
    <x v="103"/>
    <x v="105"/>
    <n v="21150"/>
    <n v="350"/>
    <n v="7402500"/>
    <x v="0"/>
  </r>
  <r>
    <x v="18"/>
    <x v="412"/>
    <x v="3"/>
    <x v="396"/>
    <x v="459"/>
    <x v="457"/>
    <x v="456"/>
    <x v="446"/>
    <n v="34850"/>
    <n v="250"/>
    <n v="8712500"/>
    <x v="1"/>
  </r>
  <r>
    <x v="18"/>
    <x v="237"/>
    <x v="0"/>
    <x v="239"/>
    <x v="253"/>
    <x v="252"/>
    <x v="252"/>
    <x v="250"/>
    <n v="91325"/>
    <n v="350"/>
    <n v="31963750"/>
    <x v="0"/>
  </r>
  <r>
    <x v="18"/>
    <x v="910"/>
    <x v="19"/>
    <x v="500"/>
    <x v="1012"/>
    <x v="1003"/>
    <x v="1002"/>
    <x v="951"/>
    <n v="10900"/>
    <n v="250"/>
    <n v="2725000"/>
    <x v="1"/>
  </r>
  <r>
    <x v="18"/>
    <x v="525"/>
    <x v="0"/>
    <x v="205"/>
    <x v="1013"/>
    <x v="1004"/>
    <x v="1003"/>
    <x v="952"/>
    <n v="38650"/>
    <n v="350"/>
    <n v="13527500"/>
    <x v="0"/>
  </r>
  <r>
    <x v="18"/>
    <x v="204"/>
    <x v="6"/>
    <x v="208"/>
    <x v="217"/>
    <x v="216"/>
    <x v="216"/>
    <x v="216"/>
    <n v="13575"/>
    <n v="450"/>
    <n v="6108750"/>
    <x v="2"/>
  </r>
  <r>
    <x v="18"/>
    <x v="911"/>
    <x v="1"/>
    <x v="711"/>
    <x v="1014"/>
    <x v="1005"/>
    <x v="1004"/>
    <x v="953"/>
    <n v="30925"/>
    <n v="350"/>
    <n v="10823750"/>
    <x v="0"/>
  </r>
  <r>
    <x v="18"/>
    <x v="912"/>
    <x v="7"/>
    <x v="45"/>
    <x v="1015"/>
    <x v="1006"/>
    <x v="1005"/>
    <x v="954"/>
    <n v="1450"/>
    <n v="350"/>
    <n v="507500"/>
    <x v="0"/>
  </r>
  <r>
    <x v="18"/>
    <x v="913"/>
    <x v="12"/>
    <x v="159"/>
    <x v="1016"/>
    <x v="1007"/>
    <x v="1006"/>
    <x v="955"/>
    <n v="5150"/>
    <n v="250"/>
    <n v="1287500"/>
    <x v="1"/>
  </r>
  <r>
    <x v="18"/>
    <x v="914"/>
    <x v="12"/>
    <x v="712"/>
    <x v="1017"/>
    <x v="1008"/>
    <x v="1007"/>
    <x v="956"/>
    <n v="38500"/>
    <n v="250"/>
    <n v="9625000"/>
    <x v="1"/>
  </r>
  <r>
    <x v="18"/>
    <x v="915"/>
    <x v="8"/>
    <x v="713"/>
    <x v="1018"/>
    <x v="1009"/>
    <x v="1008"/>
    <x v="957"/>
    <n v="22175"/>
    <n v="350"/>
    <n v="7761250"/>
    <x v="0"/>
  </r>
  <r>
    <x v="18"/>
    <x v="916"/>
    <x v="8"/>
    <x v="215"/>
    <x v="1019"/>
    <x v="1010"/>
    <x v="1009"/>
    <x v="958"/>
    <n v="3575"/>
    <n v="350"/>
    <n v="1251250"/>
    <x v="0"/>
  </r>
  <r>
    <x v="19"/>
    <x v="917"/>
    <x v="14"/>
    <x v="714"/>
    <x v="1020"/>
    <x v="1011"/>
    <x v="1010"/>
    <x v="959"/>
    <n v="8525"/>
    <n v="550"/>
    <n v="4688750"/>
    <x v="2"/>
  </r>
  <r>
    <x v="19"/>
    <x v="918"/>
    <x v="1"/>
    <x v="715"/>
    <x v="1021"/>
    <x v="1012"/>
    <x v="1011"/>
    <x v="960"/>
    <n v="82075"/>
    <n v="350"/>
    <n v="28726250"/>
    <x v="0"/>
  </r>
  <r>
    <x v="19"/>
    <x v="919"/>
    <x v="9"/>
    <x v="716"/>
    <x v="1022"/>
    <x v="1013"/>
    <x v="1012"/>
    <x v="961"/>
    <n v="24875"/>
    <n v="250"/>
    <n v="6218750"/>
    <x v="1"/>
  </r>
  <r>
    <x v="19"/>
    <x v="920"/>
    <x v="7"/>
    <x v="717"/>
    <x v="1023"/>
    <x v="1014"/>
    <x v="1013"/>
    <x v="962"/>
    <n v="53300"/>
    <n v="350"/>
    <n v="18655000"/>
    <x v="0"/>
  </r>
  <r>
    <x v="19"/>
    <x v="921"/>
    <x v="8"/>
    <x v="718"/>
    <x v="1024"/>
    <x v="1015"/>
    <x v="1014"/>
    <x v="963"/>
    <n v="23550"/>
    <n v="350"/>
    <n v="8242500"/>
    <x v="0"/>
  </r>
  <r>
    <x v="19"/>
    <x v="922"/>
    <x v="6"/>
    <x v="719"/>
    <x v="1025"/>
    <x v="1016"/>
    <x v="1015"/>
    <x v="964"/>
    <n v="11575"/>
    <n v="450"/>
    <n v="5208750"/>
    <x v="2"/>
  </r>
  <r>
    <x v="19"/>
    <x v="923"/>
    <x v="0"/>
    <x v="720"/>
    <x v="1026"/>
    <x v="1017"/>
    <x v="1016"/>
    <x v="965"/>
    <n v="266800"/>
    <n v="350"/>
    <n v="93380000"/>
    <x v="0"/>
  </r>
  <r>
    <x v="19"/>
    <x v="924"/>
    <x v="2"/>
    <x v="78"/>
    <x v="1027"/>
    <x v="1018"/>
    <x v="1017"/>
    <x v="966"/>
    <n v="17450"/>
    <n v="450"/>
    <n v="7852500"/>
    <x v="0"/>
  </r>
  <r>
    <x v="19"/>
    <x v="925"/>
    <x v="3"/>
    <x v="307"/>
    <x v="1028"/>
    <x v="1019"/>
    <x v="1018"/>
    <x v="712"/>
    <n v="7200"/>
    <n v="250"/>
    <n v="1800000"/>
    <x v="1"/>
  </r>
  <r>
    <x v="19"/>
    <x v="926"/>
    <x v="1"/>
    <x v="721"/>
    <x v="1029"/>
    <x v="1020"/>
    <x v="1019"/>
    <x v="967"/>
    <n v="13000"/>
    <n v="350"/>
    <n v="4550000"/>
    <x v="0"/>
  </r>
  <r>
    <x v="19"/>
    <x v="927"/>
    <x v="1"/>
    <x v="722"/>
    <x v="1030"/>
    <x v="1021"/>
    <x v="1020"/>
    <x v="968"/>
    <n v="36100"/>
    <n v="350"/>
    <n v="12635000"/>
    <x v="0"/>
  </r>
  <r>
    <x v="19"/>
    <x v="928"/>
    <x v="5"/>
    <x v="214"/>
    <x v="1031"/>
    <x v="1022"/>
    <x v="1021"/>
    <x v="222"/>
    <n v="2600"/>
    <n v="550"/>
    <n v="1430000"/>
    <x v="2"/>
  </r>
  <r>
    <x v="19"/>
    <x v="929"/>
    <x v="7"/>
    <x v="723"/>
    <x v="1032"/>
    <x v="1023"/>
    <x v="1022"/>
    <x v="969"/>
    <n v="2150"/>
    <n v="350"/>
    <n v="752500"/>
    <x v="0"/>
  </r>
  <r>
    <x v="19"/>
    <x v="930"/>
    <x v="2"/>
    <x v="601"/>
    <x v="1033"/>
    <x v="1024"/>
    <x v="1023"/>
    <x v="970"/>
    <n v="6500"/>
    <n v="450"/>
    <n v="2925000"/>
    <x v="0"/>
  </r>
  <r>
    <x v="19"/>
    <x v="931"/>
    <x v="4"/>
    <x v="724"/>
    <x v="1034"/>
    <x v="1025"/>
    <x v="1024"/>
    <x v="971"/>
    <n v="7950"/>
    <n v="450"/>
    <n v="3577500"/>
    <x v="2"/>
  </r>
  <r>
    <x v="19"/>
    <x v="537"/>
    <x v="6"/>
    <x v="497"/>
    <x v="602"/>
    <x v="598"/>
    <x v="597"/>
    <x v="582"/>
    <n v="12850"/>
    <n v="450"/>
    <n v="5782500"/>
    <x v="2"/>
  </r>
  <r>
    <x v="19"/>
    <x v="932"/>
    <x v="5"/>
    <x v="725"/>
    <x v="1035"/>
    <x v="1026"/>
    <x v="1025"/>
    <x v="972"/>
    <n v="10825"/>
    <n v="550"/>
    <n v="5953750"/>
    <x v="2"/>
  </r>
  <r>
    <x v="19"/>
    <x v="933"/>
    <x v="7"/>
    <x v="726"/>
    <x v="1036"/>
    <x v="1027"/>
    <x v="1026"/>
    <x v="973"/>
    <n v="46050"/>
    <n v="350"/>
    <n v="16117500"/>
    <x v="0"/>
  </r>
  <r>
    <x v="19"/>
    <x v="187"/>
    <x v="1"/>
    <x v="727"/>
    <x v="1037"/>
    <x v="1028"/>
    <x v="1027"/>
    <x v="974"/>
    <n v="28950"/>
    <n v="350"/>
    <n v="10132500"/>
    <x v="0"/>
  </r>
  <r>
    <x v="19"/>
    <x v="934"/>
    <x v="4"/>
    <x v="728"/>
    <x v="1038"/>
    <x v="1029"/>
    <x v="1028"/>
    <x v="975"/>
    <n v="21000"/>
    <n v="450"/>
    <n v="9450000"/>
    <x v="2"/>
  </r>
  <r>
    <x v="19"/>
    <x v="935"/>
    <x v="8"/>
    <x v="388"/>
    <x v="1039"/>
    <x v="1030"/>
    <x v="1029"/>
    <x v="976"/>
    <n v="18550"/>
    <n v="350"/>
    <n v="6492500"/>
    <x v="0"/>
  </r>
  <r>
    <x v="19"/>
    <x v="936"/>
    <x v="4"/>
    <x v="104"/>
    <x v="1040"/>
    <x v="1031"/>
    <x v="1030"/>
    <x v="977"/>
    <n v="4375"/>
    <n v="450"/>
    <n v="1968750"/>
    <x v="2"/>
  </r>
  <r>
    <x v="19"/>
    <x v="20"/>
    <x v="5"/>
    <x v="729"/>
    <x v="1041"/>
    <x v="1032"/>
    <x v="1031"/>
    <x v="978"/>
    <n v="17850"/>
    <n v="550"/>
    <n v="9817500"/>
    <x v="2"/>
  </r>
  <r>
    <x v="19"/>
    <x v="937"/>
    <x v="6"/>
    <x v="730"/>
    <x v="1042"/>
    <x v="1033"/>
    <x v="1032"/>
    <x v="979"/>
    <n v="13975"/>
    <n v="450"/>
    <n v="6288750"/>
    <x v="2"/>
  </r>
  <r>
    <x v="19"/>
    <x v="938"/>
    <x v="2"/>
    <x v="731"/>
    <x v="1043"/>
    <x v="1034"/>
    <x v="1033"/>
    <x v="980"/>
    <n v="19875"/>
    <n v="450"/>
    <n v="8943750"/>
    <x v="0"/>
  </r>
  <r>
    <x v="19"/>
    <x v="939"/>
    <x v="14"/>
    <x v="398"/>
    <x v="1044"/>
    <x v="1035"/>
    <x v="1034"/>
    <x v="448"/>
    <n v="4250"/>
    <n v="550"/>
    <n v="2337500"/>
    <x v="2"/>
  </r>
  <r>
    <x v="19"/>
    <x v="940"/>
    <x v="5"/>
    <x v="61"/>
    <x v="1045"/>
    <x v="1036"/>
    <x v="1035"/>
    <x v="981"/>
    <n v="675"/>
    <n v="550"/>
    <n v="371250"/>
    <x v="2"/>
  </r>
  <r>
    <x v="19"/>
    <x v="941"/>
    <x v="2"/>
    <x v="632"/>
    <x v="1046"/>
    <x v="1037"/>
    <x v="1036"/>
    <x v="982"/>
    <n v="27375"/>
    <n v="450"/>
    <n v="12318750"/>
    <x v="0"/>
  </r>
  <r>
    <x v="19"/>
    <x v="942"/>
    <x v="1"/>
    <x v="732"/>
    <x v="1047"/>
    <x v="1038"/>
    <x v="1037"/>
    <x v="983"/>
    <n v="4100"/>
    <n v="350"/>
    <n v="1435000"/>
    <x v="0"/>
  </r>
  <r>
    <x v="19"/>
    <x v="497"/>
    <x v="2"/>
    <x v="733"/>
    <x v="1048"/>
    <x v="1039"/>
    <x v="1038"/>
    <x v="984"/>
    <n v="80000"/>
    <n v="450"/>
    <n v="36000000"/>
    <x v="0"/>
  </r>
  <r>
    <x v="19"/>
    <x v="943"/>
    <x v="14"/>
    <x v="734"/>
    <x v="1049"/>
    <x v="1040"/>
    <x v="1039"/>
    <x v="985"/>
    <n v="4900"/>
    <n v="550"/>
    <n v="2695000"/>
    <x v="2"/>
  </r>
  <r>
    <x v="19"/>
    <x v="944"/>
    <x v="2"/>
    <x v="735"/>
    <x v="1050"/>
    <x v="1041"/>
    <x v="1040"/>
    <x v="986"/>
    <n v="7850"/>
    <n v="450"/>
    <n v="3532500"/>
    <x v="0"/>
  </r>
  <r>
    <x v="19"/>
    <x v="945"/>
    <x v="6"/>
    <x v="543"/>
    <x v="1051"/>
    <x v="1042"/>
    <x v="1041"/>
    <x v="987"/>
    <n v="3100"/>
    <n v="450"/>
    <n v="1395000"/>
    <x v="2"/>
  </r>
  <r>
    <x v="19"/>
    <x v="946"/>
    <x v="4"/>
    <x v="77"/>
    <x v="1052"/>
    <x v="1043"/>
    <x v="1042"/>
    <x v="624"/>
    <n v="4075"/>
    <n v="450"/>
    <n v="1833750"/>
    <x v="2"/>
  </r>
  <r>
    <x v="19"/>
    <x v="58"/>
    <x v="2"/>
    <x v="736"/>
    <x v="1053"/>
    <x v="1044"/>
    <x v="1043"/>
    <x v="988"/>
    <n v="68500"/>
    <n v="450"/>
    <n v="30825000"/>
    <x v="0"/>
  </r>
  <r>
    <x v="19"/>
    <x v="947"/>
    <x v="4"/>
    <x v="24"/>
    <x v="1054"/>
    <x v="1045"/>
    <x v="1044"/>
    <x v="989"/>
    <n v="3200"/>
    <n v="450"/>
    <n v="1440000"/>
    <x v="2"/>
  </r>
  <r>
    <x v="19"/>
    <x v="948"/>
    <x v="2"/>
    <x v="123"/>
    <x v="1055"/>
    <x v="1046"/>
    <x v="1045"/>
    <x v="990"/>
    <n v="6275"/>
    <n v="450"/>
    <n v="2823750"/>
    <x v="0"/>
  </r>
  <r>
    <x v="19"/>
    <x v="201"/>
    <x v="12"/>
    <x v="737"/>
    <x v="1056"/>
    <x v="1047"/>
    <x v="1046"/>
    <x v="991"/>
    <n v="16000"/>
    <n v="250"/>
    <n v="4000000"/>
    <x v="1"/>
  </r>
  <r>
    <x v="19"/>
    <x v="949"/>
    <x v="1"/>
    <x v="738"/>
    <x v="1057"/>
    <x v="1048"/>
    <x v="1047"/>
    <x v="992"/>
    <n v="3825"/>
    <n v="350"/>
    <n v="1338750"/>
    <x v="0"/>
  </r>
  <r>
    <x v="19"/>
    <x v="950"/>
    <x v="1"/>
    <x v="299"/>
    <x v="1058"/>
    <x v="1049"/>
    <x v="1048"/>
    <x v="993"/>
    <n v="1225"/>
    <n v="350"/>
    <n v="428750"/>
    <x v="0"/>
  </r>
  <r>
    <x v="19"/>
    <x v="951"/>
    <x v="10"/>
    <x v="298"/>
    <x v="1059"/>
    <x v="1050"/>
    <x v="1049"/>
    <x v="717"/>
    <n v="1250"/>
    <n v="550"/>
    <n v="687500"/>
    <x v="2"/>
  </r>
  <r>
    <x v="19"/>
    <x v="952"/>
    <x v="4"/>
    <x v="739"/>
    <x v="1060"/>
    <x v="1051"/>
    <x v="1050"/>
    <x v="994"/>
    <n v="1125"/>
    <n v="450"/>
    <n v="506250"/>
    <x v="2"/>
  </r>
  <r>
    <x v="19"/>
    <x v="953"/>
    <x v="4"/>
    <x v="146"/>
    <x v="1061"/>
    <x v="1052"/>
    <x v="1051"/>
    <x v="995"/>
    <n v="300"/>
    <n v="450"/>
    <n v="135000"/>
    <x v="2"/>
  </r>
  <r>
    <x v="19"/>
    <x v="954"/>
    <x v="6"/>
    <x v="562"/>
    <x v="1062"/>
    <x v="1053"/>
    <x v="1052"/>
    <x v="685"/>
    <n v="4275"/>
    <n v="450"/>
    <n v="1923750"/>
    <x v="2"/>
  </r>
  <r>
    <x v="19"/>
    <x v="955"/>
    <x v="4"/>
    <x v="365"/>
    <x v="1063"/>
    <x v="1054"/>
    <x v="1053"/>
    <x v="996"/>
    <n v="1425"/>
    <n v="450"/>
    <n v="641250"/>
    <x v="2"/>
  </r>
  <r>
    <x v="19"/>
    <x v="956"/>
    <x v="8"/>
    <x v="252"/>
    <x v="1064"/>
    <x v="1055"/>
    <x v="1054"/>
    <x v="997"/>
    <n v="44500"/>
    <n v="350"/>
    <n v="15575000"/>
    <x v="0"/>
  </r>
  <r>
    <x v="19"/>
    <x v="66"/>
    <x v="7"/>
    <x v="740"/>
    <x v="1065"/>
    <x v="1056"/>
    <x v="1055"/>
    <x v="998"/>
    <n v="26825"/>
    <n v="350"/>
    <n v="9388750"/>
    <x v="0"/>
  </r>
  <r>
    <x v="19"/>
    <x v="20"/>
    <x v="13"/>
    <x v="741"/>
    <x v="1066"/>
    <x v="1057"/>
    <x v="1056"/>
    <x v="999"/>
    <n v="4025"/>
    <n v="550"/>
    <n v="2213750"/>
    <x v="2"/>
  </r>
  <r>
    <x v="19"/>
    <x v="957"/>
    <x v="12"/>
    <x v="742"/>
    <x v="1067"/>
    <x v="1058"/>
    <x v="1057"/>
    <x v="1000"/>
    <n v="35750"/>
    <n v="250"/>
    <n v="8937500"/>
    <x v="1"/>
  </r>
  <r>
    <x v="19"/>
    <x v="958"/>
    <x v="8"/>
    <x v="743"/>
    <x v="1068"/>
    <x v="1059"/>
    <x v="1058"/>
    <x v="1001"/>
    <n v="7550"/>
    <n v="350"/>
    <n v="2642500"/>
    <x v="0"/>
  </r>
  <r>
    <x v="19"/>
    <x v="959"/>
    <x v="0"/>
    <x v="744"/>
    <x v="1069"/>
    <x v="1060"/>
    <x v="1059"/>
    <x v="1002"/>
    <n v="30375"/>
    <n v="350"/>
    <n v="10631250"/>
    <x v="0"/>
  </r>
  <r>
    <x v="19"/>
    <x v="960"/>
    <x v="14"/>
    <x v="368"/>
    <x v="1070"/>
    <x v="1061"/>
    <x v="1060"/>
    <x v="1003"/>
    <n v="1000"/>
    <n v="550"/>
    <n v="550000"/>
    <x v="2"/>
  </r>
  <r>
    <x v="19"/>
    <x v="961"/>
    <x v="0"/>
    <x v="335"/>
    <x v="1071"/>
    <x v="1062"/>
    <x v="1061"/>
    <x v="1004"/>
    <n v="3050"/>
    <n v="350"/>
    <n v="1067500"/>
    <x v="0"/>
  </r>
  <r>
    <x v="19"/>
    <x v="962"/>
    <x v="0"/>
    <x v="85"/>
    <x v="1072"/>
    <x v="1063"/>
    <x v="1062"/>
    <x v="247"/>
    <n v="2525"/>
    <n v="350"/>
    <n v="883750"/>
    <x v="0"/>
  </r>
  <r>
    <x v="19"/>
    <x v="963"/>
    <x v="8"/>
    <x v="690"/>
    <x v="1073"/>
    <x v="1064"/>
    <x v="1063"/>
    <x v="1005"/>
    <n v="12700"/>
    <n v="350"/>
    <n v="4445000"/>
    <x v="0"/>
  </r>
  <r>
    <x v="19"/>
    <x v="964"/>
    <x v="13"/>
    <x v="38"/>
    <x v="1074"/>
    <x v="1065"/>
    <x v="1064"/>
    <x v="1006"/>
    <n v="1650"/>
    <n v="550"/>
    <n v="907500"/>
    <x v="2"/>
  </r>
  <r>
    <x v="19"/>
    <x v="911"/>
    <x v="7"/>
    <x v="745"/>
    <x v="1075"/>
    <x v="1066"/>
    <x v="1065"/>
    <x v="1007"/>
    <n v="12100"/>
    <n v="350"/>
    <n v="4235000"/>
    <x v="0"/>
  </r>
  <r>
    <x v="19"/>
    <x v="965"/>
    <x v="7"/>
    <x v="399"/>
    <x v="1076"/>
    <x v="1067"/>
    <x v="1066"/>
    <x v="862"/>
    <n v="1075"/>
    <n v="350"/>
    <n v="376250"/>
    <x v="0"/>
  </r>
  <r>
    <x v="19"/>
    <x v="966"/>
    <x v="5"/>
    <x v="70"/>
    <x v="1077"/>
    <x v="1068"/>
    <x v="1067"/>
    <x v="1008"/>
    <n v="725"/>
    <n v="550"/>
    <n v="398750"/>
    <x v="2"/>
  </r>
  <r>
    <x v="19"/>
    <x v="967"/>
    <x v="14"/>
    <x v="539"/>
    <x v="1078"/>
    <x v="1069"/>
    <x v="1068"/>
    <x v="1009"/>
    <n v="350"/>
    <n v="550"/>
    <n v="19250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1FC400-CA2A-4513-9B4B-CA41E11E0C4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4" firstHeaderRow="1" firstDataRow="1" firstDataCol="1"/>
  <pivotFields count="12">
    <pivotField axis="axisRow" showAll="0">
      <items count="21">
        <item x="5"/>
        <item x="4"/>
        <item x="7"/>
        <item x="17"/>
        <item x="1"/>
        <item x="0"/>
        <item x="2"/>
        <item x="15"/>
        <item x="9"/>
        <item x="6"/>
        <item x="14"/>
        <item x="8"/>
        <item x="10"/>
        <item x="12"/>
        <item x="13"/>
        <item x="16"/>
        <item x="18"/>
        <item x="19"/>
        <item x="11"/>
        <item x="3"/>
        <item t="default"/>
      </items>
    </pivotField>
    <pivotField dataField="1" showAll="0">
      <items count="969">
        <item x="430"/>
        <item x="255"/>
        <item x="224"/>
        <item x="32"/>
        <item x="160"/>
        <item x="72"/>
        <item x="361"/>
        <item x="729"/>
        <item x="663"/>
        <item x="547"/>
        <item x="834"/>
        <item x="605"/>
        <item x="551"/>
        <item x="887"/>
        <item x="575"/>
        <item x="407"/>
        <item x="875"/>
        <item x="905"/>
        <item x="798"/>
        <item x="964"/>
        <item x="773"/>
        <item x="586"/>
        <item x="516"/>
        <item x="672"/>
        <item x="184"/>
        <item x="54"/>
        <item x="412"/>
        <item x="137"/>
        <item x="904"/>
        <item x="790"/>
        <item x="647"/>
        <item x="14"/>
        <item x="805"/>
        <item x="761"/>
        <item x="303"/>
        <item x="637"/>
        <item x="619"/>
        <item x="579"/>
        <item x="967"/>
        <item x="617"/>
        <item x="201"/>
        <item x="187"/>
        <item x="248"/>
        <item x="178"/>
        <item x="247"/>
        <item x="569"/>
        <item x="476"/>
        <item x="446"/>
        <item x="41"/>
        <item x="42"/>
        <item x="466"/>
        <item x="527"/>
        <item x="8"/>
        <item x="38"/>
        <item x="507"/>
        <item x="245"/>
        <item x="390"/>
        <item x="12"/>
        <item x="690"/>
        <item x="444"/>
        <item x="120"/>
        <item x="371"/>
        <item x="459"/>
        <item x="719"/>
        <item x="175"/>
        <item x="283"/>
        <item x="2"/>
        <item x="46"/>
        <item x="804"/>
        <item x="846"/>
        <item x="947"/>
        <item x="76"/>
        <item x="282"/>
        <item x="242"/>
        <item x="356"/>
        <item x="452"/>
        <item x="183"/>
        <item x="625"/>
        <item x="589"/>
        <item x="670"/>
        <item x="704"/>
        <item x="824"/>
        <item x="770"/>
        <item x="620"/>
        <item x="349"/>
        <item x="398"/>
        <item x="856"/>
        <item x="848"/>
        <item x="490"/>
        <item x="506"/>
        <item x="939"/>
        <item x="284"/>
        <item x="198"/>
        <item x="341"/>
        <item x="835"/>
        <item x="304"/>
        <item x="302"/>
        <item x="944"/>
        <item x="354"/>
        <item x="126"/>
        <item x="337"/>
        <item x="816"/>
        <item x="89"/>
        <item x="401"/>
        <item x="791"/>
        <item x="623"/>
        <item x="258"/>
        <item x="712"/>
        <item x="677"/>
        <item x="214"/>
        <item x="51"/>
        <item x="196"/>
        <item x="34"/>
        <item x="351"/>
        <item x="379"/>
        <item x="480"/>
        <item x="250"/>
        <item x="192"/>
        <item x="380"/>
        <item x="169"/>
        <item x="488"/>
        <item x="225"/>
        <item x="878"/>
        <item x="673"/>
        <item x="205"/>
        <item x="101"/>
        <item x="630"/>
        <item x="705"/>
        <item x="665"/>
        <item x="542"/>
        <item x="216"/>
        <item x="157"/>
        <item x="921"/>
        <item x="732"/>
        <item x="694"/>
        <item x="552"/>
        <item x="560"/>
        <item x="347"/>
        <item x="537"/>
        <item x="413"/>
        <item x="659"/>
        <item x="102"/>
        <item x="200"/>
        <item x="259"/>
        <item x="66"/>
        <item x="723"/>
        <item x="511"/>
        <item x="314"/>
        <item x="599"/>
        <item x="78"/>
        <item x="409"/>
        <item x="646"/>
        <item x="129"/>
        <item x="658"/>
        <item x="427"/>
        <item x="403"/>
        <item x="799"/>
        <item x="871"/>
        <item x="859"/>
        <item x="419"/>
        <item x="918"/>
        <item x="954"/>
        <item x="115"/>
        <item x="750"/>
        <item x="781"/>
        <item x="138"/>
        <item x="199"/>
        <item x="0"/>
        <item x="63"/>
        <item x="908"/>
        <item x="440"/>
        <item x="692"/>
        <item x="928"/>
        <item x="949"/>
        <item x="141"/>
        <item x="608"/>
        <item x="654"/>
        <item x="669"/>
        <item x="3"/>
        <item x="813"/>
        <item x="106"/>
        <item x="716"/>
        <item x="614"/>
        <item x="667"/>
        <item x="691"/>
        <item x="710"/>
        <item x="611"/>
        <item x="651"/>
        <item x="588"/>
        <item x="549"/>
        <item x="632"/>
        <item x="150"/>
        <item x="510"/>
        <item x="399"/>
        <item x="326"/>
        <item x="111"/>
        <item x="370"/>
        <item x="946"/>
        <item x="310"/>
        <item x="794"/>
        <item x="234"/>
        <item x="502"/>
        <item x="36"/>
        <item x="395"/>
        <item x="721"/>
        <item x="83"/>
        <item x="688"/>
        <item x="787"/>
        <item x="443"/>
        <item x="936"/>
        <item x="929"/>
        <item x="254"/>
        <item x="97"/>
        <item x="774"/>
        <item x="956"/>
        <item x="116"/>
        <item x="746"/>
        <item x="785"/>
        <item x="185"/>
        <item x="901"/>
        <item x="909"/>
        <item x="961"/>
        <item x="285"/>
        <item x="406"/>
        <item x="429"/>
        <item x="113"/>
        <item x="423"/>
        <item x="15"/>
        <item x="119"/>
        <item x="64"/>
        <item x="270"/>
        <item x="340"/>
        <item x="92"/>
        <item x="404"/>
        <item x="763"/>
        <item x="755"/>
        <item x="71"/>
        <item x="5"/>
        <item x="703"/>
        <item x="520"/>
        <item x="147"/>
        <item x="596"/>
        <item x="435"/>
        <item x="661"/>
        <item x="152"/>
        <item x="293"/>
        <item x="845"/>
        <item x="636"/>
        <item x="61"/>
        <item x="123"/>
        <item x="27"/>
        <item x="343"/>
        <item x="531"/>
        <item x="288"/>
        <item x="863"/>
        <item x="757"/>
        <item x="931"/>
        <item x="330"/>
        <item x="135"/>
        <item x="942"/>
        <item x="317"/>
        <item x="402"/>
        <item x="287"/>
        <item x="609"/>
        <item x="485"/>
        <item x="428"/>
        <item x="280"/>
        <item x="587"/>
        <item x="953"/>
        <item x="100"/>
        <item x="865"/>
        <item x="23"/>
        <item x="85"/>
        <item x="453"/>
        <item x="148"/>
        <item x="475"/>
        <item x="561"/>
        <item x="882"/>
        <item x="278"/>
        <item x="668"/>
        <item x="775"/>
        <item x="645"/>
        <item x="455"/>
        <item x="653"/>
        <item x="840"/>
        <item x="144"/>
        <item x="168"/>
        <item x="678"/>
        <item x="518"/>
        <item x="194"/>
        <item x="220"/>
        <item x="952"/>
        <item x="232"/>
        <item x="573"/>
        <item x="884"/>
        <item x="595"/>
        <item x="640"/>
        <item x="792"/>
        <item x="397"/>
        <item x="963"/>
        <item x="369"/>
        <item x="238"/>
        <item x="60"/>
        <item x="826"/>
        <item x="570"/>
        <item x="713"/>
        <item x="902"/>
        <item x="415"/>
        <item x="521"/>
        <item x="633"/>
        <item x="959"/>
        <item x="359"/>
        <item x="730"/>
        <item x="179"/>
        <item x="911"/>
        <item x="922"/>
        <item x="460"/>
        <item x="202"/>
        <item x="105"/>
        <item x="478"/>
        <item x="831"/>
        <item x="110"/>
        <item x="841"/>
        <item x="844"/>
        <item x="584"/>
        <item x="40"/>
        <item x="822"/>
        <item x="683"/>
        <item x="233"/>
        <item x="53"/>
        <item x="174"/>
        <item x="748"/>
        <item x="686"/>
        <item x="818"/>
        <item x="675"/>
        <item x="39"/>
        <item x="411"/>
        <item x="261"/>
        <item x="557"/>
        <item x="319"/>
        <item x="65"/>
        <item x="464"/>
        <item x="236"/>
        <item x="629"/>
        <item x="221"/>
        <item x="62"/>
        <item x="309"/>
        <item x="264"/>
        <item x="118"/>
        <item x="263"/>
        <item x="289"/>
        <item x="852"/>
        <item x="332"/>
        <item x="299"/>
        <item x="362"/>
        <item x="393"/>
        <item x="926"/>
        <item x="336"/>
        <item x="864"/>
        <item x="965"/>
        <item x="7"/>
        <item x="45"/>
        <item x="526"/>
        <item x="581"/>
        <item x="548"/>
        <item x="509"/>
        <item x="306"/>
        <item x="180"/>
        <item x="145"/>
        <item x="618"/>
        <item x="307"/>
        <item x="867"/>
        <item x="433"/>
        <item x="389"/>
        <item x="616"/>
        <item x="439"/>
        <item x="564"/>
        <item x="536"/>
        <item x="494"/>
        <item x="267"/>
        <item x="497"/>
        <item x="125"/>
        <item x="295"/>
        <item x="941"/>
        <item x="727"/>
        <item x="543"/>
        <item x="533"/>
        <item x="590"/>
        <item x="474"/>
        <item x="128"/>
        <item x="854"/>
        <item x="387"/>
        <item x="519"/>
        <item x="779"/>
        <item x="166"/>
        <item x="762"/>
        <item x="158"/>
        <item x="266"/>
        <item x="352"/>
        <item x="639"/>
        <item x="697"/>
        <item x="699"/>
        <item x="695"/>
        <item x="69"/>
        <item x="240"/>
        <item x="195"/>
        <item x="612"/>
        <item x="226"/>
        <item x="149"/>
        <item x="44"/>
        <item x="610"/>
        <item x="384"/>
        <item x="186"/>
        <item x="188"/>
        <item x="674"/>
        <item x="294"/>
        <item x="173"/>
        <item x="808"/>
        <item x="237"/>
        <item x="381"/>
        <item x="378"/>
        <item x="170"/>
        <item x="467"/>
        <item x="388"/>
        <item x="74"/>
        <item x="91"/>
        <item x="327"/>
        <item x="817"/>
        <item x="883"/>
        <item x="771"/>
        <item x="405"/>
        <item x="603"/>
        <item x="874"/>
        <item x="685"/>
        <item x="924"/>
        <item x="948"/>
        <item x="103"/>
        <item x="582"/>
        <item x="495"/>
        <item x="260"/>
        <item x="316"/>
        <item x="73"/>
        <item x="950"/>
        <item x="75"/>
        <item x="461"/>
        <item x="345"/>
        <item x="286"/>
        <item x="172"/>
        <item x="313"/>
        <item x="344"/>
        <item x="745"/>
        <item x="741"/>
        <item x="718"/>
        <item x="833"/>
        <item x="448"/>
        <item x="98"/>
        <item x="472"/>
        <item x="545"/>
        <item x="218"/>
        <item x="842"/>
        <item x="239"/>
        <item x="203"/>
        <item x="660"/>
        <item x="583"/>
        <item x="780"/>
        <item x="896"/>
        <item x="829"/>
        <item x="886"/>
        <item x="879"/>
        <item x="860"/>
        <item x="900"/>
        <item x="744"/>
        <item x="364"/>
        <item x="425"/>
        <item x="915"/>
        <item x="811"/>
        <item x="133"/>
        <item x="535"/>
        <item x="751"/>
        <item x="898"/>
        <item x="914"/>
        <item x="540"/>
        <item x="483"/>
        <item x="555"/>
        <item x="635"/>
        <item x="649"/>
        <item x="778"/>
        <item x="698"/>
        <item x="121"/>
        <item x="227"/>
        <item x="566"/>
        <item x="597"/>
        <item x="272"/>
        <item x="281"/>
        <item x="181"/>
        <item x="823"/>
        <item x="493"/>
        <item x="934"/>
        <item x="155"/>
        <item x="891"/>
        <item x="241"/>
        <item x="768"/>
        <item x="756"/>
        <item x="592"/>
        <item x="870"/>
        <item x="271"/>
        <item x="81"/>
        <item x="222"/>
        <item x="524"/>
        <item x="339"/>
        <item x="9"/>
        <item x="681"/>
        <item x="782"/>
        <item x="849"/>
        <item x="432"/>
        <item x="223"/>
        <item x="292"/>
        <item x="843"/>
        <item x="574"/>
        <item x="642"/>
        <item x="491"/>
        <item x="445"/>
        <item x="933"/>
        <item x="568"/>
        <item x="167"/>
        <item x="18"/>
        <item x="325"/>
        <item x="143"/>
        <item x="35"/>
        <item x="457"/>
        <item x="136"/>
        <item x="297"/>
        <item x="11"/>
        <item x="438"/>
        <item x="868"/>
        <item x="77"/>
        <item x="410"/>
        <item x="585"/>
        <item x="578"/>
        <item x="709"/>
        <item x="56"/>
        <item x="777"/>
        <item x="650"/>
        <item x="793"/>
        <item x="925"/>
        <item x="512"/>
        <item x="162"/>
        <item x="481"/>
        <item x="249"/>
        <item x="601"/>
        <item x="1"/>
        <item x="955"/>
        <item x="897"/>
        <item x="151"/>
        <item x="127"/>
        <item x="48"/>
        <item x="739"/>
        <item x="163"/>
        <item x="300"/>
        <item x="373"/>
        <item x="958"/>
        <item x="365"/>
        <item x="256"/>
        <item x="321"/>
        <item x="498"/>
        <item x="456"/>
        <item x="920"/>
        <item x="262"/>
        <item x="919"/>
        <item x="324"/>
        <item x="736"/>
        <item x="450"/>
        <item x="797"/>
        <item x="25"/>
        <item x="246"/>
        <item x="492"/>
        <item x="383"/>
        <item x="4"/>
        <item x="274"/>
        <item x="604"/>
        <item x="517"/>
        <item x="765"/>
        <item x="88"/>
        <item x="701"/>
        <item x="338"/>
        <item x="935"/>
        <item x="82"/>
        <item x="903"/>
        <item x="825"/>
        <item x="827"/>
        <item x="209"/>
        <item x="360"/>
        <item x="499"/>
        <item x="895"/>
        <item x="890"/>
        <item x="213"/>
        <item x="726"/>
        <item x="24"/>
        <item x="541"/>
        <item x="477"/>
        <item x="800"/>
        <item x="117"/>
        <item x="37"/>
        <item x="740"/>
        <item x="814"/>
        <item x="80"/>
        <item x="862"/>
        <item x="219"/>
        <item x="711"/>
        <item x="634"/>
        <item x="21"/>
        <item x="764"/>
        <item x="938"/>
        <item x="437"/>
        <item x="204"/>
        <item x="253"/>
        <item x="733"/>
        <item x="140"/>
        <item x="468"/>
        <item x="463"/>
        <item x="296"/>
        <item x="210"/>
        <item x="470"/>
        <item x="666"/>
        <item x="99"/>
        <item x="724"/>
        <item x="471"/>
        <item x="960"/>
        <item x="655"/>
        <item x="416"/>
        <item x="301"/>
        <item x="108"/>
        <item x="687"/>
        <item x="124"/>
        <item x="376"/>
        <item x="598"/>
        <item x="49"/>
        <item x="836"/>
        <item x="577"/>
        <item x="31"/>
        <item x="767"/>
        <item x="888"/>
        <item x="753"/>
        <item x="880"/>
        <item x="165"/>
        <item x="783"/>
        <item x="441"/>
        <item x="766"/>
        <item x="664"/>
        <item x="244"/>
        <item x="786"/>
        <item x="109"/>
        <item x="375"/>
        <item x="855"/>
        <item x="607"/>
        <item x="714"/>
        <item x="615"/>
        <item x="899"/>
        <item x="269"/>
        <item x="206"/>
        <item x="725"/>
        <item x="626"/>
        <item x="308"/>
        <item x="55"/>
        <item x="6"/>
        <item x="290"/>
        <item x="558"/>
        <item x="832"/>
        <item x="357"/>
        <item x="422"/>
        <item x="146"/>
        <item x="906"/>
        <item x="857"/>
        <item x="257"/>
        <item x="298"/>
        <item x="279"/>
        <item x="193"/>
        <item x="164"/>
        <item x="534"/>
        <item x="643"/>
        <item x="348"/>
        <item x="700"/>
        <item x="482"/>
        <item x="641"/>
        <item x="966"/>
        <item x="486"/>
        <item x="496"/>
        <item x="940"/>
        <item x="885"/>
        <item x="418"/>
        <item x="95"/>
        <item x="648"/>
        <item x="529"/>
        <item x="90"/>
        <item x="217"/>
        <item x="436"/>
        <item x="447"/>
        <item x="819"/>
        <item x="394"/>
        <item x="252"/>
        <item x="571"/>
        <item x="513"/>
        <item x="489"/>
        <item x="572"/>
        <item x="565"/>
        <item x="795"/>
        <item x="161"/>
        <item x="114"/>
        <item x="743"/>
        <item x="122"/>
        <item x="273"/>
        <item x="469"/>
        <item x="377"/>
        <item x="79"/>
        <item x="853"/>
        <item x="104"/>
        <item x="747"/>
        <item x="93"/>
        <item x="907"/>
        <item x="473"/>
        <item x="943"/>
        <item x="235"/>
        <item x="107"/>
        <item x="243"/>
        <item x="693"/>
        <item x="760"/>
        <item x="87"/>
        <item x="426"/>
        <item x="335"/>
        <item x="735"/>
        <item x="228"/>
        <item x="715"/>
        <item x="265"/>
        <item x="580"/>
        <item x="479"/>
        <item x="522"/>
        <item x="809"/>
        <item x="50"/>
        <item x="539"/>
        <item x="696"/>
        <item x="759"/>
        <item x="769"/>
        <item x="738"/>
        <item x="622"/>
        <item x="962"/>
        <item x="501"/>
        <item x="927"/>
        <item x="528"/>
        <item x="821"/>
        <item x="734"/>
        <item x="752"/>
        <item x="910"/>
        <item x="893"/>
        <item x="70"/>
        <item x="830"/>
        <item x="421"/>
        <item x="132"/>
        <item x="84"/>
        <item x="442"/>
        <item x="28"/>
        <item x="828"/>
        <item x="550"/>
        <item x="776"/>
        <item x="334"/>
        <item x="22"/>
        <item x="142"/>
        <item x="131"/>
        <item x="796"/>
        <item x="171"/>
        <item x="508"/>
        <item x="624"/>
        <item x="554"/>
        <item x="424"/>
        <item x="837"/>
        <item x="372"/>
        <item x="894"/>
        <item x="881"/>
        <item x="913"/>
        <item x="644"/>
        <item x="312"/>
        <item x="159"/>
        <item x="19"/>
        <item x="807"/>
        <item x="679"/>
        <item x="29"/>
        <item x="600"/>
        <item x="861"/>
        <item x="680"/>
        <item x="153"/>
        <item x="333"/>
        <item x="58"/>
        <item x="30"/>
        <item x="400"/>
        <item x="177"/>
        <item x="916"/>
        <item x="189"/>
        <item x="47"/>
        <item x="230"/>
        <item x="96"/>
        <item x="788"/>
        <item x="311"/>
        <item x="229"/>
        <item x="866"/>
        <item x="758"/>
        <item x="544"/>
        <item x="57"/>
        <item x="631"/>
        <item x="720"/>
        <item x="689"/>
        <item x="556"/>
        <item x="754"/>
        <item x="731"/>
        <item x="374"/>
        <item x="276"/>
        <item x="504"/>
        <item x="346"/>
        <item x="323"/>
        <item x="358"/>
        <item x="94"/>
        <item x="451"/>
        <item x="197"/>
        <item x="546"/>
        <item x="682"/>
        <item x="385"/>
        <item x="945"/>
        <item x="156"/>
        <item x="331"/>
        <item x="353"/>
        <item x="134"/>
        <item x="638"/>
        <item x="892"/>
        <item x="538"/>
        <item x="957"/>
        <item x="810"/>
        <item x="671"/>
        <item x="851"/>
        <item x="850"/>
        <item x="621"/>
        <item x="275"/>
        <item x="208"/>
        <item x="212"/>
        <item x="392"/>
        <item x="68"/>
        <item x="525"/>
        <item x="487"/>
        <item x="930"/>
        <item x="382"/>
        <item x="231"/>
        <item x="190"/>
        <item x="676"/>
        <item x="591"/>
        <item x="839"/>
        <item x="329"/>
        <item x="318"/>
        <item x="315"/>
        <item x="16"/>
        <item x="877"/>
        <item x="873"/>
        <item x="627"/>
        <item x="889"/>
        <item x="366"/>
        <item x="923"/>
        <item x="350"/>
        <item x="449"/>
        <item x="191"/>
        <item x="176"/>
        <item x="707"/>
        <item x="396"/>
        <item x="59"/>
        <item x="702"/>
        <item x="86"/>
        <item x="462"/>
        <item x="139"/>
        <item x="847"/>
        <item x="803"/>
        <item x="737"/>
        <item x="505"/>
        <item x="749"/>
        <item x="523"/>
        <item x="912"/>
        <item x="454"/>
        <item x="355"/>
        <item x="812"/>
        <item x="917"/>
        <item x="251"/>
        <item x="530"/>
        <item x="408"/>
        <item x="67"/>
        <item x="503"/>
        <item x="215"/>
        <item x="386"/>
        <item x="391"/>
        <item x="322"/>
        <item x="211"/>
        <item x="43"/>
        <item x="937"/>
        <item x="363"/>
        <item x="515"/>
        <item x="684"/>
        <item x="613"/>
        <item x="593"/>
        <item x="553"/>
        <item x="417"/>
        <item x="801"/>
        <item x="722"/>
        <item x="657"/>
        <item x="602"/>
        <item x="26"/>
        <item x="268"/>
        <item x="652"/>
        <item x="277"/>
        <item x="567"/>
        <item x="112"/>
        <item x="207"/>
        <item x="820"/>
        <item x="656"/>
        <item x="500"/>
        <item x="13"/>
        <item x="420"/>
        <item x="858"/>
        <item x="802"/>
        <item x="932"/>
        <item x="20"/>
        <item x="514"/>
        <item x="576"/>
        <item x="876"/>
        <item x="458"/>
        <item x="742"/>
        <item x="154"/>
        <item x="367"/>
        <item x="806"/>
        <item x="628"/>
        <item x="328"/>
        <item x="838"/>
        <item x="662"/>
        <item x="532"/>
        <item x="951"/>
        <item x="594"/>
        <item x="17"/>
        <item x="772"/>
        <item x="728"/>
        <item x="414"/>
        <item x="291"/>
        <item x="431"/>
        <item x="563"/>
        <item x="559"/>
        <item x="434"/>
        <item x="52"/>
        <item x="717"/>
        <item x="562"/>
        <item x="784"/>
        <item x="342"/>
        <item x="606"/>
        <item x="484"/>
        <item x="708"/>
        <item x="368"/>
        <item x="872"/>
        <item x="465"/>
        <item x="305"/>
        <item x="320"/>
        <item x="182"/>
        <item x="33"/>
        <item x="869"/>
        <item x="815"/>
        <item x="706"/>
        <item x="789"/>
        <item x="130"/>
        <item x="10"/>
        <item t="default"/>
      </items>
    </pivotField>
    <pivotField showAll="0"/>
    <pivotField showAll="0"/>
    <pivotField showAll="0"/>
    <pivotField showAll="0"/>
    <pivotField showAll="0"/>
    <pivotField showAll="0"/>
    <pivotField showAll="0"/>
    <pivotField showAll="0"/>
    <pivotField showAll="0"/>
    <pivotField showAll="0">
      <items count="4">
        <item x="1"/>
        <item x="0"/>
        <item x="2"/>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afes by Area" fld="1"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3D05CE-A5BB-4B0A-B525-92E34F26405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7:B78" firstHeaderRow="1" firstDataRow="1" firstDataCol="1"/>
  <pivotFields count="12">
    <pivotField axis="axisRow" showAll="0">
      <items count="21">
        <item x="5"/>
        <item x="4"/>
        <item x="7"/>
        <item x="17"/>
        <item x="1"/>
        <item x="0"/>
        <item x="2"/>
        <item x="15"/>
        <item x="9"/>
        <item x="6"/>
        <item x="14"/>
        <item x="8"/>
        <item x="10"/>
        <item x="12"/>
        <item x="13"/>
        <item x="16"/>
        <item x="18"/>
        <item x="19"/>
        <item x="11"/>
        <item x="3"/>
        <item t="default"/>
      </items>
    </pivotField>
    <pivotField showAll="0"/>
    <pivotField showAll="0"/>
    <pivotField dataField="1" showAll="0"/>
    <pivotField showAll="0"/>
    <pivotField showAll="0"/>
    <pivotField showAll="0"/>
    <pivotField showAll="0"/>
    <pivotField showAll="0"/>
    <pivotField showAll="0"/>
    <pivotField showAll="0"/>
    <pivotField showAll="0">
      <items count="4">
        <item x="1"/>
        <item x="0"/>
        <item x="2"/>
        <item t="default"/>
      </items>
    </pivotField>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Total Ratings" fld="3" subtotal="average" baseField="0" baseItem="0" numFmtId="2"/>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4AA0DE-63AB-4329-99BA-8D751851796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I42:J53" firstHeaderRow="1" firstDataRow="1" firstDataCol="1"/>
  <pivotFields count="12">
    <pivotField showAll="0">
      <items count="21">
        <item x="5"/>
        <item x="4"/>
        <item x="7"/>
        <item x="17"/>
        <item x="1"/>
        <item x="0"/>
        <item x="2"/>
        <item x="15"/>
        <item x="9"/>
        <item x="6"/>
        <item x="14"/>
        <item x="8"/>
        <item x="10"/>
        <item x="12"/>
        <item x="13"/>
        <item x="16"/>
        <item x="18"/>
        <item x="19"/>
        <item x="11"/>
        <item x="3"/>
        <item t="default"/>
      </items>
    </pivotField>
    <pivotField axis="axisRow" showAll="0" measureFilter="1">
      <items count="969">
        <item x="430"/>
        <item x="255"/>
        <item x="224"/>
        <item x="32"/>
        <item x="160"/>
        <item x="72"/>
        <item x="361"/>
        <item x="729"/>
        <item x="663"/>
        <item x="547"/>
        <item x="834"/>
        <item x="605"/>
        <item x="551"/>
        <item x="887"/>
        <item x="575"/>
        <item x="407"/>
        <item x="875"/>
        <item x="905"/>
        <item x="798"/>
        <item x="964"/>
        <item x="773"/>
        <item x="586"/>
        <item x="516"/>
        <item x="672"/>
        <item x="184"/>
        <item x="54"/>
        <item x="412"/>
        <item x="137"/>
        <item x="904"/>
        <item x="790"/>
        <item x="647"/>
        <item x="14"/>
        <item x="805"/>
        <item x="761"/>
        <item x="303"/>
        <item x="637"/>
        <item x="619"/>
        <item x="579"/>
        <item x="967"/>
        <item x="617"/>
        <item x="201"/>
        <item x="187"/>
        <item x="248"/>
        <item x="178"/>
        <item x="247"/>
        <item x="569"/>
        <item x="476"/>
        <item x="446"/>
        <item x="41"/>
        <item x="42"/>
        <item x="466"/>
        <item x="527"/>
        <item x="8"/>
        <item x="38"/>
        <item x="507"/>
        <item x="245"/>
        <item x="390"/>
        <item x="12"/>
        <item x="690"/>
        <item x="444"/>
        <item x="120"/>
        <item x="371"/>
        <item x="459"/>
        <item x="719"/>
        <item x="175"/>
        <item x="283"/>
        <item x="2"/>
        <item x="46"/>
        <item x="804"/>
        <item x="846"/>
        <item x="947"/>
        <item x="76"/>
        <item x="282"/>
        <item x="242"/>
        <item x="356"/>
        <item x="452"/>
        <item x="183"/>
        <item x="625"/>
        <item x="589"/>
        <item x="670"/>
        <item x="704"/>
        <item x="824"/>
        <item x="770"/>
        <item x="620"/>
        <item x="349"/>
        <item x="398"/>
        <item x="856"/>
        <item x="848"/>
        <item x="490"/>
        <item x="506"/>
        <item x="939"/>
        <item x="284"/>
        <item x="198"/>
        <item x="341"/>
        <item x="835"/>
        <item x="304"/>
        <item x="302"/>
        <item x="944"/>
        <item x="354"/>
        <item x="126"/>
        <item x="337"/>
        <item x="816"/>
        <item x="89"/>
        <item x="401"/>
        <item x="791"/>
        <item x="623"/>
        <item x="258"/>
        <item x="712"/>
        <item x="677"/>
        <item x="214"/>
        <item x="51"/>
        <item x="196"/>
        <item x="34"/>
        <item x="351"/>
        <item x="379"/>
        <item x="480"/>
        <item x="250"/>
        <item x="192"/>
        <item x="380"/>
        <item x="169"/>
        <item x="488"/>
        <item x="225"/>
        <item x="878"/>
        <item x="673"/>
        <item x="205"/>
        <item x="101"/>
        <item x="630"/>
        <item x="705"/>
        <item x="665"/>
        <item x="542"/>
        <item x="216"/>
        <item x="157"/>
        <item x="921"/>
        <item x="732"/>
        <item x="694"/>
        <item x="552"/>
        <item x="560"/>
        <item x="347"/>
        <item x="537"/>
        <item x="413"/>
        <item x="659"/>
        <item x="102"/>
        <item x="200"/>
        <item x="259"/>
        <item x="66"/>
        <item x="723"/>
        <item x="511"/>
        <item x="314"/>
        <item x="599"/>
        <item x="78"/>
        <item x="409"/>
        <item x="646"/>
        <item x="129"/>
        <item x="658"/>
        <item x="427"/>
        <item x="403"/>
        <item x="799"/>
        <item x="871"/>
        <item x="859"/>
        <item x="419"/>
        <item x="918"/>
        <item x="954"/>
        <item x="115"/>
        <item x="750"/>
        <item x="781"/>
        <item x="138"/>
        <item x="199"/>
        <item x="0"/>
        <item x="63"/>
        <item x="908"/>
        <item x="440"/>
        <item x="692"/>
        <item x="928"/>
        <item x="949"/>
        <item x="141"/>
        <item x="608"/>
        <item x="654"/>
        <item x="669"/>
        <item x="3"/>
        <item x="813"/>
        <item x="106"/>
        <item x="716"/>
        <item x="614"/>
        <item x="667"/>
        <item x="691"/>
        <item x="710"/>
        <item x="611"/>
        <item x="651"/>
        <item x="588"/>
        <item x="549"/>
        <item x="632"/>
        <item x="150"/>
        <item x="510"/>
        <item x="399"/>
        <item x="326"/>
        <item x="111"/>
        <item x="370"/>
        <item x="946"/>
        <item x="310"/>
        <item x="794"/>
        <item x="234"/>
        <item x="502"/>
        <item x="36"/>
        <item x="395"/>
        <item x="721"/>
        <item x="83"/>
        <item x="688"/>
        <item x="787"/>
        <item x="443"/>
        <item x="936"/>
        <item x="929"/>
        <item x="254"/>
        <item x="97"/>
        <item x="774"/>
        <item x="956"/>
        <item x="116"/>
        <item x="746"/>
        <item x="785"/>
        <item x="185"/>
        <item x="901"/>
        <item x="909"/>
        <item x="961"/>
        <item x="285"/>
        <item x="406"/>
        <item x="429"/>
        <item x="113"/>
        <item x="423"/>
        <item x="15"/>
        <item x="119"/>
        <item x="64"/>
        <item x="270"/>
        <item x="340"/>
        <item x="92"/>
        <item x="404"/>
        <item x="763"/>
        <item x="755"/>
        <item x="71"/>
        <item x="5"/>
        <item x="703"/>
        <item x="520"/>
        <item x="147"/>
        <item x="596"/>
        <item x="435"/>
        <item x="661"/>
        <item x="152"/>
        <item x="293"/>
        <item x="845"/>
        <item x="636"/>
        <item x="61"/>
        <item x="123"/>
        <item x="27"/>
        <item x="343"/>
        <item x="531"/>
        <item x="288"/>
        <item x="863"/>
        <item x="757"/>
        <item x="931"/>
        <item x="330"/>
        <item x="135"/>
        <item x="942"/>
        <item x="317"/>
        <item x="402"/>
        <item x="287"/>
        <item x="609"/>
        <item x="485"/>
        <item x="428"/>
        <item x="280"/>
        <item x="587"/>
        <item x="953"/>
        <item x="100"/>
        <item x="865"/>
        <item x="23"/>
        <item x="85"/>
        <item x="453"/>
        <item x="148"/>
        <item x="475"/>
        <item x="561"/>
        <item x="882"/>
        <item x="278"/>
        <item x="668"/>
        <item x="775"/>
        <item x="645"/>
        <item x="455"/>
        <item x="653"/>
        <item x="840"/>
        <item x="144"/>
        <item x="168"/>
        <item x="678"/>
        <item x="518"/>
        <item x="194"/>
        <item x="220"/>
        <item x="952"/>
        <item x="232"/>
        <item x="573"/>
        <item x="884"/>
        <item x="595"/>
        <item x="640"/>
        <item x="792"/>
        <item x="397"/>
        <item x="963"/>
        <item x="369"/>
        <item x="238"/>
        <item x="60"/>
        <item x="826"/>
        <item x="570"/>
        <item x="713"/>
        <item x="902"/>
        <item x="415"/>
        <item x="521"/>
        <item x="633"/>
        <item x="959"/>
        <item x="359"/>
        <item x="730"/>
        <item x="179"/>
        <item x="911"/>
        <item x="922"/>
        <item x="460"/>
        <item x="202"/>
        <item x="105"/>
        <item x="478"/>
        <item x="831"/>
        <item x="110"/>
        <item x="841"/>
        <item x="844"/>
        <item x="584"/>
        <item x="40"/>
        <item x="822"/>
        <item x="683"/>
        <item x="233"/>
        <item x="53"/>
        <item x="174"/>
        <item x="748"/>
        <item x="686"/>
        <item x="818"/>
        <item x="675"/>
        <item x="39"/>
        <item x="411"/>
        <item x="261"/>
        <item x="557"/>
        <item x="319"/>
        <item x="65"/>
        <item x="464"/>
        <item x="236"/>
        <item x="629"/>
        <item x="221"/>
        <item x="62"/>
        <item x="309"/>
        <item x="264"/>
        <item x="118"/>
        <item x="263"/>
        <item x="289"/>
        <item x="852"/>
        <item x="332"/>
        <item x="299"/>
        <item x="362"/>
        <item x="393"/>
        <item x="926"/>
        <item x="336"/>
        <item x="864"/>
        <item x="965"/>
        <item x="7"/>
        <item x="45"/>
        <item x="526"/>
        <item x="581"/>
        <item x="548"/>
        <item x="509"/>
        <item x="306"/>
        <item x="180"/>
        <item x="145"/>
        <item x="618"/>
        <item x="307"/>
        <item x="867"/>
        <item x="433"/>
        <item x="389"/>
        <item x="616"/>
        <item x="439"/>
        <item x="564"/>
        <item x="536"/>
        <item x="494"/>
        <item x="267"/>
        <item x="497"/>
        <item x="125"/>
        <item x="295"/>
        <item x="941"/>
        <item x="727"/>
        <item x="543"/>
        <item x="533"/>
        <item x="590"/>
        <item x="474"/>
        <item x="128"/>
        <item x="854"/>
        <item x="387"/>
        <item x="519"/>
        <item x="779"/>
        <item x="166"/>
        <item x="762"/>
        <item x="158"/>
        <item x="266"/>
        <item x="352"/>
        <item x="639"/>
        <item x="697"/>
        <item x="699"/>
        <item x="695"/>
        <item x="69"/>
        <item x="240"/>
        <item x="195"/>
        <item x="612"/>
        <item x="226"/>
        <item x="149"/>
        <item x="44"/>
        <item x="610"/>
        <item x="384"/>
        <item x="186"/>
        <item x="188"/>
        <item x="674"/>
        <item x="294"/>
        <item x="173"/>
        <item x="808"/>
        <item x="237"/>
        <item x="381"/>
        <item x="378"/>
        <item x="170"/>
        <item x="467"/>
        <item x="388"/>
        <item x="74"/>
        <item x="91"/>
        <item x="327"/>
        <item x="817"/>
        <item x="883"/>
        <item x="771"/>
        <item x="405"/>
        <item x="603"/>
        <item x="874"/>
        <item x="685"/>
        <item x="924"/>
        <item x="948"/>
        <item x="103"/>
        <item x="582"/>
        <item x="495"/>
        <item x="260"/>
        <item x="316"/>
        <item x="73"/>
        <item x="950"/>
        <item x="75"/>
        <item x="461"/>
        <item x="345"/>
        <item x="286"/>
        <item x="172"/>
        <item x="313"/>
        <item x="344"/>
        <item x="745"/>
        <item x="741"/>
        <item x="718"/>
        <item x="833"/>
        <item x="448"/>
        <item x="98"/>
        <item x="472"/>
        <item x="545"/>
        <item x="218"/>
        <item x="842"/>
        <item x="239"/>
        <item x="203"/>
        <item x="660"/>
        <item x="583"/>
        <item x="780"/>
        <item x="896"/>
        <item x="829"/>
        <item x="886"/>
        <item x="879"/>
        <item x="860"/>
        <item x="900"/>
        <item x="744"/>
        <item x="364"/>
        <item x="425"/>
        <item x="915"/>
        <item x="811"/>
        <item x="133"/>
        <item x="535"/>
        <item x="751"/>
        <item x="898"/>
        <item x="914"/>
        <item x="540"/>
        <item x="483"/>
        <item x="555"/>
        <item x="635"/>
        <item x="649"/>
        <item x="778"/>
        <item x="698"/>
        <item x="121"/>
        <item x="227"/>
        <item x="566"/>
        <item x="597"/>
        <item x="272"/>
        <item x="281"/>
        <item x="181"/>
        <item x="823"/>
        <item x="493"/>
        <item x="934"/>
        <item x="155"/>
        <item x="891"/>
        <item x="241"/>
        <item x="768"/>
        <item x="756"/>
        <item x="592"/>
        <item x="870"/>
        <item x="271"/>
        <item x="81"/>
        <item x="222"/>
        <item x="524"/>
        <item x="339"/>
        <item x="9"/>
        <item x="681"/>
        <item x="782"/>
        <item x="849"/>
        <item x="432"/>
        <item x="223"/>
        <item x="292"/>
        <item x="843"/>
        <item x="574"/>
        <item x="642"/>
        <item x="491"/>
        <item x="445"/>
        <item x="933"/>
        <item x="568"/>
        <item x="167"/>
        <item x="18"/>
        <item x="325"/>
        <item x="143"/>
        <item x="35"/>
        <item x="457"/>
        <item x="136"/>
        <item x="297"/>
        <item x="11"/>
        <item x="438"/>
        <item x="868"/>
        <item x="77"/>
        <item x="410"/>
        <item x="585"/>
        <item x="578"/>
        <item x="709"/>
        <item x="56"/>
        <item x="777"/>
        <item x="650"/>
        <item x="793"/>
        <item x="925"/>
        <item x="512"/>
        <item x="162"/>
        <item x="481"/>
        <item x="249"/>
        <item x="601"/>
        <item x="1"/>
        <item x="955"/>
        <item x="897"/>
        <item x="151"/>
        <item x="127"/>
        <item x="48"/>
        <item x="739"/>
        <item x="163"/>
        <item x="300"/>
        <item x="373"/>
        <item x="958"/>
        <item x="365"/>
        <item x="256"/>
        <item x="321"/>
        <item x="498"/>
        <item x="456"/>
        <item x="920"/>
        <item x="262"/>
        <item x="919"/>
        <item x="324"/>
        <item x="736"/>
        <item x="450"/>
        <item x="797"/>
        <item x="25"/>
        <item x="246"/>
        <item x="492"/>
        <item x="383"/>
        <item x="4"/>
        <item x="274"/>
        <item x="604"/>
        <item x="517"/>
        <item x="765"/>
        <item x="88"/>
        <item x="701"/>
        <item x="338"/>
        <item x="935"/>
        <item x="82"/>
        <item x="903"/>
        <item x="825"/>
        <item x="827"/>
        <item x="209"/>
        <item x="360"/>
        <item x="499"/>
        <item x="895"/>
        <item x="890"/>
        <item x="213"/>
        <item x="726"/>
        <item x="24"/>
        <item x="541"/>
        <item x="477"/>
        <item x="800"/>
        <item x="117"/>
        <item x="37"/>
        <item x="740"/>
        <item x="814"/>
        <item x="80"/>
        <item x="862"/>
        <item x="219"/>
        <item x="711"/>
        <item x="634"/>
        <item x="21"/>
        <item x="764"/>
        <item x="938"/>
        <item x="437"/>
        <item x="204"/>
        <item x="253"/>
        <item x="733"/>
        <item x="140"/>
        <item x="468"/>
        <item x="463"/>
        <item x="296"/>
        <item x="210"/>
        <item x="470"/>
        <item x="666"/>
        <item x="99"/>
        <item x="724"/>
        <item x="471"/>
        <item x="960"/>
        <item x="655"/>
        <item x="416"/>
        <item x="301"/>
        <item x="108"/>
        <item x="687"/>
        <item x="124"/>
        <item x="376"/>
        <item x="598"/>
        <item x="49"/>
        <item x="836"/>
        <item x="577"/>
        <item x="31"/>
        <item x="767"/>
        <item x="888"/>
        <item x="753"/>
        <item x="880"/>
        <item x="165"/>
        <item x="783"/>
        <item x="441"/>
        <item x="766"/>
        <item x="664"/>
        <item x="244"/>
        <item x="786"/>
        <item x="109"/>
        <item x="375"/>
        <item x="855"/>
        <item x="607"/>
        <item x="714"/>
        <item x="615"/>
        <item x="899"/>
        <item x="269"/>
        <item x="206"/>
        <item x="725"/>
        <item x="626"/>
        <item x="308"/>
        <item x="55"/>
        <item x="6"/>
        <item x="290"/>
        <item x="558"/>
        <item x="832"/>
        <item x="357"/>
        <item x="422"/>
        <item x="146"/>
        <item x="906"/>
        <item x="857"/>
        <item x="257"/>
        <item x="298"/>
        <item x="279"/>
        <item x="193"/>
        <item x="164"/>
        <item x="534"/>
        <item x="643"/>
        <item x="348"/>
        <item x="700"/>
        <item x="482"/>
        <item x="641"/>
        <item x="966"/>
        <item x="486"/>
        <item x="496"/>
        <item x="940"/>
        <item x="885"/>
        <item x="418"/>
        <item x="95"/>
        <item x="648"/>
        <item x="529"/>
        <item x="90"/>
        <item x="217"/>
        <item x="436"/>
        <item x="447"/>
        <item x="819"/>
        <item x="394"/>
        <item x="252"/>
        <item x="571"/>
        <item x="513"/>
        <item x="489"/>
        <item x="572"/>
        <item x="565"/>
        <item x="795"/>
        <item x="161"/>
        <item x="114"/>
        <item x="743"/>
        <item x="122"/>
        <item x="273"/>
        <item x="469"/>
        <item x="377"/>
        <item x="79"/>
        <item x="853"/>
        <item x="104"/>
        <item x="747"/>
        <item x="93"/>
        <item x="907"/>
        <item x="473"/>
        <item x="943"/>
        <item x="235"/>
        <item x="107"/>
        <item x="243"/>
        <item x="693"/>
        <item x="760"/>
        <item x="87"/>
        <item x="426"/>
        <item x="335"/>
        <item x="735"/>
        <item x="228"/>
        <item x="715"/>
        <item x="265"/>
        <item x="580"/>
        <item x="479"/>
        <item x="522"/>
        <item x="809"/>
        <item x="50"/>
        <item x="539"/>
        <item x="696"/>
        <item x="759"/>
        <item x="769"/>
        <item x="738"/>
        <item x="622"/>
        <item x="962"/>
        <item x="501"/>
        <item x="927"/>
        <item x="528"/>
        <item x="821"/>
        <item x="734"/>
        <item x="752"/>
        <item x="910"/>
        <item x="893"/>
        <item x="70"/>
        <item x="830"/>
        <item x="421"/>
        <item x="132"/>
        <item x="84"/>
        <item x="442"/>
        <item x="28"/>
        <item x="828"/>
        <item x="550"/>
        <item x="776"/>
        <item x="334"/>
        <item x="22"/>
        <item x="142"/>
        <item x="131"/>
        <item x="796"/>
        <item x="171"/>
        <item x="508"/>
        <item x="624"/>
        <item x="554"/>
        <item x="424"/>
        <item x="837"/>
        <item x="372"/>
        <item x="894"/>
        <item x="881"/>
        <item x="913"/>
        <item x="644"/>
        <item x="312"/>
        <item x="159"/>
        <item x="19"/>
        <item x="807"/>
        <item x="679"/>
        <item x="29"/>
        <item x="600"/>
        <item x="861"/>
        <item x="680"/>
        <item x="153"/>
        <item x="333"/>
        <item x="58"/>
        <item x="30"/>
        <item x="400"/>
        <item x="177"/>
        <item x="916"/>
        <item x="189"/>
        <item x="47"/>
        <item x="230"/>
        <item x="96"/>
        <item x="788"/>
        <item x="311"/>
        <item x="229"/>
        <item x="866"/>
        <item x="758"/>
        <item x="544"/>
        <item x="57"/>
        <item x="631"/>
        <item x="720"/>
        <item x="689"/>
        <item x="556"/>
        <item x="754"/>
        <item x="731"/>
        <item x="374"/>
        <item x="276"/>
        <item x="504"/>
        <item x="346"/>
        <item x="323"/>
        <item x="358"/>
        <item x="94"/>
        <item x="451"/>
        <item x="197"/>
        <item x="546"/>
        <item x="682"/>
        <item x="385"/>
        <item x="945"/>
        <item x="156"/>
        <item x="331"/>
        <item x="353"/>
        <item x="134"/>
        <item x="638"/>
        <item x="892"/>
        <item x="538"/>
        <item x="957"/>
        <item x="810"/>
        <item x="671"/>
        <item x="851"/>
        <item x="850"/>
        <item x="621"/>
        <item x="275"/>
        <item x="208"/>
        <item x="212"/>
        <item x="392"/>
        <item x="68"/>
        <item x="525"/>
        <item x="487"/>
        <item x="930"/>
        <item x="382"/>
        <item x="231"/>
        <item x="190"/>
        <item x="676"/>
        <item x="591"/>
        <item x="839"/>
        <item x="329"/>
        <item x="318"/>
        <item x="315"/>
        <item x="16"/>
        <item x="877"/>
        <item x="873"/>
        <item x="627"/>
        <item x="889"/>
        <item x="366"/>
        <item x="923"/>
        <item x="350"/>
        <item x="449"/>
        <item x="191"/>
        <item x="176"/>
        <item x="707"/>
        <item x="396"/>
        <item x="59"/>
        <item x="702"/>
        <item x="86"/>
        <item x="462"/>
        <item x="139"/>
        <item x="847"/>
        <item x="803"/>
        <item x="737"/>
        <item x="505"/>
        <item x="749"/>
        <item x="523"/>
        <item x="912"/>
        <item x="454"/>
        <item x="355"/>
        <item x="812"/>
        <item x="917"/>
        <item x="251"/>
        <item x="530"/>
        <item x="408"/>
        <item x="67"/>
        <item x="503"/>
        <item x="215"/>
        <item x="386"/>
        <item x="391"/>
        <item x="322"/>
        <item x="211"/>
        <item x="43"/>
        <item x="937"/>
        <item x="363"/>
        <item x="515"/>
        <item x="684"/>
        <item x="613"/>
        <item x="593"/>
        <item x="553"/>
        <item x="417"/>
        <item x="801"/>
        <item x="722"/>
        <item x="657"/>
        <item x="602"/>
        <item x="26"/>
        <item x="268"/>
        <item x="652"/>
        <item x="277"/>
        <item x="567"/>
        <item x="112"/>
        <item x="207"/>
        <item x="820"/>
        <item x="656"/>
        <item x="500"/>
        <item x="13"/>
        <item x="420"/>
        <item x="858"/>
        <item x="802"/>
        <item x="932"/>
        <item x="20"/>
        <item x="514"/>
        <item x="576"/>
        <item x="876"/>
        <item x="458"/>
        <item x="742"/>
        <item x="154"/>
        <item x="367"/>
        <item x="806"/>
        <item x="628"/>
        <item x="328"/>
        <item x="838"/>
        <item x="662"/>
        <item x="532"/>
        <item x="951"/>
        <item x="594"/>
        <item x="17"/>
        <item x="772"/>
        <item x="728"/>
        <item x="414"/>
        <item x="291"/>
        <item x="431"/>
        <item x="563"/>
        <item x="559"/>
        <item x="434"/>
        <item x="52"/>
        <item x="717"/>
        <item x="562"/>
        <item x="784"/>
        <item x="342"/>
        <item x="606"/>
        <item x="484"/>
        <item x="708"/>
        <item x="368"/>
        <item x="872"/>
        <item x="465"/>
        <item x="305"/>
        <item x="320"/>
        <item x="182"/>
        <item x="33"/>
        <item x="869"/>
        <item x="815"/>
        <item x="706"/>
        <item x="789"/>
        <item x="130"/>
        <item x="10"/>
        <item t="default"/>
      </items>
    </pivotField>
    <pivotField showAll="0"/>
    <pivotField showAll="0"/>
    <pivotField showAll="0"/>
    <pivotField showAll="0"/>
    <pivotField showAll="0"/>
    <pivotField dataField="1" showAll="0"/>
    <pivotField showAll="0"/>
    <pivotField showAll="0"/>
    <pivotField showAll="0"/>
    <pivotField showAll="0">
      <items count="4">
        <item x="1"/>
        <item x="0"/>
        <item x="2"/>
        <item t="default"/>
      </items>
    </pivotField>
  </pivotFields>
  <rowFields count="1">
    <field x="1"/>
  </rowFields>
  <rowItems count="11">
    <i>
      <x v="48"/>
    </i>
    <i>
      <x v="225"/>
    </i>
    <i>
      <x v="455"/>
    </i>
    <i>
      <x v="464"/>
    </i>
    <i>
      <x v="550"/>
    </i>
    <i>
      <x v="690"/>
    </i>
    <i>
      <x v="710"/>
    </i>
    <i>
      <x v="718"/>
    </i>
    <i>
      <x v="790"/>
    </i>
    <i>
      <x v="922"/>
    </i>
    <i t="grand">
      <x/>
    </i>
  </rowItems>
  <colItems count="1">
    <i/>
  </colItems>
  <dataFields count="1">
    <dataField name="Sum of Popularity Score" fld="7"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0F0D27-5DFA-4806-9191-F417EF52E2B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I29:J33" firstHeaderRow="1" firstDataRow="1" firstDataCol="1"/>
  <pivotFields count="12">
    <pivotField showAll="0">
      <items count="21">
        <item x="5"/>
        <item x="4"/>
        <item x="7"/>
        <item x="17"/>
        <item x="1"/>
        <item x="0"/>
        <item x="2"/>
        <item x="15"/>
        <item x="9"/>
        <item x="6"/>
        <item x="14"/>
        <item x="8"/>
        <item x="10"/>
        <item x="12"/>
        <item x="13"/>
        <item x="16"/>
        <item x="18"/>
        <item x="19"/>
        <item x="11"/>
        <item x="3"/>
        <item t="default"/>
      </items>
    </pivotField>
    <pivotField dataField="1" showAll="0">
      <items count="969">
        <item x="430"/>
        <item x="255"/>
        <item x="224"/>
        <item x="32"/>
        <item x="160"/>
        <item x="72"/>
        <item x="361"/>
        <item x="729"/>
        <item x="663"/>
        <item x="547"/>
        <item x="834"/>
        <item x="605"/>
        <item x="551"/>
        <item x="887"/>
        <item x="575"/>
        <item x="407"/>
        <item x="875"/>
        <item x="905"/>
        <item x="798"/>
        <item x="964"/>
        <item x="773"/>
        <item x="586"/>
        <item x="516"/>
        <item x="672"/>
        <item x="184"/>
        <item x="54"/>
        <item x="412"/>
        <item x="137"/>
        <item x="904"/>
        <item x="790"/>
        <item x="647"/>
        <item x="14"/>
        <item x="805"/>
        <item x="761"/>
        <item x="303"/>
        <item x="637"/>
        <item x="619"/>
        <item x="579"/>
        <item x="967"/>
        <item x="617"/>
        <item x="201"/>
        <item x="187"/>
        <item x="248"/>
        <item x="178"/>
        <item x="247"/>
        <item x="569"/>
        <item x="476"/>
        <item x="446"/>
        <item x="41"/>
        <item x="42"/>
        <item x="466"/>
        <item x="527"/>
        <item x="8"/>
        <item x="38"/>
        <item x="507"/>
        <item x="245"/>
        <item x="390"/>
        <item x="12"/>
        <item x="690"/>
        <item x="444"/>
        <item x="120"/>
        <item x="371"/>
        <item x="459"/>
        <item x="719"/>
        <item x="175"/>
        <item x="283"/>
        <item x="2"/>
        <item x="46"/>
        <item x="804"/>
        <item x="846"/>
        <item x="947"/>
        <item x="76"/>
        <item x="282"/>
        <item x="242"/>
        <item x="356"/>
        <item x="452"/>
        <item x="183"/>
        <item x="625"/>
        <item x="589"/>
        <item x="670"/>
        <item x="704"/>
        <item x="824"/>
        <item x="770"/>
        <item x="620"/>
        <item x="349"/>
        <item x="398"/>
        <item x="856"/>
        <item x="848"/>
        <item x="490"/>
        <item x="506"/>
        <item x="939"/>
        <item x="284"/>
        <item x="198"/>
        <item x="341"/>
        <item x="835"/>
        <item x="304"/>
        <item x="302"/>
        <item x="944"/>
        <item x="354"/>
        <item x="126"/>
        <item x="337"/>
        <item x="816"/>
        <item x="89"/>
        <item x="401"/>
        <item x="791"/>
        <item x="623"/>
        <item x="258"/>
        <item x="712"/>
        <item x="677"/>
        <item x="214"/>
        <item x="51"/>
        <item x="196"/>
        <item x="34"/>
        <item x="351"/>
        <item x="379"/>
        <item x="480"/>
        <item x="250"/>
        <item x="192"/>
        <item x="380"/>
        <item x="169"/>
        <item x="488"/>
        <item x="225"/>
        <item x="878"/>
        <item x="673"/>
        <item x="205"/>
        <item x="101"/>
        <item x="630"/>
        <item x="705"/>
        <item x="665"/>
        <item x="542"/>
        <item x="216"/>
        <item x="157"/>
        <item x="921"/>
        <item x="732"/>
        <item x="694"/>
        <item x="552"/>
        <item x="560"/>
        <item x="347"/>
        <item x="537"/>
        <item x="413"/>
        <item x="659"/>
        <item x="102"/>
        <item x="200"/>
        <item x="259"/>
        <item x="66"/>
        <item x="723"/>
        <item x="511"/>
        <item x="314"/>
        <item x="599"/>
        <item x="78"/>
        <item x="409"/>
        <item x="646"/>
        <item x="129"/>
        <item x="658"/>
        <item x="427"/>
        <item x="403"/>
        <item x="799"/>
        <item x="871"/>
        <item x="859"/>
        <item x="419"/>
        <item x="918"/>
        <item x="954"/>
        <item x="115"/>
        <item x="750"/>
        <item x="781"/>
        <item x="138"/>
        <item x="199"/>
        <item x="0"/>
        <item x="63"/>
        <item x="908"/>
        <item x="440"/>
        <item x="692"/>
        <item x="928"/>
        <item x="949"/>
        <item x="141"/>
        <item x="608"/>
        <item x="654"/>
        <item x="669"/>
        <item x="3"/>
        <item x="813"/>
        <item x="106"/>
        <item x="716"/>
        <item x="614"/>
        <item x="667"/>
        <item x="691"/>
        <item x="710"/>
        <item x="611"/>
        <item x="651"/>
        <item x="588"/>
        <item x="549"/>
        <item x="632"/>
        <item x="150"/>
        <item x="510"/>
        <item x="399"/>
        <item x="326"/>
        <item x="111"/>
        <item x="370"/>
        <item x="946"/>
        <item x="310"/>
        <item x="794"/>
        <item x="234"/>
        <item x="502"/>
        <item x="36"/>
        <item x="395"/>
        <item x="721"/>
        <item x="83"/>
        <item x="688"/>
        <item x="787"/>
        <item x="443"/>
        <item x="936"/>
        <item x="929"/>
        <item x="254"/>
        <item x="97"/>
        <item x="774"/>
        <item x="956"/>
        <item x="116"/>
        <item x="746"/>
        <item x="785"/>
        <item x="185"/>
        <item x="901"/>
        <item x="909"/>
        <item x="961"/>
        <item x="285"/>
        <item x="406"/>
        <item x="429"/>
        <item x="113"/>
        <item x="423"/>
        <item x="15"/>
        <item x="119"/>
        <item x="64"/>
        <item x="270"/>
        <item x="340"/>
        <item x="92"/>
        <item x="404"/>
        <item x="763"/>
        <item x="755"/>
        <item x="71"/>
        <item x="5"/>
        <item x="703"/>
        <item x="520"/>
        <item x="147"/>
        <item x="596"/>
        <item x="435"/>
        <item x="661"/>
        <item x="152"/>
        <item x="293"/>
        <item x="845"/>
        <item x="636"/>
        <item x="61"/>
        <item x="123"/>
        <item x="27"/>
        <item x="343"/>
        <item x="531"/>
        <item x="288"/>
        <item x="863"/>
        <item x="757"/>
        <item x="931"/>
        <item x="330"/>
        <item x="135"/>
        <item x="942"/>
        <item x="317"/>
        <item x="402"/>
        <item x="287"/>
        <item x="609"/>
        <item x="485"/>
        <item x="428"/>
        <item x="280"/>
        <item x="587"/>
        <item x="953"/>
        <item x="100"/>
        <item x="865"/>
        <item x="23"/>
        <item x="85"/>
        <item x="453"/>
        <item x="148"/>
        <item x="475"/>
        <item x="561"/>
        <item x="882"/>
        <item x="278"/>
        <item x="668"/>
        <item x="775"/>
        <item x="645"/>
        <item x="455"/>
        <item x="653"/>
        <item x="840"/>
        <item x="144"/>
        <item x="168"/>
        <item x="678"/>
        <item x="518"/>
        <item x="194"/>
        <item x="220"/>
        <item x="952"/>
        <item x="232"/>
        <item x="573"/>
        <item x="884"/>
        <item x="595"/>
        <item x="640"/>
        <item x="792"/>
        <item x="397"/>
        <item x="963"/>
        <item x="369"/>
        <item x="238"/>
        <item x="60"/>
        <item x="826"/>
        <item x="570"/>
        <item x="713"/>
        <item x="902"/>
        <item x="415"/>
        <item x="521"/>
        <item x="633"/>
        <item x="959"/>
        <item x="359"/>
        <item x="730"/>
        <item x="179"/>
        <item x="911"/>
        <item x="922"/>
        <item x="460"/>
        <item x="202"/>
        <item x="105"/>
        <item x="478"/>
        <item x="831"/>
        <item x="110"/>
        <item x="841"/>
        <item x="844"/>
        <item x="584"/>
        <item x="40"/>
        <item x="822"/>
        <item x="683"/>
        <item x="233"/>
        <item x="53"/>
        <item x="174"/>
        <item x="748"/>
        <item x="686"/>
        <item x="818"/>
        <item x="675"/>
        <item x="39"/>
        <item x="411"/>
        <item x="261"/>
        <item x="557"/>
        <item x="319"/>
        <item x="65"/>
        <item x="464"/>
        <item x="236"/>
        <item x="629"/>
        <item x="221"/>
        <item x="62"/>
        <item x="309"/>
        <item x="264"/>
        <item x="118"/>
        <item x="263"/>
        <item x="289"/>
        <item x="852"/>
        <item x="332"/>
        <item x="299"/>
        <item x="362"/>
        <item x="393"/>
        <item x="926"/>
        <item x="336"/>
        <item x="864"/>
        <item x="965"/>
        <item x="7"/>
        <item x="45"/>
        <item x="526"/>
        <item x="581"/>
        <item x="548"/>
        <item x="509"/>
        <item x="306"/>
        <item x="180"/>
        <item x="145"/>
        <item x="618"/>
        <item x="307"/>
        <item x="867"/>
        <item x="433"/>
        <item x="389"/>
        <item x="616"/>
        <item x="439"/>
        <item x="564"/>
        <item x="536"/>
        <item x="494"/>
        <item x="267"/>
        <item x="497"/>
        <item x="125"/>
        <item x="295"/>
        <item x="941"/>
        <item x="727"/>
        <item x="543"/>
        <item x="533"/>
        <item x="590"/>
        <item x="474"/>
        <item x="128"/>
        <item x="854"/>
        <item x="387"/>
        <item x="519"/>
        <item x="779"/>
        <item x="166"/>
        <item x="762"/>
        <item x="158"/>
        <item x="266"/>
        <item x="352"/>
        <item x="639"/>
        <item x="697"/>
        <item x="699"/>
        <item x="695"/>
        <item x="69"/>
        <item x="240"/>
        <item x="195"/>
        <item x="612"/>
        <item x="226"/>
        <item x="149"/>
        <item x="44"/>
        <item x="610"/>
        <item x="384"/>
        <item x="186"/>
        <item x="188"/>
        <item x="674"/>
        <item x="294"/>
        <item x="173"/>
        <item x="808"/>
        <item x="237"/>
        <item x="381"/>
        <item x="378"/>
        <item x="170"/>
        <item x="467"/>
        <item x="388"/>
        <item x="74"/>
        <item x="91"/>
        <item x="327"/>
        <item x="817"/>
        <item x="883"/>
        <item x="771"/>
        <item x="405"/>
        <item x="603"/>
        <item x="874"/>
        <item x="685"/>
        <item x="924"/>
        <item x="948"/>
        <item x="103"/>
        <item x="582"/>
        <item x="495"/>
        <item x="260"/>
        <item x="316"/>
        <item x="73"/>
        <item x="950"/>
        <item x="75"/>
        <item x="461"/>
        <item x="345"/>
        <item x="286"/>
        <item x="172"/>
        <item x="313"/>
        <item x="344"/>
        <item x="745"/>
        <item x="741"/>
        <item x="718"/>
        <item x="833"/>
        <item x="448"/>
        <item x="98"/>
        <item x="472"/>
        <item x="545"/>
        <item x="218"/>
        <item x="842"/>
        <item x="239"/>
        <item x="203"/>
        <item x="660"/>
        <item x="583"/>
        <item x="780"/>
        <item x="896"/>
        <item x="829"/>
        <item x="886"/>
        <item x="879"/>
        <item x="860"/>
        <item x="900"/>
        <item x="744"/>
        <item x="364"/>
        <item x="425"/>
        <item x="915"/>
        <item x="811"/>
        <item x="133"/>
        <item x="535"/>
        <item x="751"/>
        <item x="898"/>
        <item x="914"/>
        <item x="540"/>
        <item x="483"/>
        <item x="555"/>
        <item x="635"/>
        <item x="649"/>
        <item x="778"/>
        <item x="698"/>
        <item x="121"/>
        <item x="227"/>
        <item x="566"/>
        <item x="597"/>
        <item x="272"/>
        <item x="281"/>
        <item x="181"/>
        <item x="823"/>
        <item x="493"/>
        <item x="934"/>
        <item x="155"/>
        <item x="891"/>
        <item x="241"/>
        <item x="768"/>
        <item x="756"/>
        <item x="592"/>
        <item x="870"/>
        <item x="271"/>
        <item x="81"/>
        <item x="222"/>
        <item x="524"/>
        <item x="339"/>
        <item x="9"/>
        <item x="681"/>
        <item x="782"/>
        <item x="849"/>
        <item x="432"/>
        <item x="223"/>
        <item x="292"/>
        <item x="843"/>
        <item x="574"/>
        <item x="642"/>
        <item x="491"/>
        <item x="445"/>
        <item x="933"/>
        <item x="568"/>
        <item x="167"/>
        <item x="18"/>
        <item x="325"/>
        <item x="143"/>
        <item x="35"/>
        <item x="457"/>
        <item x="136"/>
        <item x="297"/>
        <item x="11"/>
        <item x="438"/>
        <item x="868"/>
        <item x="77"/>
        <item x="410"/>
        <item x="585"/>
        <item x="578"/>
        <item x="709"/>
        <item x="56"/>
        <item x="777"/>
        <item x="650"/>
        <item x="793"/>
        <item x="925"/>
        <item x="512"/>
        <item x="162"/>
        <item x="481"/>
        <item x="249"/>
        <item x="601"/>
        <item x="1"/>
        <item x="955"/>
        <item x="897"/>
        <item x="151"/>
        <item x="127"/>
        <item x="48"/>
        <item x="739"/>
        <item x="163"/>
        <item x="300"/>
        <item x="373"/>
        <item x="958"/>
        <item x="365"/>
        <item x="256"/>
        <item x="321"/>
        <item x="498"/>
        <item x="456"/>
        <item x="920"/>
        <item x="262"/>
        <item x="919"/>
        <item x="324"/>
        <item x="736"/>
        <item x="450"/>
        <item x="797"/>
        <item x="25"/>
        <item x="246"/>
        <item x="492"/>
        <item x="383"/>
        <item x="4"/>
        <item x="274"/>
        <item x="604"/>
        <item x="517"/>
        <item x="765"/>
        <item x="88"/>
        <item x="701"/>
        <item x="338"/>
        <item x="935"/>
        <item x="82"/>
        <item x="903"/>
        <item x="825"/>
        <item x="827"/>
        <item x="209"/>
        <item x="360"/>
        <item x="499"/>
        <item x="895"/>
        <item x="890"/>
        <item x="213"/>
        <item x="726"/>
        <item x="24"/>
        <item x="541"/>
        <item x="477"/>
        <item x="800"/>
        <item x="117"/>
        <item x="37"/>
        <item x="740"/>
        <item x="814"/>
        <item x="80"/>
        <item x="862"/>
        <item x="219"/>
        <item x="711"/>
        <item x="634"/>
        <item x="21"/>
        <item x="764"/>
        <item x="938"/>
        <item x="437"/>
        <item x="204"/>
        <item x="253"/>
        <item x="733"/>
        <item x="140"/>
        <item x="468"/>
        <item x="463"/>
        <item x="296"/>
        <item x="210"/>
        <item x="470"/>
        <item x="666"/>
        <item x="99"/>
        <item x="724"/>
        <item x="471"/>
        <item x="960"/>
        <item x="655"/>
        <item x="416"/>
        <item x="301"/>
        <item x="108"/>
        <item x="687"/>
        <item x="124"/>
        <item x="376"/>
        <item x="598"/>
        <item x="49"/>
        <item x="836"/>
        <item x="577"/>
        <item x="31"/>
        <item x="767"/>
        <item x="888"/>
        <item x="753"/>
        <item x="880"/>
        <item x="165"/>
        <item x="783"/>
        <item x="441"/>
        <item x="766"/>
        <item x="664"/>
        <item x="244"/>
        <item x="786"/>
        <item x="109"/>
        <item x="375"/>
        <item x="855"/>
        <item x="607"/>
        <item x="714"/>
        <item x="615"/>
        <item x="899"/>
        <item x="269"/>
        <item x="206"/>
        <item x="725"/>
        <item x="626"/>
        <item x="308"/>
        <item x="55"/>
        <item x="6"/>
        <item x="290"/>
        <item x="558"/>
        <item x="832"/>
        <item x="357"/>
        <item x="422"/>
        <item x="146"/>
        <item x="906"/>
        <item x="857"/>
        <item x="257"/>
        <item x="298"/>
        <item x="279"/>
        <item x="193"/>
        <item x="164"/>
        <item x="534"/>
        <item x="643"/>
        <item x="348"/>
        <item x="700"/>
        <item x="482"/>
        <item x="641"/>
        <item x="966"/>
        <item x="486"/>
        <item x="496"/>
        <item x="940"/>
        <item x="885"/>
        <item x="418"/>
        <item x="95"/>
        <item x="648"/>
        <item x="529"/>
        <item x="90"/>
        <item x="217"/>
        <item x="436"/>
        <item x="447"/>
        <item x="819"/>
        <item x="394"/>
        <item x="252"/>
        <item x="571"/>
        <item x="513"/>
        <item x="489"/>
        <item x="572"/>
        <item x="565"/>
        <item x="795"/>
        <item x="161"/>
        <item x="114"/>
        <item x="743"/>
        <item x="122"/>
        <item x="273"/>
        <item x="469"/>
        <item x="377"/>
        <item x="79"/>
        <item x="853"/>
        <item x="104"/>
        <item x="747"/>
        <item x="93"/>
        <item x="907"/>
        <item x="473"/>
        <item x="943"/>
        <item x="235"/>
        <item x="107"/>
        <item x="243"/>
        <item x="693"/>
        <item x="760"/>
        <item x="87"/>
        <item x="426"/>
        <item x="335"/>
        <item x="735"/>
        <item x="228"/>
        <item x="715"/>
        <item x="265"/>
        <item x="580"/>
        <item x="479"/>
        <item x="522"/>
        <item x="809"/>
        <item x="50"/>
        <item x="539"/>
        <item x="696"/>
        <item x="759"/>
        <item x="769"/>
        <item x="738"/>
        <item x="622"/>
        <item x="962"/>
        <item x="501"/>
        <item x="927"/>
        <item x="528"/>
        <item x="821"/>
        <item x="734"/>
        <item x="752"/>
        <item x="910"/>
        <item x="893"/>
        <item x="70"/>
        <item x="830"/>
        <item x="421"/>
        <item x="132"/>
        <item x="84"/>
        <item x="442"/>
        <item x="28"/>
        <item x="828"/>
        <item x="550"/>
        <item x="776"/>
        <item x="334"/>
        <item x="22"/>
        <item x="142"/>
        <item x="131"/>
        <item x="796"/>
        <item x="171"/>
        <item x="508"/>
        <item x="624"/>
        <item x="554"/>
        <item x="424"/>
        <item x="837"/>
        <item x="372"/>
        <item x="894"/>
        <item x="881"/>
        <item x="913"/>
        <item x="644"/>
        <item x="312"/>
        <item x="159"/>
        <item x="19"/>
        <item x="807"/>
        <item x="679"/>
        <item x="29"/>
        <item x="600"/>
        <item x="861"/>
        <item x="680"/>
        <item x="153"/>
        <item x="333"/>
        <item x="58"/>
        <item x="30"/>
        <item x="400"/>
        <item x="177"/>
        <item x="916"/>
        <item x="189"/>
        <item x="47"/>
        <item x="230"/>
        <item x="96"/>
        <item x="788"/>
        <item x="311"/>
        <item x="229"/>
        <item x="866"/>
        <item x="758"/>
        <item x="544"/>
        <item x="57"/>
        <item x="631"/>
        <item x="720"/>
        <item x="689"/>
        <item x="556"/>
        <item x="754"/>
        <item x="731"/>
        <item x="374"/>
        <item x="276"/>
        <item x="504"/>
        <item x="346"/>
        <item x="323"/>
        <item x="358"/>
        <item x="94"/>
        <item x="451"/>
        <item x="197"/>
        <item x="546"/>
        <item x="682"/>
        <item x="385"/>
        <item x="945"/>
        <item x="156"/>
        <item x="331"/>
        <item x="353"/>
        <item x="134"/>
        <item x="638"/>
        <item x="892"/>
        <item x="538"/>
        <item x="957"/>
        <item x="810"/>
        <item x="671"/>
        <item x="851"/>
        <item x="850"/>
        <item x="621"/>
        <item x="275"/>
        <item x="208"/>
        <item x="212"/>
        <item x="392"/>
        <item x="68"/>
        <item x="525"/>
        <item x="487"/>
        <item x="930"/>
        <item x="382"/>
        <item x="231"/>
        <item x="190"/>
        <item x="676"/>
        <item x="591"/>
        <item x="839"/>
        <item x="329"/>
        <item x="318"/>
        <item x="315"/>
        <item x="16"/>
        <item x="877"/>
        <item x="873"/>
        <item x="627"/>
        <item x="889"/>
        <item x="366"/>
        <item x="923"/>
        <item x="350"/>
        <item x="449"/>
        <item x="191"/>
        <item x="176"/>
        <item x="707"/>
        <item x="396"/>
        <item x="59"/>
        <item x="702"/>
        <item x="86"/>
        <item x="462"/>
        <item x="139"/>
        <item x="847"/>
        <item x="803"/>
        <item x="737"/>
        <item x="505"/>
        <item x="749"/>
        <item x="523"/>
        <item x="912"/>
        <item x="454"/>
        <item x="355"/>
        <item x="812"/>
        <item x="917"/>
        <item x="251"/>
        <item x="530"/>
        <item x="408"/>
        <item x="67"/>
        <item x="503"/>
        <item x="215"/>
        <item x="386"/>
        <item x="391"/>
        <item x="322"/>
        <item x="211"/>
        <item x="43"/>
        <item x="937"/>
        <item x="363"/>
        <item x="515"/>
        <item x="684"/>
        <item x="613"/>
        <item x="593"/>
        <item x="553"/>
        <item x="417"/>
        <item x="801"/>
        <item x="722"/>
        <item x="657"/>
        <item x="602"/>
        <item x="26"/>
        <item x="268"/>
        <item x="652"/>
        <item x="277"/>
        <item x="567"/>
        <item x="112"/>
        <item x="207"/>
        <item x="820"/>
        <item x="656"/>
        <item x="500"/>
        <item x="13"/>
        <item x="420"/>
        <item x="858"/>
        <item x="802"/>
        <item x="932"/>
        <item x="20"/>
        <item x="514"/>
        <item x="576"/>
        <item x="876"/>
        <item x="458"/>
        <item x="742"/>
        <item x="154"/>
        <item x="367"/>
        <item x="806"/>
        <item x="628"/>
        <item x="328"/>
        <item x="838"/>
        <item x="662"/>
        <item x="532"/>
        <item x="951"/>
        <item x="594"/>
        <item x="17"/>
        <item x="772"/>
        <item x="728"/>
        <item x="414"/>
        <item x="291"/>
        <item x="431"/>
        <item x="563"/>
        <item x="559"/>
        <item x="434"/>
        <item x="52"/>
        <item x="717"/>
        <item x="562"/>
        <item x="784"/>
        <item x="342"/>
        <item x="606"/>
        <item x="484"/>
        <item x="708"/>
        <item x="368"/>
        <item x="872"/>
        <item x="465"/>
        <item x="305"/>
        <item x="320"/>
        <item x="182"/>
        <item x="33"/>
        <item x="869"/>
        <item x="815"/>
        <item x="706"/>
        <item x="789"/>
        <item x="130"/>
        <item x="10"/>
        <item t="default"/>
      </items>
    </pivotField>
    <pivotField showAll="0"/>
    <pivotField showAll="0"/>
    <pivotField showAll="0"/>
    <pivotField showAll="0"/>
    <pivotField showAll="0"/>
    <pivotField showAll="0"/>
    <pivotField showAll="0"/>
    <pivotField showAll="0"/>
    <pivotField showAll="0"/>
    <pivotField axis="axisRow" showAll="0">
      <items count="4">
        <item x="1"/>
        <item x="0"/>
        <item x="2"/>
        <item t="default"/>
      </items>
    </pivotField>
  </pivotFields>
  <rowFields count="1">
    <field x="11"/>
  </rowFields>
  <rowItems count="4">
    <i>
      <x/>
    </i>
    <i>
      <x v="1"/>
    </i>
    <i>
      <x v="2"/>
    </i>
    <i t="grand">
      <x/>
    </i>
  </rowItems>
  <colItems count="1">
    <i/>
  </colItems>
  <dataFields count="1">
    <dataField name="Cafe Category Distribution" fld="1" subtotal="count" baseField="11"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1" count="1" selected="0">
            <x v="0"/>
          </reference>
        </references>
      </pivotArea>
    </chartFormat>
    <chartFormat chart="5" format="10">
      <pivotArea type="data" outline="0" fieldPosition="0">
        <references count="2">
          <reference field="4294967294" count="1" selected="0">
            <x v="0"/>
          </reference>
          <reference field="11" count="1" selected="0">
            <x v="1"/>
          </reference>
        </references>
      </pivotArea>
    </chartFormat>
    <chartFormat chart="5" format="1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985906E-255B-4F53-B55A-EE6CD11C92C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B50" firstHeaderRow="1" firstDataRow="1" firstDataCol="1"/>
  <pivotFields count="12">
    <pivotField axis="axisRow" showAll="0" sortType="descending">
      <items count="21">
        <item x="5"/>
        <item x="4"/>
        <item x="7"/>
        <item x="17"/>
        <item x="1"/>
        <item x="0"/>
        <item x="2"/>
        <item x="15"/>
        <item x="9"/>
        <item x="6"/>
        <item x="14"/>
        <item x="8"/>
        <item x="10"/>
        <item x="12"/>
        <item x="13"/>
        <item x="16"/>
        <item x="18"/>
        <item x="19"/>
        <item x="1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dataField="1" showAll="0"/>
    <pivotField showAll="0">
      <items count="4">
        <item x="1"/>
        <item x="0"/>
        <item x="2"/>
        <item t="default"/>
      </items>
    </pivotField>
  </pivotFields>
  <rowFields count="1">
    <field x="0"/>
  </rowFields>
  <rowItems count="21">
    <i>
      <x v="16"/>
    </i>
    <i>
      <x v="4"/>
    </i>
    <i>
      <x v="5"/>
    </i>
    <i>
      <x v="15"/>
    </i>
    <i>
      <x v="7"/>
    </i>
    <i>
      <x v="6"/>
    </i>
    <i>
      <x v="1"/>
    </i>
    <i>
      <x v="19"/>
    </i>
    <i>
      <x/>
    </i>
    <i>
      <x v="18"/>
    </i>
    <i>
      <x v="2"/>
    </i>
    <i>
      <x v="8"/>
    </i>
    <i>
      <x v="12"/>
    </i>
    <i>
      <x v="3"/>
    </i>
    <i>
      <x v="17"/>
    </i>
    <i>
      <x v="11"/>
    </i>
    <i>
      <x v="9"/>
    </i>
    <i>
      <x v="10"/>
    </i>
    <i>
      <x v="13"/>
    </i>
    <i>
      <x v="14"/>
    </i>
    <i t="grand">
      <x/>
    </i>
  </rowItems>
  <colItems count="1">
    <i/>
  </colItems>
  <dataFields count="1">
    <dataField name="Revenue by Area" fld="10" baseField="0" baseItem="0" numFmtId="164"/>
  </dataFields>
  <formats count="2">
    <format dxfId="8">
      <pivotArea dataOnly="0" outline="0" axis="axisValues" fieldPosition="0"/>
    </format>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617A64-006C-48F1-AD48-678E4AEE811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3:J24" firstHeaderRow="1" firstDataRow="1" firstDataCol="1"/>
  <pivotFields count="12">
    <pivotField axis="axisRow" showAll="0" sortType="descending">
      <items count="21">
        <item x="5"/>
        <item x="4"/>
        <item x="7"/>
        <item x="17"/>
        <item x="1"/>
        <item x="0"/>
        <item x="2"/>
        <item x="15"/>
        <item x="9"/>
        <item x="6"/>
        <item x="14"/>
        <item x="8"/>
        <item x="10"/>
        <item x="12"/>
        <item x="13"/>
        <item x="16"/>
        <item x="18"/>
        <item x="19"/>
        <item x="11"/>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showAll="0"/>
    <pivotField showAll="0">
      <items count="4">
        <item x="1"/>
        <item x="0"/>
        <item x="2"/>
        <item t="default"/>
      </items>
    </pivotField>
  </pivotFields>
  <rowFields count="1">
    <field x="0"/>
  </rowFields>
  <rowItems count="21">
    <i>
      <x v="13"/>
    </i>
    <i>
      <x v="10"/>
    </i>
    <i>
      <x v="3"/>
    </i>
    <i>
      <x v="14"/>
    </i>
    <i>
      <x v="17"/>
    </i>
    <i>
      <x v="12"/>
    </i>
    <i>
      <x v="19"/>
    </i>
    <i>
      <x v="2"/>
    </i>
    <i>
      <x v="9"/>
    </i>
    <i>
      <x v="6"/>
    </i>
    <i>
      <x v="11"/>
    </i>
    <i>
      <x v="1"/>
    </i>
    <i>
      <x v="8"/>
    </i>
    <i>
      <x v="18"/>
    </i>
    <i>
      <x/>
    </i>
    <i>
      <x v="4"/>
    </i>
    <i>
      <x v="15"/>
    </i>
    <i>
      <x v="5"/>
    </i>
    <i>
      <x v="16"/>
    </i>
    <i>
      <x v="7"/>
    </i>
    <i t="grand">
      <x/>
    </i>
  </rowItems>
  <colItems count="1">
    <i/>
  </colItems>
  <dataFields count="1">
    <dataField name="Average Customer Rating by Area" fld="2" subtotal="average" baseField="0" baseItem="13" numFmtId="2"/>
  </dataFields>
  <conditionalFormats count="1">
    <conditionalFormat priority="2">
      <pivotAreas count="1">
        <pivotArea type="data" outline="0" collapsedLevelsAreSubtotals="1" fieldPosition="0">
          <references count="1">
            <reference field="4294967294" count="1" selected="0">
              <x v="0"/>
            </reference>
          </references>
        </pivotArea>
      </pivotAreas>
    </conditionalFormat>
  </conditional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87A0EA41-D889-4B46-9157-D38D017F9D16}" sourceName="Area">
  <pivotTables>
    <pivotTable tabId="3" name="PivotTable2"/>
    <pivotTable tabId="3" name="PivotTable3"/>
    <pivotTable tabId="3" name="PivotTable4"/>
    <pivotTable tabId="3" name="PivotTable5"/>
    <pivotTable tabId="3" name="PivotTable6"/>
  </pivotTables>
  <data>
    <tabular pivotCacheId="1412869888">
      <items count="20">
        <i x="5" s="1"/>
        <i x="4" s="1"/>
        <i x="7" s="1"/>
        <i x="17" s="1"/>
        <i x="1" s="1"/>
        <i x="0" s="1"/>
        <i x="2" s="1"/>
        <i x="15" s="1"/>
        <i x="9" s="1"/>
        <i x="6" s="1"/>
        <i x="14" s="1"/>
        <i x="8" s="1"/>
        <i x="10" s="1"/>
        <i x="12" s="1"/>
        <i x="13" s="1"/>
        <i x="16" s="1"/>
        <i x="18" s="1"/>
        <i x="19" s="1"/>
        <i x="1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fe_Category" xr10:uid="{3F2742B7-C454-43BF-8420-50E8847117F3}" sourceName="Cafe Category">
  <pivotTables>
    <pivotTable tabId="3" name="PivotTable2"/>
    <pivotTable tabId="3" name="PivotTable1"/>
    <pivotTable tabId="3" name="PivotTable3"/>
    <pivotTable tabId="3" name="PivotTable5"/>
    <pivotTable tabId="3" name="PivotTable6"/>
  </pivotTables>
  <data>
    <tabular pivotCacheId="1412869888">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A446371D-89D4-4794-9810-8B3CBCCAEAAD}" cache="Slicer_Area" caption="Area" columnCount="6" style="SlicerStyleLight5" rowHeight="234950"/>
  <slicer name="Cafe Category" xr10:uid="{E20C4EA0-06EB-48BE-A9EF-086765D0B1B2}" cache="Slicer_Cafe_Category" caption="Cafe Category" columnCount="3"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FE0A9E3-8C37-4BA0-A28F-D00C20D8A72D}" name="CafeData4" displayName="CafeData4" ref="A1:G1201" totalsRowShown="0">
  <autoFilter ref="A1:G1201" xr:uid="{B4F91DFC-43EF-44D6-9615-1400F4F218E2}"/>
  <tableColumns count="7">
    <tableColumn id="1" xr3:uid="{C58FF859-5C98-46B3-977C-A13843CBFB63}" name="Area"/>
    <tableColumn id="2" xr3:uid="{CEF7A89B-6B4B-40EA-BC18-505B16650303}" name="Name"/>
    <tableColumn id="3" xr3:uid="{F861064E-55AB-4F09-A649-4663AA3B34C4}" name="Rating" dataDxfId="20"/>
    <tableColumn id="4" xr3:uid="{B968B220-C714-42B6-A1D5-A3C89C062A40}" name="Total Ratings" dataDxfId="19"/>
    <tableColumn id="5" xr3:uid="{63090C50-25E0-4710-9D64-A40BCEC725CD}" name="Address"/>
    <tableColumn id="6" xr3:uid="{02A5182B-A270-4D4F-ACCB-E0F612AD02AB}" name="Latitude" dataDxfId="18"/>
    <tableColumn id="7" xr3:uid="{483B34F9-3C70-453E-BCF1-28C294900321}" name="Longitude"/>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F91DFC-43EF-44D6-9615-1400F4F218E2}" name="CafeData" displayName="CafeData" ref="A1:L1201" totalsRowShown="0">
  <autoFilter ref="A1:L1201" xr:uid="{B4F91DFC-43EF-44D6-9615-1400F4F218E2}"/>
  <tableColumns count="12">
    <tableColumn id="1" xr3:uid="{45C7DC86-1767-4460-9CD2-164E6CB7B441}" name="Area"/>
    <tableColumn id="2" xr3:uid="{25A898B4-2EC7-432E-9ED2-669712D622D7}" name="Name"/>
    <tableColumn id="3" xr3:uid="{0003858F-0C78-4EE6-BFFB-A73CE8111F60}" name="Rating" dataDxfId="17"/>
    <tableColumn id="4" xr3:uid="{BA7011F3-A61A-4CD7-A67A-09535AA00F6B}" name="Total Ratings" dataDxfId="16"/>
    <tableColumn id="5" xr3:uid="{4C49B83E-0892-4780-8A1F-6829FD5F33BD}" name="Address"/>
    <tableColumn id="6" xr3:uid="{1E38254E-D803-41CE-B572-B608D3648A94}" name="Latitude" dataDxfId="15"/>
    <tableColumn id="7" xr3:uid="{EB927186-0244-41C2-8207-75541A62DE54}" name="Longitude"/>
    <tableColumn id="8" xr3:uid="{4E27C3F4-D2AF-4E4E-887D-40E927E7D5B8}" name="Popularity Score" dataDxfId="14">
      <calculatedColumnFormula>C2*D2</calculatedColumnFormula>
    </tableColumn>
    <tableColumn id="9" xr3:uid="{8FB02D20-6084-4B5A-92EF-48536C0C4B7C}" name="Estimated Monthly Visitors" dataDxfId="13">
      <calculatedColumnFormula>D2*25</calculatedColumnFormula>
    </tableColumn>
    <tableColumn id="10" xr3:uid="{FC556716-DBFC-4EE2-98B3-F65BCA6AED85}" name="Average Spend" dataDxfId="12">
      <calculatedColumnFormula>IF(C2&gt;=4.7,550,IF(C2&gt;=4.4,450,IF(C2&gt;=O4,350,250)))</calculatedColumnFormula>
    </tableColumn>
    <tableColumn id="11" xr3:uid="{7AE84F56-CC11-4D4A-9770-AD2E25075385}" name="Estimated Revenue" dataDxfId="11">
      <calculatedColumnFormula>I2*J2</calculatedColumnFormula>
    </tableColumn>
    <tableColumn id="12" xr3:uid="{15F4808A-5311-4DCB-AB8B-67413E1AFA0C}" name="Cafe Category" dataDxfId="10">
      <calculatedColumnFormula>IF(C2&gt;=4.5,"Premium",IF(C2&gt;=4,"Popular","Average"))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918D6-ADCD-4FA9-A4F8-392DAE7D3462}">
  <dimension ref="A1:H1201"/>
  <sheetViews>
    <sheetView tabSelected="1" zoomScaleNormal="100" workbookViewId="0">
      <selection activeCell="G1" activeCellId="1" sqref="A1 G1"/>
    </sheetView>
  </sheetViews>
  <sheetFormatPr defaultRowHeight="14.4"/>
  <cols>
    <col min="2" max="2" width="25.44140625" customWidth="1"/>
    <col min="4" max="4" width="13.6640625" customWidth="1"/>
    <col min="5" max="5" width="11.44140625" customWidth="1"/>
    <col min="6" max="6" width="10.109375" customWidth="1"/>
    <col min="7" max="7" width="12.44140625" customWidth="1"/>
    <col min="8" max="8" width="15.5546875" style="3" customWidth="1"/>
  </cols>
  <sheetData>
    <row r="1" spans="1:8">
      <c r="A1" t="s">
        <v>0</v>
      </c>
      <c r="B1" t="s">
        <v>1</v>
      </c>
      <c r="C1" t="s">
        <v>2</v>
      </c>
      <c r="D1" t="s">
        <v>3</v>
      </c>
      <c r="E1" t="s">
        <v>4</v>
      </c>
      <c r="F1" t="s">
        <v>5</v>
      </c>
      <c r="G1" t="s">
        <v>6</v>
      </c>
      <c r="H1"/>
    </row>
    <row r="2" spans="1:8">
      <c r="A2" t="s">
        <v>7</v>
      </c>
      <c r="B2" t="s">
        <v>8</v>
      </c>
      <c r="C2" s="4">
        <v>4.2</v>
      </c>
      <c r="D2" s="4">
        <v>1203</v>
      </c>
      <c r="E2" t="s">
        <v>9</v>
      </c>
      <c r="F2" s="4">
        <v>18.918783000000001</v>
      </c>
      <c r="G2">
        <v>72.830501999999996</v>
      </c>
      <c r="H2"/>
    </row>
    <row r="3" spans="1:8">
      <c r="A3" t="s">
        <v>7</v>
      </c>
      <c r="B3" t="s">
        <v>10</v>
      </c>
      <c r="C3" s="4">
        <v>4.2</v>
      </c>
      <c r="D3" s="4">
        <v>29972</v>
      </c>
      <c r="E3" t="s">
        <v>11</v>
      </c>
      <c r="F3" s="4">
        <v>18.9226402</v>
      </c>
      <c r="G3">
        <v>72.831640100000001</v>
      </c>
      <c r="H3"/>
    </row>
    <row r="4" spans="1:8">
      <c r="A4" t="s">
        <v>7</v>
      </c>
      <c r="B4" t="s">
        <v>12</v>
      </c>
      <c r="C4" s="4">
        <v>4.2</v>
      </c>
      <c r="D4" s="4">
        <v>3443</v>
      </c>
      <c r="E4" t="s">
        <v>13</v>
      </c>
      <c r="F4" s="4">
        <v>18.918851400000001</v>
      </c>
      <c r="G4">
        <v>72.831991500000001</v>
      </c>
      <c r="H4"/>
    </row>
    <row r="5" spans="1:8">
      <c r="A5" t="s">
        <v>7</v>
      </c>
      <c r="B5" t="s">
        <v>14</v>
      </c>
      <c r="C5" s="4">
        <v>4.3</v>
      </c>
      <c r="D5" s="4">
        <v>2868</v>
      </c>
      <c r="E5" t="s">
        <v>15</v>
      </c>
      <c r="F5" s="4">
        <v>18.919908100000001</v>
      </c>
      <c r="G5">
        <v>72.830269099999995</v>
      </c>
      <c r="H5"/>
    </row>
    <row r="6" spans="1:8">
      <c r="A6" t="s">
        <v>7</v>
      </c>
      <c r="B6" t="s">
        <v>16</v>
      </c>
      <c r="C6" s="4">
        <v>4.4000000000000004</v>
      </c>
      <c r="D6" s="4">
        <v>1283</v>
      </c>
      <c r="E6" t="s">
        <v>17</v>
      </c>
      <c r="F6" s="4">
        <v>18.922108600000001</v>
      </c>
      <c r="G6">
        <v>72.832415599999905</v>
      </c>
      <c r="H6"/>
    </row>
    <row r="7" spans="1:8">
      <c r="A7" t="s">
        <v>7</v>
      </c>
      <c r="B7" t="s">
        <v>18</v>
      </c>
      <c r="C7" s="4">
        <v>4.4000000000000004</v>
      </c>
      <c r="D7" s="4">
        <v>4578</v>
      </c>
      <c r="E7" t="s">
        <v>19</v>
      </c>
      <c r="F7" s="4">
        <v>18.924050300000001</v>
      </c>
      <c r="G7">
        <v>72.832154700000004</v>
      </c>
      <c r="H7"/>
    </row>
    <row r="8" spans="1:8">
      <c r="A8" t="s">
        <v>7</v>
      </c>
      <c r="B8" t="s">
        <v>20</v>
      </c>
      <c r="C8" s="4">
        <v>4.3</v>
      </c>
      <c r="D8" s="4">
        <v>6192</v>
      </c>
      <c r="E8" t="s">
        <v>21</v>
      </c>
      <c r="F8" s="4">
        <v>18.922885999999998</v>
      </c>
      <c r="G8">
        <v>72.831385599999905</v>
      </c>
      <c r="H8"/>
    </row>
    <row r="9" spans="1:8">
      <c r="A9" t="s">
        <v>7</v>
      </c>
      <c r="B9" t="s">
        <v>22</v>
      </c>
      <c r="C9" s="4">
        <v>4.2</v>
      </c>
      <c r="D9" s="4">
        <v>9490</v>
      </c>
      <c r="E9" t="s">
        <v>23</v>
      </c>
      <c r="F9" s="4">
        <v>18.9216619</v>
      </c>
      <c r="G9">
        <v>72.832298399999999</v>
      </c>
      <c r="H9"/>
    </row>
    <row r="10" spans="1:8">
      <c r="A10" t="s">
        <v>7</v>
      </c>
      <c r="B10" t="s">
        <v>24</v>
      </c>
      <c r="C10" s="4">
        <v>4.4000000000000004</v>
      </c>
      <c r="D10" s="4">
        <v>3447</v>
      </c>
      <c r="E10" t="s">
        <v>25</v>
      </c>
      <c r="F10" s="4">
        <v>18.928066999999999</v>
      </c>
      <c r="G10">
        <v>72.832415999999995</v>
      </c>
      <c r="H10"/>
    </row>
    <row r="11" spans="1:8">
      <c r="A11" t="s">
        <v>7</v>
      </c>
      <c r="B11" t="s">
        <v>26</v>
      </c>
      <c r="C11" s="4">
        <v>4.3</v>
      </c>
      <c r="D11" s="4">
        <v>4955</v>
      </c>
      <c r="E11" t="s">
        <v>27</v>
      </c>
      <c r="F11" s="4">
        <v>18.928495399999999</v>
      </c>
      <c r="G11">
        <v>72.8322067</v>
      </c>
      <c r="H11"/>
    </row>
    <row r="12" spans="1:8">
      <c r="A12" t="s">
        <v>7</v>
      </c>
      <c r="B12" t="s">
        <v>28</v>
      </c>
      <c r="C12" s="4">
        <v>4.3</v>
      </c>
      <c r="D12" s="4">
        <v>1136</v>
      </c>
      <c r="E12" t="s">
        <v>29</v>
      </c>
      <c r="F12" s="4">
        <v>18.927662600000001</v>
      </c>
      <c r="G12">
        <v>72.832998000000003</v>
      </c>
      <c r="H12"/>
    </row>
    <row r="13" spans="1:8">
      <c r="A13" t="s">
        <v>7</v>
      </c>
      <c r="B13" t="s">
        <v>30</v>
      </c>
      <c r="C13" s="4">
        <v>4.2</v>
      </c>
      <c r="D13" s="4">
        <v>542</v>
      </c>
      <c r="E13" t="s">
        <v>31</v>
      </c>
      <c r="F13" s="4">
        <v>18.918294400000001</v>
      </c>
      <c r="G13">
        <v>72.830873699999998</v>
      </c>
      <c r="H13"/>
    </row>
    <row r="14" spans="1:8">
      <c r="A14" t="s">
        <v>7</v>
      </c>
      <c r="B14" t="s">
        <v>32</v>
      </c>
      <c r="C14" s="4">
        <v>4.3</v>
      </c>
      <c r="D14" s="4">
        <v>1395</v>
      </c>
      <c r="E14" t="s">
        <v>33</v>
      </c>
      <c r="F14" s="4">
        <v>18.935252999999999</v>
      </c>
      <c r="G14">
        <v>72.838378599999999</v>
      </c>
      <c r="H14"/>
    </row>
    <row r="15" spans="1:8">
      <c r="A15" t="s">
        <v>7</v>
      </c>
      <c r="B15" t="s">
        <v>34</v>
      </c>
      <c r="C15" s="4">
        <v>4.4000000000000004</v>
      </c>
      <c r="D15" s="4">
        <v>3926</v>
      </c>
      <c r="E15" t="s">
        <v>35</v>
      </c>
      <c r="F15" s="4">
        <v>18.9192596</v>
      </c>
      <c r="G15">
        <v>72.829184499999997</v>
      </c>
      <c r="H15"/>
    </row>
    <row r="16" spans="1:8">
      <c r="A16" t="s">
        <v>7</v>
      </c>
      <c r="B16" t="s">
        <v>36</v>
      </c>
      <c r="C16" s="4">
        <v>3.9</v>
      </c>
      <c r="D16" s="4">
        <v>166</v>
      </c>
      <c r="E16" t="s">
        <v>37</v>
      </c>
      <c r="F16" s="4">
        <v>18.922120400000001</v>
      </c>
      <c r="G16">
        <v>72.832554399999907</v>
      </c>
      <c r="H16"/>
    </row>
    <row r="17" spans="1:8">
      <c r="A17" t="s">
        <v>7</v>
      </c>
      <c r="B17" t="s">
        <v>38</v>
      </c>
      <c r="C17" s="4">
        <v>3.9</v>
      </c>
      <c r="D17" s="4">
        <v>1747</v>
      </c>
      <c r="E17" t="s">
        <v>39</v>
      </c>
      <c r="F17" s="4">
        <v>18.9190833</v>
      </c>
      <c r="G17">
        <v>72.831969399999906</v>
      </c>
      <c r="H17"/>
    </row>
    <row r="18" spans="1:8">
      <c r="A18" t="s">
        <v>7</v>
      </c>
      <c r="B18" t="s">
        <v>40</v>
      </c>
      <c r="C18" s="4">
        <v>4.3</v>
      </c>
      <c r="D18" s="4">
        <v>668</v>
      </c>
      <c r="E18" t="s">
        <v>41</v>
      </c>
      <c r="F18" s="4">
        <v>18.918352899999999</v>
      </c>
      <c r="G18">
        <v>72.827715699999999</v>
      </c>
      <c r="H18"/>
    </row>
    <row r="19" spans="1:8">
      <c r="A19" t="s">
        <v>7</v>
      </c>
      <c r="B19" t="s">
        <v>42</v>
      </c>
      <c r="C19" s="4">
        <v>4.5999999999999996</v>
      </c>
      <c r="D19" s="4">
        <v>3798</v>
      </c>
      <c r="E19" t="s">
        <v>43</v>
      </c>
      <c r="F19" s="4">
        <v>18.900426400000001</v>
      </c>
      <c r="G19">
        <v>72.805011800000003</v>
      </c>
      <c r="H19"/>
    </row>
    <row r="20" spans="1:8">
      <c r="A20" t="s">
        <v>7</v>
      </c>
      <c r="B20" t="s">
        <v>44</v>
      </c>
      <c r="C20" s="4">
        <v>4.3</v>
      </c>
      <c r="D20" s="4">
        <v>335</v>
      </c>
      <c r="E20" t="s">
        <v>45</v>
      </c>
      <c r="F20" s="4">
        <v>18.922621299999999</v>
      </c>
      <c r="G20">
        <v>72.832557199999997</v>
      </c>
      <c r="H20"/>
    </row>
    <row r="21" spans="1:8">
      <c r="A21" t="s">
        <v>7</v>
      </c>
      <c r="B21" t="s">
        <v>46</v>
      </c>
      <c r="C21" s="4">
        <v>4.3</v>
      </c>
      <c r="D21" s="4">
        <v>748</v>
      </c>
      <c r="E21" t="s">
        <v>47</v>
      </c>
      <c r="F21" s="4">
        <v>18.921697399999999</v>
      </c>
      <c r="G21">
        <v>72.8322608</v>
      </c>
      <c r="H21"/>
    </row>
    <row r="22" spans="1:8">
      <c r="A22" t="s">
        <v>7</v>
      </c>
      <c r="B22" t="s">
        <v>48</v>
      </c>
      <c r="C22" s="4">
        <v>4.8</v>
      </c>
      <c r="D22" s="4">
        <v>1251</v>
      </c>
      <c r="E22" t="s">
        <v>49</v>
      </c>
      <c r="F22" s="4">
        <v>18.914994499999999</v>
      </c>
      <c r="G22">
        <v>72.823645099999993</v>
      </c>
      <c r="H22"/>
    </row>
    <row r="23" spans="1:8">
      <c r="A23" t="s">
        <v>7</v>
      </c>
      <c r="B23" t="s">
        <v>50</v>
      </c>
      <c r="C23" s="4">
        <v>4.4000000000000004</v>
      </c>
      <c r="D23" s="4">
        <v>7038</v>
      </c>
      <c r="E23" t="s">
        <v>51</v>
      </c>
      <c r="F23" s="4">
        <v>18.933501499999998</v>
      </c>
      <c r="G23">
        <v>72.826274999999995</v>
      </c>
      <c r="H23"/>
    </row>
    <row r="24" spans="1:8">
      <c r="A24" t="s">
        <v>7</v>
      </c>
      <c r="B24" t="s">
        <v>52</v>
      </c>
      <c r="C24" s="4">
        <v>4.4000000000000004</v>
      </c>
      <c r="D24" s="4">
        <v>1907</v>
      </c>
      <c r="E24" t="s">
        <v>53</v>
      </c>
      <c r="F24" s="4">
        <v>18.922055400000001</v>
      </c>
      <c r="G24">
        <v>72.833038700000003</v>
      </c>
      <c r="H24"/>
    </row>
    <row r="25" spans="1:8">
      <c r="A25" t="s">
        <v>7</v>
      </c>
      <c r="B25" t="s">
        <v>54</v>
      </c>
      <c r="C25" s="4">
        <v>4.3</v>
      </c>
      <c r="D25" s="4">
        <v>2111</v>
      </c>
      <c r="E25" t="s">
        <v>55</v>
      </c>
      <c r="F25" s="4">
        <v>18.936138199999998</v>
      </c>
      <c r="G25">
        <v>72.837612300000004</v>
      </c>
      <c r="H25"/>
    </row>
    <row r="26" spans="1:8">
      <c r="A26" t="s">
        <v>7</v>
      </c>
      <c r="B26" t="s">
        <v>56</v>
      </c>
      <c r="C26" s="4">
        <v>4.5</v>
      </c>
      <c r="D26" s="4">
        <v>128</v>
      </c>
      <c r="E26" t="s">
        <v>57</v>
      </c>
      <c r="F26" s="4">
        <v>18.921534000000001</v>
      </c>
      <c r="G26">
        <v>72.828177999999994</v>
      </c>
      <c r="H26"/>
    </row>
    <row r="27" spans="1:8">
      <c r="A27" t="s">
        <v>7</v>
      </c>
      <c r="B27" t="s">
        <v>58</v>
      </c>
      <c r="C27" s="4">
        <v>4</v>
      </c>
      <c r="D27" s="4">
        <v>3057</v>
      </c>
      <c r="E27" t="s">
        <v>59</v>
      </c>
      <c r="F27" s="4">
        <v>18.918354000000001</v>
      </c>
      <c r="G27">
        <v>72.828256499999995</v>
      </c>
      <c r="H27"/>
    </row>
    <row r="28" spans="1:8">
      <c r="A28" t="s">
        <v>7</v>
      </c>
      <c r="B28" t="s">
        <v>60</v>
      </c>
      <c r="C28" s="4">
        <v>4.5999999999999996</v>
      </c>
      <c r="D28" s="4">
        <v>2871</v>
      </c>
      <c r="E28" t="s">
        <v>61</v>
      </c>
      <c r="F28" s="4">
        <v>18.924175999999999</v>
      </c>
      <c r="G28">
        <v>72.833066899999906</v>
      </c>
      <c r="H28"/>
    </row>
    <row r="29" spans="1:8">
      <c r="A29" t="s">
        <v>7</v>
      </c>
      <c r="B29" t="s">
        <v>62</v>
      </c>
      <c r="C29" s="4">
        <v>4</v>
      </c>
      <c r="D29" s="4">
        <v>373</v>
      </c>
      <c r="E29" t="s">
        <v>63</v>
      </c>
      <c r="F29" s="4">
        <v>18.9175127</v>
      </c>
      <c r="G29">
        <v>72.827568200000002</v>
      </c>
      <c r="H29"/>
    </row>
    <row r="30" spans="1:8">
      <c r="A30" t="s">
        <v>7</v>
      </c>
      <c r="B30" t="s">
        <v>64</v>
      </c>
      <c r="C30" s="4">
        <v>4.4000000000000004</v>
      </c>
      <c r="D30" s="4">
        <v>1264</v>
      </c>
      <c r="E30" t="s">
        <v>65</v>
      </c>
      <c r="F30" s="4">
        <v>18.921610999999999</v>
      </c>
      <c r="G30">
        <v>72.833305099999905</v>
      </c>
      <c r="H30"/>
    </row>
    <row r="31" spans="1:8">
      <c r="A31" t="s">
        <v>7</v>
      </c>
      <c r="B31" t="s">
        <v>66</v>
      </c>
      <c r="C31" s="4">
        <v>4.5</v>
      </c>
      <c r="D31" s="4">
        <v>690</v>
      </c>
      <c r="E31" t="s">
        <v>67</v>
      </c>
      <c r="F31" s="4">
        <v>18.922055400000001</v>
      </c>
      <c r="G31">
        <v>72.833038700000003</v>
      </c>
      <c r="H31"/>
    </row>
    <row r="32" spans="1:8">
      <c r="A32" t="s">
        <v>7</v>
      </c>
      <c r="B32" t="s">
        <v>68</v>
      </c>
      <c r="C32" s="4">
        <v>4.5</v>
      </c>
      <c r="D32" s="4">
        <v>3434</v>
      </c>
      <c r="E32" t="s">
        <v>69</v>
      </c>
      <c r="F32" s="4">
        <v>18.9215418</v>
      </c>
      <c r="G32">
        <v>72.832518699999994</v>
      </c>
      <c r="H32"/>
    </row>
    <row r="33" spans="1:8">
      <c r="A33" t="s">
        <v>7</v>
      </c>
      <c r="B33" t="s">
        <v>70</v>
      </c>
      <c r="C33" s="4">
        <v>4.0999999999999996</v>
      </c>
      <c r="D33" s="4">
        <v>804</v>
      </c>
      <c r="E33" t="s">
        <v>71</v>
      </c>
      <c r="F33" s="4">
        <v>18.922256999999998</v>
      </c>
      <c r="G33">
        <v>72.832141300000004</v>
      </c>
      <c r="H33"/>
    </row>
    <row r="34" spans="1:8">
      <c r="A34" t="s">
        <v>7</v>
      </c>
      <c r="B34" t="s">
        <v>72</v>
      </c>
      <c r="C34" s="4">
        <v>4.4000000000000004</v>
      </c>
      <c r="D34" s="4">
        <v>4278</v>
      </c>
      <c r="E34" t="s">
        <v>73</v>
      </c>
      <c r="F34" s="4">
        <v>18.928277099999999</v>
      </c>
      <c r="G34">
        <v>72.831861000000004</v>
      </c>
      <c r="H34"/>
    </row>
    <row r="35" spans="1:8">
      <c r="A35" t="s">
        <v>7</v>
      </c>
      <c r="B35" t="s">
        <v>74</v>
      </c>
      <c r="C35" s="4">
        <v>4.4000000000000004</v>
      </c>
      <c r="D35" s="4">
        <v>2316</v>
      </c>
      <c r="E35" t="s">
        <v>75</v>
      </c>
      <c r="F35" s="4">
        <v>18.9248583</v>
      </c>
      <c r="G35">
        <v>72.831855599999997</v>
      </c>
      <c r="H35"/>
    </row>
    <row r="36" spans="1:8">
      <c r="A36" t="s">
        <v>7</v>
      </c>
      <c r="B36" t="s">
        <v>76</v>
      </c>
      <c r="C36" s="4">
        <v>4.4000000000000004</v>
      </c>
      <c r="D36" s="4">
        <v>478</v>
      </c>
      <c r="E36" t="s">
        <v>77</v>
      </c>
      <c r="F36" s="4">
        <v>18.935954500000001</v>
      </c>
      <c r="G36">
        <v>72.840635300000002</v>
      </c>
      <c r="H36"/>
    </row>
    <row r="37" spans="1:8">
      <c r="A37" t="s">
        <v>7</v>
      </c>
      <c r="B37" t="s">
        <v>78</v>
      </c>
      <c r="C37" s="4">
        <v>3.9</v>
      </c>
      <c r="D37" s="4">
        <v>4866</v>
      </c>
      <c r="E37" t="s">
        <v>79</v>
      </c>
      <c r="F37" s="4">
        <v>18.918294400000001</v>
      </c>
      <c r="G37">
        <v>72.830873699999998</v>
      </c>
      <c r="H37"/>
    </row>
    <row r="38" spans="1:8">
      <c r="A38" t="s">
        <v>7</v>
      </c>
      <c r="B38" t="s">
        <v>80</v>
      </c>
      <c r="C38" s="4">
        <v>4.0999999999999996</v>
      </c>
      <c r="D38" s="4">
        <v>1439</v>
      </c>
      <c r="E38" t="s">
        <v>81</v>
      </c>
      <c r="F38" s="4">
        <v>18.937572299999999</v>
      </c>
      <c r="G38">
        <v>72.833657099999996</v>
      </c>
      <c r="H38"/>
    </row>
    <row r="39" spans="1:8">
      <c r="A39" t="s">
        <v>7</v>
      </c>
      <c r="B39" t="s">
        <v>82</v>
      </c>
      <c r="C39" s="4">
        <v>4.5</v>
      </c>
      <c r="D39" s="4">
        <v>139</v>
      </c>
      <c r="E39" t="s">
        <v>83</v>
      </c>
      <c r="F39" s="4">
        <v>18.9200035</v>
      </c>
      <c r="G39">
        <v>72.8301917</v>
      </c>
      <c r="H39"/>
    </row>
    <row r="40" spans="1:8">
      <c r="A40" t="s">
        <v>7</v>
      </c>
      <c r="B40" t="s">
        <v>84</v>
      </c>
      <c r="C40" s="4">
        <v>4.3</v>
      </c>
      <c r="D40" s="4">
        <v>66</v>
      </c>
      <c r="E40" t="s">
        <v>85</v>
      </c>
      <c r="F40" s="4">
        <v>18.9176936</v>
      </c>
      <c r="G40">
        <v>72.827708599999994</v>
      </c>
      <c r="H40"/>
    </row>
    <row r="41" spans="1:8">
      <c r="A41" t="s">
        <v>7</v>
      </c>
      <c r="B41" t="s">
        <v>86</v>
      </c>
      <c r="C41" s="4">
        <v>3.9</v>
      </c>
      <c r="D41" s="4">
        <v>157</v>
      </c>
      <c r="E41" t="s">
        <v>87</v>
      </c>
      <c r="F41" s="4">
        <v>18.919003</v>
      </c>
      <c r="G41">
        <v>72.830482000000003</v>
      </c>
      <c r="H41"/>
    </row>
    <row r="42" spans="1:8">
      <c r="A42" t="s">
        <v>7</v>
      </c>
      <c r="B42" t="s">
        <v>88</v>
      </c>
      <c r="C42" s="4">
        <v>3.9</v>
      </c>
      <c r="D42" s="4">
        <v>689</v>
      </c>
      <c r="E42" t="s">
        <v>89</v>
      </c>
      <c r="F42" s="4">
        <v>18.924903700000002</v>
      </c>
      <c r="G42">
        <v>72.831838599999998</v>
      </c>
      <c r="H42"/>
    </row>
    <row r="43" spans="1:8">
      <c r="A43" t="s">
        <v>7</v>
      </c>
      <c r="B43" t="s">
        <v>90</v>
      </c>
      <c r="C43" s="4">
        <v>3.7</v>
      </c>
      <c r="D43" s="4">
        <v>24277</v>
      </c>
      <c r="E43" t="s">
        <v>91</v>
      </c>
      <c r="F43" s="4">
        <v>18.923235900000002</v>
      </c>
      <c r="G43">
        <v>72.832522599999905</v>
      </c>
      <c r="H43"/>
    </row>
    <row r="44" spans="1:8">
      <c r="A44" t="s">
        <v>7</v>
      </c>
      <c r="B44" t="s">
        <v>92</v>
      </c>
      <c r="C44" s="4">
        <v>4.0999999999999996</v>
      </c>
      <c r="D44" s="4">
        <v>9027</v>
      </c>
      <c r="E44" t="s">
        <v>93</v>
      </c>
      <c r="F44" s="4">
        <v>18.922880599999999</v>
      </c>
      <c r="G44">
        <v>72.832390000000004</v>
      </c>
      <c r="H44"/>
    </row>
    <row r="45" spans="1:8">
      <c r="A45" t="s">
        <v>7</v>
      </c>
      <c r="B45" t="s">
        <v>94</v>
      </c>
      <c r="C45" s="4">
        <v>4.4000000000000004</v>
      </c>
      <c r="D45" s="4">
        <v>3004</v>
      </c>
      <c r="E45" t="s">
        <v>95</v>
      </c>
      <c r="F45" s="4">
        <v>18.928371500000001</v>
      </c>
      <c r="G45">
        <v>72.833741599999996</v>
      </c>
      <c r="H45"/>
    </row>
    <row r="46" spans="1:8">
      <c r="A46" t="s">
        <v>7</v>
      </c>
      <c r="B46" t="s">
        <v>96</v>
      </c>
      <c r="C46" s="4">
        <v>4.3</v>
      </c>
      <c r="D46" s="4">
        <v>1197</v>
      </c>
      <c r="E46" t="s">
        <v>97</v>
      </c>
      <c r="F46" s="4">
        <v>18.9242381</v>
      </c>
      <c r="G46">
        <v>72.833314099999996</v>
      </c>
      <c r="H46"/>
    </row>
    <row r="47" spans="1:8">
      <c r="A47" t="s">
        <v>7</v>
      </c>
      <c r="B47" t="s">
        <v>98</v>
      </c>
      <c r="C47" s="4">
        <v>4.3</v>
      </c>
      <c r="D47" s="4">
        <v>58</v>
      </c>
      <c r="E47" t="s">
        <v>99</v>
      </c>
      <c r="F47" s="4">
        <v>18.915061099999999</v>
      </c>
      <c r="G47">
        <v>72.824283499999893</v>
      </c>
      <c r="H47"/>
    </row>
    <row r="48" spans="1:8">
      <c r="A48" t="s">
        <v>7</v>
      </c>
      <c r="B48" t="s">
        <v>100</v>
      </c>
      <c r="C48" s="4">
        <v>4.4000000000000004</v>
      </c>
      <c r="D48" s="4">
        <v>2503</v>
      </c>
      <c r="E48" t="s">
        <v>101</v>
      </c>
      <c r="F48" s="4">
        <v>18.917366399999999</v>
      </c>
      <c r="G48">
        <v>72.824587199999996</v>
      </c>
      <c r="H48"/>
    </row>
    <row r="49" spans="1:8">
      <c r="A49" t="s">
        <v>7</v>
      </c>
      <c r="B49" t="s">
        <v>102</v>
      </c>
      <c r="C49" s="4">
        <v>4.4000000000000004</v>
      </c>
      <c r="D49" s="4">
        <v>110</v>
      </c>
      <c r="E49" t="s">
        <v>103</v>
      </c>
      <c r="F49" s="4">
        <v>18.923784600000001</v>
      </c>
      <c r="G49">
        <v>72.832608899999997</v>
      </c>
      <c r="H49"/>
    </row>
    <row r="50" spans="1:8">
      <c r="A50" t="s">
        <v>7</v>
      </c>
      <c r="B50" t="s">
        <v>104</v>
      </c>
      <c r="C50" s="4">
        <v>4.4000000000000004</v>
      </c>
      <c r="D50" s="4">
        <v>1569</v>
      </c>
      <c r="E50" t="s">
        <v>105</v>
      </c>
      <c r="F50" s="4">
        <v>18.923695899999998</v>
      </c>
      <c r="G50">
        <v>72.832431599999893</v>
      </c>
      <c r="H50"/>
    </row>
    <row r="51" spans="1:8">
      <c r="A51" t="s">
        <v>7</v>
      </c>
      <c r="B51" t="s">
        <v>106</v>
      </c>
      <c r="C51" s="4">
        <v>4.0999999999999996</v>
      </c>
      <c r="D51" s="4">
        <v>139</v>
      </c>
      <c r="E51" t="s">
        <v>107</v>
      </c>
      <c r="F51" s="4">
        <v>18.923876799999999</v>
      </c>
      <c r="G51">
        <v>72.833338900000001</v>
      </c>
      <c r="H51"/>
    </row>
    <row r="52" spans="1:8">
      <c r="A52" t="s">
        <v>7</v>
      </c>
      <c r="B52" t="s">
        <v>108</v>
      </c>
      <c r="C52" s="4">
        <v>4</v>
      </c>
      <c r="D52" s="4">
        <v>2950</v>
      </c>
      <c r="E52" t="s">
        <v>109</v>
      </c>
      <c r="F52" s="4">
        <v>18.9296112</v>
      </c>
      <c r="G52">
        <v>72.834567699999994</v>
      </c>
      <c r="H52"/>
    </row>
    <row r="53" spans="1:8">
      <c r="A53" t="s">
        <v>7</v>
      </c>
      <c r="B53" t="s">
        <v>110</v>
      </c>
      <c r="C53" s="4">
        <v>4.5</v>
      </c>
      <c r="D53" s="4">
        <v>965</v>
      </c>
      <c r="E53" t="s">
        <v>111</v>
      </c>
      <c r="F53" s="4">
        <v>18.9242223</v>
      </c>
      <c r="G53">
        <v>72.833541499999995</v>
      </c>
      <c r="H53"/>
    </row>
    <row r="54" spans="1:8">
      <c r="A54" t="s">
        <v>7</v>
      </c>
      <c r="B54" t="s">
        <v>112</v>
      </c>
      <c r="C54" s="4">
        <v>4.5999999999999996</v>
      </c>
      <c r="D54" s="4">
        <v>466</v>
      </c>
      <c r="E54" t="s">
        <v>113</v>
      </c>
      <c r="F54" s="4">
        <v>18.9276746</v>
      </c>
      <c r="G54">
        <v>72.820946000000006</v>
      </c>
      <c r="H54"/>
    </row>
    <row r="55" spans="1:8">
      <c r="A55" t="s">
        <v>7</v>
      </c>
      <c r="B55" t="s">
        <v>114</v>
      </c>
      <c r="C55" s="4">
        <v>5</v>
      </c>
      <c r="D55" s="4">
        <v>16</v>
      </c>
      <c r="E55" t="s">
        <v>115</v>
      </c>
      <c r="F55" s="4">
        <v>18.9256998</v>
      </c>
      <c r="G55">
        <v>72.829637199999993</v>
      </c>
      <c r="H55"/>
    </row>
    <row r="56" spans="1:8">
      <c r="A56" t="s">
        <v>7</v>
      </c>
      <c r="B56" t="s">
        <v>116</v>
      </c>
      <c r="C56" s="4">
        <v>4.4000000000000004</v>
      </c>
      <c r="D56" s="4">
        <v>1239</v>
      </c>
      <c r="E56" t="s">
        <v>117</v>
      </c>
      <c r="F56" s="4">
        <v>18.924139100000001</v>
      </c>
      <c r="G56">
        <v>72.832957100000002</v>
      </c>
      <c r="H56"/>
    </row>
    <row r="57" spans="1:8">
      <c r="A57" t="s">
        <v>7</v>
      </c>
      <c r="B57" t="s">
        <v>118</v>
      </c>
      <c r="C57" s="4">
        <v>4.5</v>
      </c>
      <c r="D57" s="4">
        <v>197</v>
      </c>
      <c r="E57" t="s">
        <v>119</v>
      </c>
      <c r="F57" s="4">
        <v>18.905807200000002</v>
      </c>
      <c r="G57">
        <v>72.816851599999893</v>
      </c>
      <c r="H57"/>
    </row>
    <row r="58" spans="1:8">
      <c r="A58" t="s">
        <v>7</v>
      </c>
      <c r="B58" t="s">
        <v>120</v>
      </c>
      <c r="C58" s="4">
        <v>3.6</v>
      </c>
      <c r="D58" s="4">
        <v>96</v>
      </c>
      <c r="E58" t="s">
        <v>65</v>
      </c>
      <c r="F58" s="4">
        <v>18.921908200000001</v>
      </c>
      <c r="G58">
        <v>72.833253299999996</v>
      </c>
      <c r="H58"/>
    </row>
    <row r="59" spans="1:8">
      <c r="A59" t="s">
        <v>7</v>
      </c>
      <c r="B59" t="s">
        <v>121</v>
      </c>
      <c r="C59" s="4">
        <v>4.3</v>
      </c>
      <c r="D59" s="4">
        <v>606</v>
      </c>
      <c r="E59" t="s">
        <v>122</v>
      </c>
      <c r="F59" s="4">
        <v>18.924929800000001</v>
      </c>
      <c r="G59">
        <v>72.821540599999906</v>
      </c>
      <c r="H59"/>
    </row>
    <row r="60" spans="1:8">
      <c r="A60" t="s">
        <v>7</v>
      </c>
      <c r="B60" t="s">
        <v>123</v>
      </c>
      <c r="C60" s="4">
        <v>4.5</v>
      </c>
      <c r="D60" s="4">
        <v>937</v>
      </c>
      <c r="E60" t="s">
        <v>124</v>
      </c>
      <c r="F60" s="4">
        <v>18.930039000000001</v>
      </c>
      <c r="G60">
        <v>72.826060099999907</v>
      </c>
      <c r="H60"/>
    </row>
    <row r="61" spans="1:8">
      <c r="A61" t="s">
        <v>7</v>
      </c>
      <c r="B61" t="s">
        <v>125</v>
      </c>
      <c r="C61" s="4">
        <v>4.4000000000000004</v>
      </c>
      <c r="D61" s="4">
        <v>1130</v>
      </c>
      <c r="E61" t="s">
        <v>126</v>
      </c>
      <c r="F61" s="4">
        <v>18.902339099999999</v>
      </c>
      <c r="G61">
        <v>72.8080085</v>
      </c>
      <c r="H61"/>
    </row>
    <row r="62" spans="1:8">
      <c r="A62" t="s">
        <v>127</v>
      </c>
      <c r="B62" t="s">
        <v>50</v>
      </c>
      <c r="C62" s="4">
        <v>4.4000000000000004</v>
      </c>
      <c r="D62" s="4">
        <v>7038</v>
      </c>
      <c r="E62" t="s">
        <v>51</v>
      </c>
      <c r="F62" s="4">
        <v>18.933501499999998</v>
      </c>
      <c r="G62">
        <v>72.826274999999995</v>
      </c>
      <c r="H62"/>
    </row>
    <row r="63" spans="1:8">
      <c r="A63" t="s">
        <v>127</v>
      </c>
      <c r="B63" t="s">
        <v>24</v>
      </c>
      <c r="C63" s="4">
        <v>4.4000000000000004</v>
      </c>
      <c r="D63" s="4">
        <v>3447</v>
      </c>
      <c r="E63" t="s">
        <v>25</v>
      </c>
      <c r="F63" s="4">
        <v>18.928066999999999</v>
      </c>
      <c r="G63">
        <v>72.832415999999995</v>
      </c>
      <c r="H63"/>
    </row>
    <row r="64" spans="1:8">
      <c r="A64" t="s">
        <v>127</v>
      </c>
      <c r="B64" t="s">
        <v>123</v>
      </c>
      <c r="C64" s="4">
        <v>4.5</v>
      </c>
      <c r="D64" s="4">
        <v>937</v>
      </c>
      <c r="E64" t="s">
        <v>124</v>
      </c>
      <c r="F64" s="4">
        <v>18.930039000000001</v>
      </c>
      <c r="G64">
        <v>72.826060099999907</v>
      </c>
      <c r="H64"/>
    </row>
    <row r="65" spans="1:8">
      <c r="A65" t="s">
        <v>127</v>
      </c>
      <c r="B65" t="s">
        <v>128</v>
      </c>
      <c r="C65" s="4">
        <v>4</v>
      </c>
      <c r="D65" s="4">
        <v>921</v>
      </c>
      <c r="E65" t="s">
        <v>129</v>
      </c>
      <c r="F65" s="4">
        <v>18.9337105</v>
      </c>
      <c r="G65">
        <v>72.827086299999905</v>
      </c>
      <c r="H65"/>
    </row>
    <row r="66" spans="1:8">
      <c r="A66" t="s">
        <v>127</v>
      </c>
      <c r="B66" t="s">
        <v>130</v>
      </c>
      <c r="C66" s="4">
        <v>4.0999999999999996</v>
      </c>
      <c r="D66" s="4">
        <v>306</v>
      </c>
      <c r="E66" t="s">
        <v>131</v>
      </c>
      <c r="F66" s="4">
        <v>18.9318071</v>
      </c>
      <c r="G66">
        <v>72.828059999999994</v>
      </c>
      <c r="H66"/>
    </row>
    <row r="67" spans="1:8">
      <c r="A67" t="s">
        <v>127</v>
      </c>
      <c r="B67" t="s">
        <v>132</v>
      </c>
      <c r="C67" s="4">
        <v>4.5</v>
      </c>
      <c r="D67" s="4">
        <v>27</v>
      </c>
      <c r="E67" t="s">
        <v>133</v>
      </c>
      <c r="F67" s="4">
        <v>18.931263900000001</v>
      </c>
      <c r="G67">
        <v>72.826985899999997</v>
      </c>
      <c r="H67"/>
    </row>
    <row r="68" spans="1:8">
      <c r="A68" t="s">
        <v>127</v>
      </c>
      <c r="B68" t="s">
        <v>32</v>
      </c>
      <c r="C68" s="4">
        <v>4.3</v>
      </c>
      <c r="D68" s="4">
        <v>1395</v>
      </c>
      <c r="E68" t="s">
        <v>33</v>
      </c>
      <c r="F68" s="4">
        <v>18.935252999999999</v>
      </c>
      <c r="G68">
        <v>72.838378599999999</v>
      </c>
      <c r="H68"/>
    </row>
    <row r="69" spans="1:8">
      <c r="A69" t="s">
        <v>127</v>
      </c>
      <c r="B69" t="s">
        <v>134</v>
      </c>
      <c r="C69" s="4">
        <v>3.8</v>
      </c>
      <c r="D69" s="4">
        <v>1431</v>
      </c>
      <c r="E69" t="s">
        <v>135</v>
      </c>
      <c r="F69" s="4">
        <v>18.9334913</v>
      </c>
      <c r="G69">
        <v>72.8270287</v>
      </c>
      <c r="H69"/>
    </row>
    <row r="70" spans="1:8">
      <c r="A70" t="s">
        <v>127</v>
      </c>
      <c r="B70" t="s">
        <v>28</v>
      </c>
      <c r="C70" s="4">
        <v>4.3</v>
      </c>
      <c r="D70" s="4">
        <v>1136</v>
      </c>
      <c r="E70" t="s">
        <v>29</v>
      </c>
      <c r="F70" s="4">
        <v>18.927662600000001</v>
      </c>
      <c r="G70">
        <v>72.832998000000003</v>
      </c>
      <c r="H70"/>
    </row>
    <row r="71" spans="1:8">
      <c r="A71" t="s">
        <v>127</v>
      </c>
      <c r="B71" t="s">
        <v>136</v>
      </c>
      <c r="C71" s="4">
        <v>4.0999999999999996</v>
      </c>
      <c r="D71" s="4">
        <v>501</v>
      </c>
      <c r="E71" t="s">
        <v>137</v>
      </c>
      <c r="F71" s="4">
        <v>18.9324944</v>
      </c>
      <c r="G71">
        <v>72.827559999999906</v>
      </c>
      <c r="H71"/>
    </row>
    <row r="72" spans="1:8">
      <c r="A72" t="s">
        <v>127</v>
      </c>
      <c r="B72" t="s">
        <v>26</v>
      </c>
      <c r="C72" s="4">
        <v>4.3</v>
      </c>
      <c r="D72" s="4">
        <v>4955</v>
      </c>
      <c r="E72" t="s">
        <v>27</v>
      </c>
      <c r="F72" s="4">
        <v>18.928495399999999</v>
      </c>
      <c r="G72">
        <v>72.8322067</v>
      </c>
      <c r="H72"/>
    </row>
    <row r="73" spans="1:8">
      <c r="A73" t="s">
        <v>127</v>
      </c>
      <c r="B73" t="s">
        <v>138</v>
      </c>
      <c r="C73" s="4">
        <v>4.4000000000000004</v>
      </c>
      <c r="D73" s="4">
        <v>997</v>
      </c>
      <c r="E73" t="s">
        <v>139</v>
      </c>
      <c r="F73" s="4">
        <v>18.937878999999999</v>
      </c>
      <c r="G73">
        <v>72.832886599999995</v>
      </c>
      <c r="H73"/>
    </row>
    <row r="74" spans="1:8">
      <c r="A74" t="s">
        <v>127</v>
      </c>
      <c r="B74" t="s">
        <v>140</v>
      </c>
      <c r="C74" s="4">
        <v>4.0999999999999996</v>
      </c>
      <c r="D74" s="4">
        <v>2742</v>
      </c>
      <c r="E74" t="s">
        <v>141</v>
      </c>
      <c r="F74" s="4">
        <v>18.932700499999999</v>
      </c>
      <c r="G74">
        <v>72.823598199999907</v>
      </c>
      <c r="H74"/>
    </row>
    <row r="75" spans="1:8">
      <c r="A75" t="s">
        <v>127</v>
      </c>
      <c r="B75" t="s">
        <v>142</v>
      </c>
      <c r="C75" s="4">
        <v>4.2</v>
      </c>
      <c r="D75" s="4">
        <v>4235</v>
      </c>
      <c r="E75" t="s">
        <v>143</v>
      </c>
      <c r="F75" s="4">
        <v>18.930181999999999</v>
      </c>
      <c r="G75">
        <v>72.826759799999905</v>
      </c>
      <c r="H75"/>
    </row>
    <row r="76" spans="1:8">
      <c r="A76" t="s">
        <v>127</v>
      </c>
      <c r="B76" t="s">
        <v>80</v>
      </c>
      <c r="C76" s="4">
        <v>4.0999999999999996</v>
      </c>
      <c r="D76" s="4">
        <v>1439</v>
      </c>
      <c r="E76" t="s">
        <v>81</v>
      </c>
      <c r="F76" s="4">
        <v>18.937572299999999</v>
      </c>
      <c r="G76">
        <v>72.833657099999996</v>
      </c>
      <c r="H76"/>
    </row>
    <row r="77" spans="1:8">
      <c r="A77" t="s">
        <v>127</v>
      </c>
      <c r="B77" t="s">
        <v>144</v>
      </c>
      <c r="C77" s="4">
        <v>3.9</v>
      </c>
      <c r="D77" s="4">
        <v>1897</v>
      </c>
      <c r="E77" t="s">
        <v>145</v>
      </c>
      <c r="F77" s="4">
        <v>18.932120999999999</v>
      </c>
      <c r="G77">
        <v>72.828144199999997</v>
      </c>
      <c r="H77"/>
    </row>
    <row r="78" spans="1:8">
      <c r="A78" t="s">
        <v>127</v>
      </c>
      <c r="B78" t="s">
        <v>123</v>
      </c>
      <c r="C78" s="4">
        <v>4.4000000000000004</v>
      </c>
      <c r="D78" s="4">
        <v>2996</v>
      </c>
      <c r="E78" t="s">
        <v>146</v>
      </c>
      <c r="F78" s="4">
        <v>18.927624000000002</v>
      </c>
      <c r="G78">
        <v>72.822002999999995</v>
      </c>
      <c r="H78"/>
    </row>
    <row r="79" spans="1:8">
      <c r="A79" t="s">
        <v>127</v>
      </c>
      <c r="B79" t="s">
        <v>123</v>
      </c>
      <c r="C79" s="4">
        <v>4.5999999999999996</v>
      </c>
      <c r="D79" s="4">
        <v>2399</v>
      </c>
      <c r="E79" t="s">
        <v>147</v>
      </c>
      <c r="F79" s="4">
        <v>18.932224300000001</v>
      </c>
      <c r="G79">
        <v>72.834240199999996</v>
      </c>
      <c r="H79"/>
    </row>
    <row r="80" spans="1:8">
      <c r="A80" t="s">
        <v>127</v>
      </c>
      <c r="B80" t="s">
        <v>148</v>
      </c>
      <c r="C80" s="4">
        <v>4.3</v>
      </c>
      <c r="D80" s="4">
        <v>29</v>
      </c>
      <c r="E80" t="s">
        <v>149</v>
      </c>
      <c r="F80" s="4">
        <v>18.929934599999999</v>
      </c>
      <c r="G80">
        <v>72.826206999999997</v>
      </c>
      <c r="H80"/>
    </row>
    <row r="81" spans="1:8">
      <c r="A81" t="s">
        <v>127</v>
      </c>
      <c r="B81" t="s">
        <v>72</v>
      </c>
      <c r="C81" s="4">
        <v>4.4000000000000004</v>
      </c>
      <c r="D81" s="4">
        <v>4278</v>
      </c>
      <c r="E81" t="s">
        <v>73</v>
      </c>
      <c r="F81" s="4">
        <v>18.928277099999999</v>
      </c>
      <c r="G81">
        <v>72.831861000000004</v>
      </c>
      <c r="H81"/>
    </row>
    <row r="82" spans="1:8">
      <c r="A82" t="s">
        <v>127</v>
      </c>
      <c r="B82" t="s">
        <v>76</v>
      </c>
      <c r="C82" s="4">
        <v>4.4000000000000004</v>
      </c>
      <c r="D82" s="4">
        <v>478</v>
      </c>
      <c r="E82" t="s">
        <v>77</v>
      </c>
      <c r="F82" s="4">
        <v>18.935954500000001</v>
      </c>
      <c r="G82">
        <v>72.840635300000002</v>
      </c>
      <c r="H82"/>
    </row>
    <row r="83" spans="1:8">
      <c r="A83" t="s">
        <v>127</v>
      </c>
      <c r="B83" t="s">
        <v>150</v>
      </c>
      <c r="C83" s="4">
        <v>4</v>
      </c>
      <c r="D83" s="4">
        <v>2692</v>
      </c>
      <c r="E83" t="s">
        <v>151</v>
      </c>
      <c r="F83" s="4">
        <v>18.9427208</v>
      </c>
      <c r="G83">
        <v>72.826841000000002</v>
      </c>
      <c r="H83"/>
    </row>
    <row r="84" spans="1:8">
      <c r="A84" t="s">
        <v>127</v>
      </c>
      <c r="B84" t="s">
        <v>12</v>
      </c>
      <c r="C84" s="4">
        <v>4.2</v>
      </c>
      <c r="D84" s="4">
        <v>3443</v>
      </c>
      <c r="E84" t="s">
        <v>13</v>
      </c>
      <c r="F84" s="4">
        <v>18.918851400000001</v>
      </c>
      <c r="G84">
        <v>72.831991500000001</v>
      </c>
      <c r="H84"/>
    </row>
    <row r="85" spans="1:8">
      <c r="A85" t="s">
        <v>127</v>
      </c>
      <c r="B85" t="s">
        <v>152</v>
      </c>
      <c r="C85" s="4">
        <v>4.0999999999999996</v>
      </c>
      <c r="D85" s="4">
        <v>3015</v>
      </c>
      <c r="E85" t="s">
        <v>153</v>
      </c>
      <c r="F85" s="4">
        <v>18.930776699999999</v>
      </c>
      <c r="G85">
        <v>72.832023999999905</v>
      </c>
      <c r="H85"/>
    </row>
    <row r="86" spans="1:8">
      <c r="A86" t="s">
        <v>127</v>
      </c>
      <c r="B86" t="s">
        <v>154</v>
      </c>
      <c r="C86" s="4">
        <v>4.2</v>
      </c>
      <c r="D86" s="4">
        <v>94</v>
      </c>
      <c r="E86" t="s">
        <v>155</v>
      </c>
      <c r="F86" s="4">
        <v>18.930410999999999</v>
      </c>
      <c r="G86">
        <v>72.826265999999904</v>
      </c>
      <c r="H86"/>
    </row>
    <row r="87" spans="1:8">
      <c r="A87" t="s">
        <v>127</v>
      </c>
      <c r="B87" t="s">
        <v>156</v>
      </c>
      <c r="C87" s="4">
        <v>4.2</v>
      </c>
      <c r="D87" s="4">
        <v>7287</v>
      </c>
      <c r="E87" t="s">
        <v>157</v>
      </c>
      <c r="F87" s="4">
        <v>18.932879</v>
      </c>
      <c r="G87">
        <v>72.826101299999905</v>
      </c>
      <c r="H87"/>
    </row>
    <row r="88" spans="1:8">
      <c r="A88" t="s">
        <v>127</v>
      </c>
      <c r="B88" t="s">
        <v>54</v>
      </c>
      <c r="C88" s="4">
        <v>4.3</v>
      </c>
      <c r="D88" s="4">
        <v>2111</v>
      </c>
      <c r="E88" t="s">
        <v>55</v>
      </c>
      <c r="F88" s="4">
        <v>18.936138199999998</v>
      </c>
      <c r="G88">
        <v>72.837612300000004</v>
      </c>
      <c r="H88"/>
    </row>
    <row r="89" spans="1:8">
      <c r="A89" t="s">
        <v>127</v>
      </c>
      <c r="B89" t="s">
        <v>10</v>
      </c>
      <c r="C89" s="4">
        <v>4.2</v>
      </c>
      <c r="D89" s="4">
        <v>29972</v>
      </c>
      <c r="E89" t="s">
        <v>11</v>
      </c>
      <c r="F89" s="4">
        <v>18.9226402</v>
      </c>
      <c r="G89">
        <v>72.831640100000001</v>
      </c>
      <c r="H89"/>
    </row>
    <row r="90" spans="1:8">
      <c r="A90" t="s">
        <v>127</v>
      </c>
      <c r="B90" t="s">
        <v>158</v>
      </c>
      <c r="C90" s="4">
        <v>4</v>
      </c>
      <c r="D90" s="4">
        <v>141</v>
      </c>
      <c r="E90" t="s">
        <v>159</v>
      </c>
      <c r="F90" s="4">
        <v>18.933803600000001</v>
      </c>
      <c r="G90">
        <v>72.824869999999905</v>
      </c>
      <c r="H90"/>
    </row>
    <row r="91" spans="1:8">
      <c r="A91" t="s">
        <v>127</v>
      </c>
      <c r="B91" t="s">
        <v>112</v>
      </c>
      <c r="C91" s="4">
        <v>4.5999999999999996</v>
      </c>
      <c r="D91" s="4">
        <v>466</v>
      </c>
      <c r="E91" t="s">
        <v>113</v>
      </c>
      <c r="F91" s="4">
        <v>18.9276746</v>
      </c>
      <c r="G91">
        <v>72.820946000000006</v>
      </c>
      <c r="H91"/>
    </row>
    <row r="92" spans="1:8">
      <c r="A92" t="s">
        <v>127</v>
      </c>
      <c r="B92" t="s">
        <v>14</v>
      </c>
      <c r="C92" s="4">
        <v>4.3</v>
      </c>
      <c r="D92" s="4">
        <v>2868</v>
      </c>
      <c r="E92" t="s">
        <v>15</v>
      </c>
      <c r="F92" s="4">
        <v>18.919908100000001</v>
      </c>
      <c r="G92">
        <v>72.830269099999995</v>
      </c>
      <c r="H92"/>
    </row>
    <row r="93" spans="1:8">
      <c r="A93" t="s">
        <v>127</v>
      </c>
      <c r="B93" t="s">
        <v>160</v>
      </c>
      <c r="C93" s="4">
        <v>4.3</v>
      </c>
      <c r="D93" s="4">
        <v>660</v>
      </c>
      <c r="E93" t="s">
        <v>161</v>
      </c>
      <c r="F93" s="4">
        <v>18.9312024</v>
      </c>
      <c r="G93">
        <v>72.823126199999905</v>
      </c>
      <c r="H93"/>
    </row>
    <row r="94" spans="1:8">
      <c r="A94" t="s">
        <v>127</v>
      </c>
      <c r="B94" t="s">
        <v>162</v>
      </c>
      <c r="C94" s="4">
        <v>4.0999999999999996</v>
      </c>
      <c r="D94" s="4">
        <v>163</v>
      </c>
      <c r="E94" t="s">
        <v>163</v>
      </c>
      <c r="F94" s="4">
        <v>18.9430169</v>
      </c>
      <c r="G94">
        <v>72.8276477</v>
      </c>
      <c r="H94"/>
    </row>
    <row r="95" spans="1:8">
      <c r="A95" t="s">
        <v>127</v>
      </c>
      <c r="B95" t="s">
        <v>164</v>
      </c>
      <c r="C95" s="4">
        <v>4.2</v>
      </c>
      <c r="D95" s="4">
        <v>698</v>
      </c>
      <c r="E95" t="s">
        <v>165</v>
      </c>
      <c r="F95" s="4">
        <v>18.9350323</v>
      </c>
      <c r="G95">
        <v>72.824201000000002</v>
      </c>
      <c r="H95"/>
    </row>
    <row r="96" spans="1:8">
      <c r="A96" t="s">
        <v>127</v>
      </c>
      <c r="B96" t="s">
        <v>166</v>
      </c>
      <c r="C96" s="4">
        <v>4.2</v>
      </c>
      <c r="D96" s="4">
        <v>3225</v>
      </c>
      <c r="E96" t="s">
        <v>167</v>
      </c>
      <c r="F96" s="4">
        <v>18.957948200000001</v>
      </c>
      <c r="G96">
        <v>72.810955399999997</v>
      </c>
      <c r="H96"/>
    </row>
    <row r="97" spans="1:8">
      <c r="A97" t="s">
        <v>127</v>
      </c>
      <c r="B97" t="s">
        <v>168</v>
      </c>
      <c r="C97" s="4">
        <v>4.3</v>
      </c>
      <c r="D97" s="4">
        <v>46</v>
      </c>
      <c r="E97" t="s">
        <v>169</v>
      </c>
      <c r="F97" s="4">
        <v>18.931485500000001</v>
      </c>
      <c r="G97">
        <v>72.827008599999999</v>
      </c>
      <c r="H97"/>
    </row>
    <row r="98" spans="1:8">
      <c r="A98" t="s">
        <v>127</v>
      </c>
      <c r="B98" t="s">
        <v>38</v>
      </c>
      <c r="C98" s="4">
        <v>3.9</v>
      </c>
      <c r="D98" s="4">
        <v>1747</v>
      </c>
      <c r="E98" t="s">
        <v>39</v>
      </c>
      <c r="F98" s="4">
        <v>18.9190833</v>
      </c>
      <c r="G98">
        <v>72.831969399999906</v>
      </c>
      <c r="H98"/>
    </row>
    <row r="99" spans="1:8">
      <c r="A99" t="s">
        <v>127</v>
      </c>
      <c r="B99" t="s">
        <v>170</v>
      </c>
      <c r="C99" s="4">
        <v>4.8</v>
      </c>
      <c r="D99" s="4">
        <v>279</v>
      </c>
      <c r="E99" t="s">
        <v>171</v>
      </c>
      <c r="F99" s="4">
        <v>18.953211</v>
      </c>
      <c r="G99">
        <v>72.817983299999995</v>
      </c>
      <c r="H99"/>
    </row>
    <row r="100" spans="1:8">
      <c r="A100" t="s">
        <v>127</v>
      </c>
      <c r="B100" t="s">
        <v>94</v>
      </c>
      <c r="C100" s="4">
        <v>4.4000000000000004</v>
      </c>
      <c r="D100" s="4">
        <v>3004</v>
      </c>
      <c r="E100" t="s">
        <v>95</v>
      </c>
      <c r="F100" s="4">
        <v>18.928371500000001</v>
      </c>
      <c r="G100">
        <v>72.833741599999996</v>
      </c>
      <c r="H100"/>
    </row>
    <row r="101" spans="1:8">
      <c r="A101" t="s">
        <v>127</v>
      </c>
      <c r="B101" t="s">
        <v>172</v>
      </c>
      <c r="C101" s="4">
        <v>4.4000000000000004</v>
      </c>
      <c r="D101" s="4">
        <v>13597</v>
      </c>
      <c r="E101" t="s">
        <v>173</v>
      </c>
      <c r="F101" s="4">
        <v>18.933139099999998</v>
      </c>
      <c r="G101">
        <v>72.824899500000001</v>
      </c>
      <c r="H101"/>
    </row>
    <row r="102" spans="1:8">
      <c r="A102" t="s">
        <v>127</v>
      </c>
      <c r="B102" t="s">
        <v>18</v>
      </c>
      <c r="C102" s="4">
        <v>4.4000000000000004</v>
      </c>
      <c r="D102" s="4">
        <v>4578</v>
      </c>
      <c r="E102" t="s">
        <v>19</v>
      </c>
      <c r="F102" s="4">
        <v>18.924050300000001</v>
      </c>
      <c r="G102">
        <v>72.832154700000004</v>
      </c>
      <c r="H102"/>
    </row>
    <row r="103" spans="1:8">
      <c r="A103" t="s">
        <v>127</v>
      </c>
      <c r="B103" t="s">
        <v>174</v>
      </c>
      <c r="C103" s="4">
        <v>4.4000000000000004</v>
      </c>
      <c r="D103" s="4">
        <v>1105</v>
      </c>
      <c r="E103" t="s">
        <v>175</v>
      </c>
      <c r="F103" s="4">
        <v>18.928695900000001</v>
      </c>
      <c r="G103">
        <v>72.822745599999905</v>
      </c>
      <c r="H103"/>
    </row>
    <row r="104" spans="1:8">
      <c r="A104" t="s">
        <v>127</v>
      </c>
      <c r="B104" t="s">
        <v>176</v>
      </c>
      <c r="C104" s="4">
        <v>4.2</v>
      </c>
      <c r="D104" s="4">
        <v>144</v>
      </c>
      <c r="E104" t="s">
        <v>177</v>
      </c>
      <c r="F104" s="4">
        <v>18.931060200000001</v>
      </c>
      <c r="G104">
        <v>72.8339888</v>
      </c>
      <c r="H104"/>
    </row>
    <row r="105" spans="1:8">
      <c r="A105" t="s">
        <v>127</v>
      </c>
      <c r="B105" t="s">
        <v>178</v>
      </c>
      <c r="C105" s="4">
        <v>4.8</v>
      </c>
      <c r="D105" s="4">
        <v>101</v>
      </c>
      <c r="E105" t="s">
        <v>179</v>
      </c>
      <c r="F105" s="4">
        <v>18.926181700000001</v>
      </c>
      <c r="G105">
        <v>72.825935000000001</v>
      </c>
      <c r="H105"/>
    </row>
    <row r="106" spans="1:8">
      <c r="A106" t="s">
        <v>127</v>
      </c>
      <c r="B106" t="s">
        <v>180</v>
      </c>
      <c r="C106" s="4">
        <v>4</v>
      </c>
      <c r="D106" s="4">
        <v>138</v>
      </c>
      <c r="E106" t="s">
        <v>181</v>
      </c>
      <c r="F106" s="4">
        <v>18.942909799999999</v>
      </c>
      <c r="G106">
        <v>72.828975</v>
      </c>
      <c r="H106"/>
    </row>
    <row r="107" spans="1:8">
      <c r="A107" t="s">
        <v>127</v>
      </c>
      <c r="B107" t="s">
        <v>182</v>
      </c>
      <c r="C107" s="4">
        <v>4.9000000000000004</v>
      </c>
      <c r="D107" s="4">
        <v>478</v>
      </c>
      <c r="E107" t="s">
        <v>183</v>
      </c>
      <c r="F107" s="4">
        <v>18.931219800000001</v>
      </c>
      <c r="G107">
        <v>72.833408899999995</v>
      </c>
      <c r="H107"/>
    </row>
    <row r="108" spans="1:8">
      <c r="A108" t="s">
        <v>127</v>
      </c>
      <c r="B108" t="s">
        <v>184</v>
      </c>
      <c r="C108" s="4">
        <v>4.4000000000000004</v>
      </c>
      <c r="D108" s="4">
        <v>5385</v>
      </c>
      <c r="E108" t="s">
        <v>185</v>
      </c>
      <c r="F108" s="4">
        <v>18.930366299999999</v>
      </c>
      <c r="G108">
        <v>72.826398099999906</v>
      </c>
      <c r="H108"/>
    </row>
    <row r="109" spans="1:8">
      <c r="A109" t="s">
        <v>127</v>
      </c>
      <c r="B109" t="s">
        <v>186</v>
      </c>
      <c r="C109" s="4">
        <v>4.5999999999999996</v>
      </c>
      <c r="D109" s="4">
        <v>420</v>
      </c>
      <c r="E109" t="s">
        <v>187</v>
      </c>
      <c r="F109" s="4">
        <v>18.9286554</v>
      </c>
      <c r="G109">
        <v>72.832139799999993</v>
      </c>
      <c r="H109"/>
    </row>
    <row r="110" spans="1:8">
      <c r="A110" t="s">
        <v>127</v>
      </c>
      <c r="B110" t="s">
        <v>188</v>
      </c>
      <c r="C110" s="4">
        <v>4.3</v>
      </c>
      <c r="D110" s="4">
        <v>330</v>
      </c>
      <c r="E110" t="s">
        <v>189</v>
      </c>
      <c r="F110" s="4">
        <v>18.926452099999999</v>
      </c>
      <c r="G110">
        <v>72.822676899999905</v>
      </c>
      <c r="H110"/>
    </row>
    <row r="111" spans="1:8">
      <c r="A111" t="s">
        <v>127</v>
      </c>
      <c r="B111" t="s">
        <v>190</v>
      </c>
      <c r="C111" s="4">
        <v>4.3</v>
      </c>
      <c r="D111" s="4">
        <v>1469</v>
      </c>
      <c r="E111" t="s">
        <v>191</v>
      </c>
      <c r="F111" s="4">
        <v>18.928684799999999</v>
      </c>
      <c r="G111">
        <v>72.832267899999906</v>
      </c>
      <c r="H111"/>
    </row>
    <row r="112" spans="1:8">
      <c r="A112" t="s">
        <v>127</v>
      </c>
      <c r="B112" t="s">
        <v>192</v>
      </c>
      <c r="C112" s="4">
        <v>4.5999999999999996</v>
      </c>
      <c r="D112" s="4">
        <v>619</v>
      </c>
      <c r="E112" t="s">
        <v>193</v>
      </c>
      <c r="F112" s="4">
        <v>18.954806600000001</v>
      </c>
      <c r="G112">
        <v>72.823354999999907</v>
      </c>
      <c r="H112"/>
    </row>
    <row r="113" spans="1:8">
      <c r="A113" t="s">
        <v>127</v>
      </c>
      <c r="B113" t="s">
        <v>48</v>
      </c>
      <c r="C113" s="4">
        <v>4.5999999999999996</v>
      </c>
      <c r="D113" s="4">
        <v>443</v>
      </c>
      <c r="E113" t="s">
        <v>194</v>
      </c>
      <c r="F113" s="4">
        <v>18.955420199999999</v>
      </c>
      <c r="G113">
        <v>72.813679699999994</v>
      </c>
      <c r="H113"/>
    </row>
    <row r="114" spans="1:8">
      <c r="A114" t="s">
        <v>127</v>
      </c>
      <c r="B114" t="s">
        <v>195</v>
      </c>
      <c r="C114" s="4">
        <v>4</v>
      </c>
      <c r="D114" s="4">
        <v>1586</v>
      </c>
      <c r="E114" t="s">
        <v>196</v>
      </c>
      <c r="F114" s="4">
        <v>18.942869399999999</v>
      </c>
      <c r="G114">
        <v>72.828422699999905</v>
      </c>
      <c r="H114"/>
    </row>
    <row r="115" spans="1:8">
      <c r="A115" t="s">
        <v>127</v>
      </c>
      <c r="B115" t="s">
        <v>197</v>
      </c>
      <c r="C115" s="4">
        <v>4.4000000000000004</v>
      </c>
      <c r="D115" s="4">
        <v>16</v>
      </c>
      <c r="E115" t="s">
        <v>198</v>
      </c>
      <c r="F115" s="4">
        <v>18.939498799999999</v>
      </c>
      <c r="G115">
        <v>72.828173699999994</v>
      </c>
      <c r="H115"/>
    </row>
    <row r="116" spans="1:8">
      <c r="A116" t="s">
        <v>127</v>
      </c>
      <c r="B116" t="s">
        <v>48</v>
      </c>
      <c r="C116" s="4">
        <v>4.8</v>
      </c>
      <c r="D116" s="4">
        <v>1251</v>
      </c>
      <c r="E116" t="s">
        <v>49</v>
      </c>
      <c r="F116" s="4">
        <v>18.914994499999999</v>
      </c>
      <c r="G116">
        <v>72.823645099999993</v>
      </c>
      <c r="H116"/>
    </row>
    <row r="117" spans="1:8">
      <c r="A117" t="s">
        <v>127</v>
      </c>
      <c r="B117" t="s">
        <v>199</v>
      </c>
      <c r="C117" s="4">
        <v>4.4000000000000004</v>
      </c>
      <c r="D117" s="4">
        <v>134</v>
      </c>
      <c r="E117" t="s">
        <v>200</v>
      </c>
      <c r="F117" s="4">
        <v>18.9414567</v>
      </c>
      <c r="G117">
        <v>72.827862499999995</v>
      </c>
      <c r="H117"/>
    </row>
    <row r="118" spans="1:8">
      <c r="A118" t="s">
        <v>127</v>
      </c>
      <c r="B118" t="s">
        <v>201</v>
      </c>
      <c r="C118" s="4">
        <v>4.2</v>
      </c>
      <c r="D118" s="4">
        <v>25681</v>
      </c>
      <c r="E118" t="s">
        <v>202</v>
      </c>
      <c r="F118" s="4">
        <v>18.933391499999999</v>
      </c>
      <c r="G118">
        <v>72.823882099999906</v>
      </c>
      <c r="H118"/>
    </row>
    <row r="119" spans="1:8">
      <c r="A119" t="s">
        <v>127</v>
      </c>
      <c r="B119" t="s">
        <v>203</v>
      </c>
      <c r="C119" s="4">
        <v>4.4000000000000004</v>
      </c>
      <c r="D119" s="4">
        <v>255</v>
      </c>
      <c r="E119" t="s">
        <v>204</v>
      </c>
      <c r="F119" s="4">
        <v>18.932031599999998</v>
      </c>
      <c r="G119">
        <v>72.831901500000001</v>
      </c>
      <c r="H119"/>
    </row>
    <row r="120" spans="1:8">
      <c r="A120" t="s">
        <v>127</v>
      </c>
      <c r="B120" t="s">
        <v>205</v>
      </c>
      <c r="C120" s="4">
        <v>4.0999999999999996</v>
      </c>
      <c r="D120" s="4">
        <v>2934</v>
      </c>
      <c r="E120" t="s">
        <v>206</v>
      </c>
      <c r="F120" s="4">
        <v>18.955721</v>
      </c>
      <c r="G120">
        <v>72.813020299999906</v>
      </c>
      <c r="H120"/>
    </row>
    <row r="121" spans="1:8">
      <c r="A121" t="s">
        <v>127</v>
      </c>
      <c r="B121" t="s">
        <v>22</v>
      </c>
      <c r="C121" s="4">
        <v>4.2</v>
      </c>
      <c r="D121" s="4">
        <v>9490</v>
      </c>
      <c r="E121" t="s">
        <v>23</v>
      </c>
      <c r="F121" s="4">
        <v>18.9216619</v>
      </c>
      <c r="G121">
        <v>72.832298399999999</v>
      </c>
      <c r="H121"/>
    </row>
    <row r="122" spans="1:8">
      <c r="A122" t="s">
        <v>207</v>
      </c>
      <c r="B122" t="s">
        <v>208</v>
      </c>
      <c r="C122" s="4">
        <v>4.0999999999999996</v>
      </c>
      <c r="D122" s="4">
        <v>8457</v>
      </c>
      <c r="E122" t="s">
        <v>209</v>
      </c>
      <c r="F122" s="4">
        <v>19.0168049</v>
      </c>
      <c r="G122">
        <v>72.846186899999907</v>
      </c>
      <c r="H122"/>
    </row>
    <row r="123" spans="1:8">
      <c r="A123" t="s">
        <v>207</v>
      </c>
      <c r="B123" t="s">
        <v>210</v>
      </c>
      <c r="C123" s="4">
        <v>4</v>
      </c>
      <c r="D123" s="4">
        <v>1561</v>
      </c>
      <c r="E123" t="s">
        <v>211</v>
      </c>
      <c r="F123" s="4">
        <v>19.016320799999999</v>
      </c>
      <c r="G123">
        <v>72.835219999999893</v>
      </c>
      <c r="H123"/>
    </row>
    <row r="124" spans="1:8">
      <c r="A124" t="s">
        <v>207</v>
      </c>
      <c r="B124" t="s">
        <v>212</v>
      </c>
      <c r="C124" s="4">
        <v>4.2</v>
      </c>
      <c r="D124" s="4">
        <v>1898</v>
      </c>
      <c r="E124" t="s">
        <v>213</v>
      </c>
      <c r="F124" s="4">
        <v>19.028188100000001</v>
      </c>
      <c r="G124">
        <v>72.841099</v>
      </c>
      <c r="H124"/>
    </row>
    <row r="125" spans="1:8">
      <c r="A125" t="s">
        <v>207</v>
      </c>
      <c r="B125" t="s">
        <v>214</v>
      </c>
      <c r="C125" s="4">
        <v>4.5999999999999996</v>
      </c>
      <c r="D125" s="4">
        <v>375</v>
      </c>
      <c r="E125" t="s">
        <v>215</v>
      </c>
      <c r="F125" s="4">
        <v>19.015682699999999</v>
      </c>
      <c r="G125">
        <v>72.837904899999998</v>
      </c>
      <c r="H125"/>
    </row>
    <row r="126" spans="1:8">
      <c r="A126" t="s">
        <v>207</v>
      </c>
      <c r="B126" t="s">
        <v>216</v>
      </c>
      <c r="C126" s="4">
        <v>4.2</v>
      </c>
      <c r="D126" s="4">
        <v>846</v>
      </c>
      <c r="E126" t="s">
        <v>217</v>
      </c>
      <c r="F126" s="4">
        <v>19.017466299999999</v>
      </c>
      <c r="G126">
        <v>72.848709299999996</v>
      </c>
      <c r="H126"/>
    </row>
    <row r="127" spans="1:8">
      <c r="A127" t="s">
        <v>207</v>
      </c>
      <c r="B127" t="s">
        <v>218</v>
      </c>
      <c r="C127" s="4">
        <v>4</v>
      </c>
      <c r="D127" s="4">
        <v>117</v>
      </c>
      <c r="E127" t="s">
        <v>219</v>
      </c>
      <c r="F127" s="4">
        <v>19.021225900000001</v>
      </c>
      <c r="G127">
        <v>72.836906999999997</v>
      </c>
      <c r="H127"/>
    </row>
    <row r="128" spans="1:8">
      <c r="A128" t="s">
        <v>207</v>
      </c>
      <c r="B128" t="s">
        <v>220</v>
      </c>
      <c r="C128" s="4">
        <v>4.7</v>
      </c>
      <c r="D128" s="4">
        <v>175</v>
      </c>
      <c r="E128" t="s">
        <v>221</v>
      </c>
      <c r="F128" s="4">
        <v>19.0118069</v>
      </c>
      <c r="G128">
        <v>72.845613299999997</v>
      </c>
      <c r="H128"/>
    </row>
    <row r="129" spans="1:8">
      <c r="A129" t="s">
        <v>207</v>
      </c>
      <c r="B129" t="s">
        <v>222</v>
      </c>
      <c r="C129" s="4">
        <v>4.3</v>
      </c>
      <c r="D129" s="4">
        <v>2687</v>
      </c>
      <c r="E129" t="s">
        <v>223</v>
      </c>
      <c r="F129" s="4">
        <v>19.006262400000001</v>
      </c>
      <c r="G129">
        <v>72.840791799999906</v>
      </c>
      <c r="H129"/>
    </row>
    <row r="130" spans="1:8">
      <c r="A130" t="s">
        <v>207</v>
      </c>
      <c r="B130" t="s">
        <v>224</v>
      </c>
      <c r="C130" s="4">
        <v>4</v>
      </c>
      <c r="D130" s="4">
        <v>1104</v>
      </c>
      <c r="E130" t="s">
        <v>225</v>
      </c>
      <c r="F130" s="4">
        <v>19.0186867</v>
      </c>
      <c r="G130">
        <v>72.846830999999995</v>
      </c>
      <c r="H130"/>
    </row>
    <row r="131" spans="1:8">
      <c r="A131" t="s">
        <v>207</v>
      </c>
      <c r="B131" t="s">
        <v>226</v>
      </c>
      <c r="C131" s="4">
        <v>4.8</v>
      </c>
      <c r="D131" s="4">
        <v>325</v>
      </c>
      <c r="E131" t="s">
        <v>227</v>
      </c>
      <c r="F131" s="4">
        <v>19.011390599999999</v>
      </c>
      <c r="G131">
        <v>72.835269199999999</v>
      </c>
      <c r="H131"/>
    </row>
    <row r="132" spans="1:8">
      <c r="A132" t="s">
        <v>207</v>
      </c>
      <c r="B132" t="s">
        <v>228</v>
      </c>
      <c r="C132" s="4">
        <v>3.9</v>
      </c>
      <c r="D132" s="4">
        <v>2130</v>
      </c>
      <c r="E132" t="s">
        <v>229</v>
      </c>
      <c r="F132" s="4">
        <v>19.017140300000001</v>
      </c>
      <c r="G132">
        <v>72.844657499999997</v>
      </c>
      <c r="H132"/>
    </row>
    <row r="133" spans="1:8">
      <c r="A133" t="s">
        <v>207</v>
      </c>
      <c r="B133" t="s">
        <v>230</v>
      </c>
      <c r="C133" s="4">
        <v>4.5</v>
      </c>
      <c r="D133" s="4">
        <v>774</v>
      </c>
      <c r="E133" t="s">
        <v>231</v>
      </c>
      <c r="F133" s="4">
        <v>19.019539099999999</v>
      </c>
      <c r="G133">
        <v>72.831898199999998</v>
      </c>
      <c r="H133"/>
    </row>
    <row r="134" spans="1:8">
      <c r="A134" t="s">
        <v>207</v>
      </c>
      <c r="B134" t="s">
        <v>232</v>
      </c>
      <c r="C134" s="4">
        <v>4.5</v>
      </c>
      <c r="D134" s="4">
        <v>92</v>
      </c>
      <c r="E134" t="s">
        <v>233</v>
      </c>
      <c r="F134" s="4">
        <v>19.025475799999999</v>
      </c>
      <c r="G134">
        <v>72.835516999999996</v>
      </c>
      <c r="H134"/>
    </row>
    <row r="135" spans="1:8">
      <c r="A135" t="s">
        <v>207</v>
      </c>
      <c r="B135" t="s">
        <v>234</v>
      </c>
      <c r="C135" s="4">
        <v>4.5</v>
      </c>
      <c r="D135" s="4">
        <v>23</v>
      </c>
      <c r="E135" t="s">
        <v>235</v>
      </c>
      <c r="F135" s="4">
        <v>19.0255689</v>
      </c>
      <c r="G135">
        <v>72.840978800000002</v>
      </c>
      <c r="H135"/>
    </row>
    <row r="136" spans="1:8">
      <c r="A136" t="s">
        <v>207</v>
      </c>
      <c r="B136" t="s">
        <v>236</v>
      </c>
      <c r="C136" s="4">
        <v>4.8</v>
      </c>
      <c r="D136" s="4">
        <v>17</v>
      </c>
      <c r="E136" t="s">
        <v>237</v>
      </c>
      <c r="F136" s="4">
        <v>19.016491500000001</v>
      </c>
      <c r="G136">
        <v>72.835392799999994</v>
      </c>
      <c r="H136"/>
    </row>
    <row r="137" spans="1:8">
      <c r="A137" t="s">
        <v>207</v>
      </c>
      <c r="B137" t="s">
        <v>238</v>
      </c>
      <c r="C137" s="4">
        <v>4.4000000000000004</v>
      </c>
      <c r="D137" s="4">
        <v>24600</v>
      </c>
      <c r="E137" t="s">
        <v>239</v>
      </c>
      <c r="F137" s="4">
        <v>19.027620299999999</v>
      </c>
      <c r="G137">
        <v>72.855041499999999</v>
      </c>
      <c r="H137"/>
    </row>
    <row r="138" spans="1:8">
      <c r="A138" t="s">
        <v>207</v>
      </c>
      <c r="B138" t="s">
        <v>240</v>
      </c>
      <c r="C138" s="4">
        <v>4.0999999999999996</v>
      </c>
      <c r="D138" s="4">
        <v>583</v>
      </c>
      <c r="E138" t="s">
        <v>241</v>
      </c>
      <c r="F138" s="4">
        <v>19.029471399999998</v>
      </c>
      <c r="G138">
        <v>72.840066399999998</v>
      </c>
      <c r="H138"/>
    </row>
    <row r="139" spans="1:8">
      <c r="A139" t="s">
        <v>207</v>
      </c>
      <c r="B139" t="s">
        <v>140</v>
      </c>
      <c r="C139" s="4">
        <v>3.9</v>
      </c>
      <c r="D139" s="4">
        <v>1392</v>
      </c>
      <c r="E139" t="s">
        <v>242</v>
      </c>
      <c r="F139" s="4">
        <v>19.0290097</v>
      </c>
      <c r="G139">
        <v>72.838479199999995</v>
      </c>
      <c r="H139"/>
    </row>
    <row r="140" spans="1:8">
      <c r="A140" t="s">
        <v>207</v>
      </c>
      <c r="B140" t="s">
        <v>48</v>
      </c>
      <c r="C140" s="4">
        <v>4.7</v>
      </c>
      <c r="D140" s="4">
        <v>1415</v>
      </c>
      <c r="E140" t="s">
        <v>243</v>
      </c>
      <c r="F140" s="4">
        <v>19.0408896</v>
      </c>
      <c r="G140">
        <v>72.846201800000003</v>
      </c>
      <c r="H140"/>
    </row>
    <row r="141" spans="1:8">
      <c r="A141" t="s">
        <v>207</v>
      </c>
      <c r="B141" t="s">
        <v>244</v>
      </c>
      <c r="C141" s="4">
        <v>4.5</v>
      </c>
      <c r="D141" s="4">
        <v>31</v>
      </c>
      <c r="E141" t="s">
        <v>245</v>
      </c>
      <c r="F141" s="4">
        <v>19.016371100000001</v>
      </c>
      <c r="G141">
        <v>72.830413399999998</v>
      </c>
      <c r="H141"/>
    </row>
    <row r="142" spans="1:8">
      <c r="A142" t="s">
        <v>207</v>
      </c>
      <c r="B142" t="s">
        <v>246</v>
      </c>
      <c r="C142" s="4">
        <v>4.4000000000000004</v>
      </c>
      <c r="D142" s="4">
        <v>5790</v>
      </c>
      <c r="E142" t="s">
        <v>247</v>
      </c>
      <c r="F142" s="4">
        <v>19.0390084</v>
      </c>
      <c r="G142">
        <v>72.842680099999995</v>
      </c>
      <c r="H142"/>
    </row>
    <row r="143" spans="1:8">
      <c r="A143" t="s">
        <v>207</v>
      </c>
      <c r="B143" t="s">
        <v>248</v>
      </c>
      <c r="C143" s="4">
        <v>4.8</v>
      </c>
      <c r="D143" s="4">
        <v>55</v>
      </c>
      <c r="E143" t="s">
        <v>249</v>
      </c>
      <c r="F143" s="4">
        <v>19.011507999999999</v>
      </c>
      <c r="G143">
        <v>72.846718499999994</v>
      </c>
      <c r="H143"/>
    </row>
    <row r="144" spans="1:8">
      <c r="A144" t="s">
        <v>207</v>
      </c>
      <c r="B144" t="s">
        <v>250</v>
      </c>
      <c r="C144" s="4">
        <v>4.2</v>
      </c>
      <c r="D144" s="4">
        <v>4162</v>
      </c>
      <c r="E144" t="s">
        <v>251</v>
      </c>
      <c r="F144" s="4">
        <v>19.031528699999999</v>
      </c>
      <c r="G144">
        <v>72.838803900000002</v>
      </c>
      <c r="H144"/>
    </row>
    <row r="145" spans="1:8">
      <c r="A145" t="s">
        <v>207</v>
      </c>
      <c r="B145" t="s">
        <v>252</v>
      </c>
      <c r="C145" s="4">
        <v>4.7</v>
      </c>
      <c r="D145" s="4">
        <v>38</v>
      </c>
      <c r="E145" t="s">
        <v>253</v>
      </c>
      <c r="F145" s="4">
        <v>19.026431500000001</v>
      </c>
      <c r="G145">
        <v>72.834798399999997</v>
      </c>
      <c r="H145"/>
    </row>
    <row r="146" spans="1:8">
      <c r="A146" t="s">
        <v>207</v>
      </c>
      <c r="B146" t="s">
        <v>254</v>
      </c>
      <c r="C146" s="4">
        <v>4.0999999999999996</v>
      </c>
      <c r="D146" s="4">
        <v>1093</v>
      </c>
      <c r="E146" t="s">
        <v>255</v>
      </c>
      <c r="F146" s="4">
        <v>19.029337300000002</v>
      </c>
      <c r="G146">
        <v>72.838066400000002</v>
      </c>
      <c r="H146"/>
    </row>
    <row r="147" spans="1:8">
      <c r="A147" t="s">
        <v>207</v>
      </c>
      <c r="B147" t="s">
        <v>256</v>
      </c>
      <c r="C147" s="4">
        <v>4.3</v>
      </c>
      <c r="D147" s="4">
        <v>251</v>
      </c>
      <c r="E147" t="s">
        <v>257</v>
      </c>
      <c r="F147" s="4">
        <v>19.0182802</v>
      </c>
      <c r="G147">
        <v>72.839340500000006</v>
      </c>
      <c r="H147"/>
    </row>
    <row r="148" spans="1:8">
      <c r="A148" t="s">
        <v>207</v>
      </c>
      <c r="B148" t="s">
        <v>258</v>
      </c>
      <c r="C148" s="4">
        <v>4.5999999999999996</v>
      </c>
      <c r="D148" s="4">
        <v>475</v>
      </c>
      <c r="E148" t="s">
        <v>259</v>
      </c>
      <c r="F148" s="4">
        <v>19.019210099999999</v>
      </c>
      <c r="G148">
        <v>72.837106399999996</v>
      </c>
      <c r="H148"/>
    </row>
    <row r="149" spans="1:8">
      <c r="A149" t="s">
        <v>207</v>
      </c>
      <c r="B149" t="s">
        <v>260</v>
      </c>
      <c r="C149" s="4">
        <v>4.4000000000000004</v>
      </c>
      <c r="D149" s="4">
        <v>611</v>
      </c>
      <c r="E149" t="s">
        <v>261</v>
      </c>
      <c r="F149" s="4">
        <v>19.000219999999999</v>
      </c>
      <c r="G149">
        <v>72.830248999999995</v>
      </c>
      <c r="H149"/>
    </row>
    <row r="150" spans="1:8">
      <c r="A150" t="s">
        <v>207</v>
      </c>
      <c r="B150" t="s">
        <v>262</v>
      </c>
      <c r="C150" s="4">
        <v>4.0999999999999996</v>
      </c>
      <c r="D150" s="4">
        <v>3936</v>
      </c>
      <c r="E150" t="s">
        <v>263</v>
      </c>
      <c r="F150" s="4">
        <v>19.016950900000001</v>
      </c>
      <c r="G150">
        <v>72.845926199999994</v>
      </c>
      <c r="H150"/>
    </row>
    <row r="151" spans="1:8">
      <c r="A151" t="s">
        <v>207</v>
      </c>
      <c r="B151" t="s">
        <v>264</v>
      </c>
      <c r="C151" s="4">
        <v>4</v>
      </c>
      <c r="D151" s="4">
        <v>1011</v>
      </c>
      <c r="E151" t="s">
        <v>265</v>
      </c>
      <c r="F151" s="4">
        <v>19.024792900000001</v>
      </c>
      <c r="G151">
        <v>72.841970899999893</v>
      </c>
      <c r="H151"/>
    </row>
    <row r="152" spans="1:8">
      <c r="A152" t="s">
        <v>207</v>
      </c>
      <c r="B152" t="s">
        <v>266</v>
      </c>
      <c r="C152" s="4">
        <v>3.9</v>
      </c>
      <c r="D152" s="4">
        <v>30</v>
      </c>
      <c r="E152" t="s">
        <v>267</v>
      </c>
      <c r="F152" s="4">
        <v>19.024669500000002</v>
      </c>
      <c r="G152">
        <v>72.842014199999994</v>
      </c>
      <c r="H152"/>
    </row>
    <row r="153" spans="1:8">
      <c r="A153" t="s">
        <v>207</v>
      </c>
      <c r="B153" t="s">
        <v>176</v>
      </c>
      <c r="C153" s="4">
        <v>4.2</v>
      </c>
      <c r="D153" s="4">
        <v>1675</v>
      </c>
      <c r="E153" t="s">
        <v>268</v>
      </c>
      <c r="F153" s="4">
        <v>19.005612599999999</v>
      </c>
      <c r="G153">
        <v>72.831034599999995</v>
      </c>
      <c r="H153"/>
    </row>
    <row r="154" spans="1:8">
      <c r="A154" t="s">
        <v>207</v>
      </c>
      <c r="B154" t="s">
        <v>269</v>
      </c>
      <c r="C154" s="4">
        <v>3.9</v>
      </c>
      <c r="D154" s="4">
        <v>3574</v>
      </c>
      <c r="E154" t="s">
        <v>270</v>
      </c>
      <c r="F154" s="4">
        <v>19.024196</v>
      </c>
      <c r="G154">
        <v>72.837619000000004</v>
      </c>
      <c r="H154"/>
    </row>
    <row r="155" spans="1:8">
      <c r="A155" t="s">
        <v>207</v>
      </c>
      <c r="B155" t="s">
        <v>271</v>
      </c>
      <c r="C155" s="4">
        <v>4.7</v>
      </c>
      <c r="D155" s="4">
        <v>25</v>
      </c>
      <c r="E155" t="s">
        <v>272</v>
      </c>
      <c r="F155" s="4">
        <v>19.019376600000001</v>
      </c>
      <c r="G155">
        <v>72.836246000000003</v>
      </c>
      <c r="H155"/>
    </row>
    <row r="156" spans="1:8">
      <c r="A156" t="s">
        <v>207</v>
      </c>
      <c r="B156" t="s">
        <v>273</v>
      </c>
      <c r="C156" s="4">
        <v>4.4000000000000004</v>
      </c>
      <c r="D156" s="4">
        <v>154</v>
      </c>
      <c r="E156" t="s">
        <v>274</v>
      </c>
      <c r="F156" s="4">
        <v>19.027432699999999</v>
      </c>
      <c r="G156">
        <v>72.857090900000003</v>
      </c>
      <c r="H156"/>
    </row>
    <row r="157" spans="1:8">
      <c r="A157" t="s">
        <v>207</v>
      </c>
      <c r="B157" t="s">
        <v>275</v>
      </c>
      <c r="C157" s="4">
        <v>4.4000000000000004</v>
      </c>
      <c r="D157" s="4">
        <v>258</v>
      </c>
      <c r="E157" t="s">
        <v>276</v>
      </c>
      <c r="F157" s="4">
        <v>19.0012553</v>
      </c>
      <c r="G157">
        <v>72.829367599999998</v>
      </c>
      <c r="H157"/>
    </row>
    <row r="158" spans="1:8">
      <c r="A158" t="s">
        <v>207</v>
      </c>
      <c r="B158" t="s">
        <v>277</v>
      </c>
      <c r="C158" s="4">
        <v>4.5999999999999996</v>
      </c>
      <c r="D158" s="4">
        <v>62</v>
      </c>
      <c r="E158" t="s">
        <v>278</v>
      </c>
      <c r="F158" s="4">
        <v>19.023062100000001</v>
      </c>
      <c r="G158">
        <v>72.849080499999999</v>
      </c>
      <c r="H158"/>
    </row>
    <row r="159" spans="1:8">
      <c r="A159" t="s">
        <v>207</v>
      </c>
      <c r="B159" t="s">
        <v>279</v>
      </c>
      <c r="C159" s="4">
        <v>4.4000000000000004</v>
      </c>
      <c r="D159" s="4">
        <v>176</v>
      </c>
      <c r="E159" t="s">
        <v>280</v>
      </c>
      <c r="F159" s="4">
        <v>19.0019192</v>
      </c>
      <c r="G159">
        <v>72.829302499999997</v>
      </c>
      <c r="H159"/>
    </row>
    <row r="160" spans="1:8">
      <c r="A160" t="s">
        <v>207</v>
      </c>
      <c r="B160" t="s">
        <v>281</v>
      </c>
      <c r="C160" s="4">
        <v>4.0999999999999996</v>
      </c>
      <c r="D160" s="4">
        <v>2470</v>
      </c>
      <c r="E160" t="s">
        <v>282</v>
      </c>
      <c r="F160" s="4">
        <v>19.0241069</v>
      </c>
      <c r="G160">
        <v>72.837660999999997</v>
      </c>
      <c r="H160"/>
    </row>
    <row r="161" spans="1:8">
      <c r="A161" t="s">
        <v>207</v>
      </c>
      <c r="B161" t="s">
        <v>283</v>
      </c>
      <c r="C161" s="4">
        <v>4.4000000000000004</v>
      </c>
      <c r="D161" s="4">
        <v>3727</v>
      </c>
      <c r="E161" t="s">
        <v>284</v>
      </c>
      <c r="F161" s="4">
        <v>19.0256738</v>
      </c>
      <c r="G161">
        <v>72.835225299999905</v>
      </c>
      <c r="H161"/>
    </row>
    <row r="162" spans="1:8">
      <c r="A162" t="s">
        <v>207</v>
      </c>
      <c r="B162" t="s">
        <v>123</v>
      </c>
      <c r="C162" s="4">
        <v>4.3</v>
      </c>
      <c r="D162" s="4">
        <v>2352</v>
      </c>
      <c r="E162" t="s">
        <v>285</v>
      </c>
      <c r="F162" s="4">
        <v>19.012695999999998</v>
      </c>
      <c r="G162">
        <v>72.823788999999906</v>
      </c>
      <c r="H162"/>
    </row>
    <row r="163" spans="1:8">
      <c r="A163" t="s">
        <v>207</v>
      </c>
      <c r="B163" t="s">
        <v>286</v>
      </c>
      <c r="C163" s="4">
        <v>4.5999999999999996</v>
      </c>
      <c r="D163" s="4">
        <v>287</v>
      </c>
      <c r="E163" t="s">
        <v>287</v>
      </c>
      <c r="F163" s="4">
        <v>19.0067083</v>
      </c>
      <c r="G163">
        <v>72.832725499999995</v>
      </c>
      <c r="H163"/>
    </row>
    <row r="164" spans="1:8">
      <c r="A164" t="s">
        <v>207</v>
      </c>
      <c r="B164" t="s">
        <v>288</v>
      </c>
      <c r="C164" s="4">
        <v>4.2</v>
      </c>
      <c r="D164" s="4">
        <v>505</v>
      </c>
      <c r="E164" t="s">
        <v>289</v>
      </c>
      <c r="F164" s="4">
        <v>19.025401299999999</v>
      </c>
      <c r="G164">
        <v>72.839640500000002</v>
      </c>
      <c r="H164"/>
    </row>
    <row r="165" spans="1:8">
      <c r="A165" t="s">
        <v>207</v>
      </c>
      <c r="B165" t="s">
        <v>123</v>
      </c>
      <c r="C165" s="4">
        <v>4.4000000000000004</v>
      </c>
      <c r="D165" s="4">
        <v>724</v>
      </c>
      <c r="E165" t="s">
        <v>290</v>
      </c>
      <c r="F165" s="4">
        <v>19.025138599999998</v>
      </c>
      <c r="G165">
        <v>72.835923600000001</v>
      </c>
      <c r="H165"/>
    </row>
    <row r="166" spans="1:8">
      <c r="A166" t="s">
        <v>207</v>
      </c>
      <c r="B166" t="s">
        <v>291</v>
      </c>
      <c r="C166" s="4">
        <v>4.2</v>
      </c>
      <c r="D166" s="4">
        <v>188</v>
      </c>
      <c r="E166" t="s">
        <v>292</v>
      </c>
      <c r="F166" s="4">
        <v>19.010125800000001</v>
      </c>
      <c r="G166">
        <v>72.842715099999893</v>
      </c>
      <c r="H166"/>
    </row>
    <row r="167" spans="1:8">
      <c r="A167" t="s">
        <v>207</v>
      </c>
      <c r="B167" t="s">
        <v>293</v>
      </c>
      <c r="C167" s="4">
        <v>4.3</v>
      </c>
      <c r="D167" s="4">
        <v>1817</v>
      </c>
      <c r="E167" t="s">
        <v>294</v>
      </c>
      <c r="F167" s="4">
        <v>19.0272942</v>
      </c>
      <c r="G167">
        <v>72.854620299999993</v>
      </c>
      <c r="H167"/>
    </row>
    <row r="168" spans="1:8">
      <c r="A168" t="s">
        <v>207</v>
      </c>
      <c r="B168" t="s">
        <v>295</v>
      </c>
      <c r="C168" s="4">
        <v>4.5</v>
      </c>
      <c r="D168" s="4">
        <v>257</v>
      </c>
      <c r="E168" t="s">
        <v>296</v>
      </c>
      <c r="F168" s="4">
        <v>18.992530299999999</v>
      </c>
      <c r="G168">
        <v>72.831305799999996</v>
      </c>
      <c r="H168"/>
    </row>
    <row r="169" spans="1:8">
      <c r="A169" t="s">
        <v>207</v>
      </c>
      <c r="B169" t="s">
        <v>297</v>
      </c>
      <c r="C169" s="4">
        <v>4.3</v>
      </c>
      <c r="D169" s="4">
        <v>675</v>
      </c>
      <c r="E169" t="s">
        <v>298</v>
      </c>
      <c r="F169" s="4">
        <v>19.026518599999999</v>
      </c>
      <c r="G169">
        <v>72.856184499999998</v>
      </c>
      <c r="H169"/>
    </row>
    <row r="170" spans="1:8">
      <c r="A170" t="s">
        <v>207</v>
      </c>
      <c r="B170" t="s">
        <v>299</v>
      </c>
      <c r="C170" s="4">
        <v>4.9000000000000004</v>
      </c>
      <c r="D170" s="4">
        <v>12</v>
      </c>
      <c r="E170" t="s">
        <v>300</v>
      </c>
      <c r="F170" s="4">
        <v>19.014835399999999</v>
      </c>
      <c r="G170">
        <v>72.832108399999996</v>
      </c>
      <c r="H170"/>
    </row>
    <row r="171" spans="1:8">
      <c r="A171" t="s">
        <v>207</v>
      </c>
      <c r="B171" t="s">
        <v>301</v>
      </c>
      <c r="C171" s="4">
        <v>4.7</v>
      </c>
      <c r="D171" s="4">
        <v>215</v>
      </c>
      <c r="E171" t="s">
        <v>302</v>
      </c>
      <c r="F171" s="4">
        <v>19.030428100000002</v>
      </c>
      <c r="G171">
        <v>72.838623600000005</v>
      </c>
      <c r="H171"/>
    </row>
    <row r="172" spans="1:8">
      <c r="A172" t="s">
        <v>207</v>
      </c>
      <c r="B172" t="s">
        <v>303</v>
      </c>
      <c r="C172" s="4">
        <v>3.9</v>
      </c>
      <c r="D172" s="4">
        <v>511</v>
      </c>
      <c r="E172" t="s">
        <v>304</v>
      </c>
      <c r="F172" s="4">
        <v>19.011612899999999</v>
      </c>
      <c r="G172">
        <v>72.843729499999995</v>
      </c>
      <c r="H172"/>
    </row>
    <row r="173" spans="1:8">
      <c r="A173" t="s">
        <v>207</v>
      </c>
      <c r="B173" t="s">
        <v>305</v>
      </c>
      <c r="C173" s="4">
        <v>3.5</v>
      </c>
      <c r="D173" s="4">
        <v>3943</v>
      </c>
      <c r="E173" t="s">
        <v>306</v>
      </c>
      <c r="F173" s="4">
        <v>19.026073400000001</v>
      </c>
      <c r="G173">
        <v>72.854984599999995</v>
      </c>
      <c r="H173"/>
    </row>
    <row r="174" spans="1:8">
      <c r="A174" t="s">
        <v>207</v>
      </c>
      <c r="B174" t="s">
        <v>307</v>
      </c>
      <c r="C174" s="4">
        <v>4.8</v>
      </c>
      <c r="D174" s="4">
        <v>145</v>
      </c>
      <c r="E174" t="s">
        <v>308</v>
      </c>
      <c r="F174" s="4">
        <v>19.0276757</v>
      </c>
      <c r="G174">
        <v>72.851663000000002</v>
      </c>
      <c r="H174"/>
    </row>
    <row r="175" spans="1:8">
      <c r="A175" t="s">
        <v>207</v>
      </c>
      <c r="B175" t="s">
        <v>309</v>
      </c>
      <c r="C175" s="4">
        <v>3.9</v>
      </c>
      <c r="D175" s="4">
        <v>90</v>
      </c>
      <c r="E175" t="s">
        <v>310</v>
      </c>
      <c r="F175" s="4">
        <v>19.025843699999999</v>
      </c>
      <c r="G175">
        <v>72.835785200000004</v>
      </c>
      <c r="H175"/>
    </row>
    <row r="176" spans="1:8">
      <c r="A176" t="s">
        <v>207</v>
      </c>
      <c r="B176" t="s">
        <v>311</v>
      </c>
      <c r="C176" s="4">
        <v>4.3</v>
      </c>
      <c r="D176" s="4">
        <v>7730</v>
      </c>
      <c r="E176" t="s">
        <v>312</v>
      </c>
      <c r="F176" s="4">
        <v>19.023957800000002</v>
      </c>
      <c r="G176">
        <v>72.837996700000005</v>
      </c>
      <c r="H176"/>
    </row>
    <row r="177" spans="1:8">
      <c r="A177" t="s">
        <v>207</v>
      </c>
      <c r="B177" t="s">
        <v>313</v>
      </c>
      <c r="C177" s="4">
        <v>4.2</v>
      </c>
      <c r="D177" s="4">
        <v>5086</v>
      </c>
      <c r="E177" t="s">
        <v>314</v>
      </c>
      <c r="F177" s="4">
        <v>19.0276064</v>
      </c>
      <c r="G177">
        <v>72.855504400000001</v>
      </c>
      <c r="H177"/>
    </row>
    <row r="178" spans="1:8">
      <c r="A178" t="s">
        <v>207</v>
      </c>
      <c r="B178" t="s">
        <v>315</v>
      </c>
      <c r="C178" s="4">
        <v>4.0999999999999996</v>
      </c>
      <c r="D178" s="4">
        <v>810</v>
      </c>
      <c r="E178" t="s">
        <v>316</v>
      </c>
      <c r="F178" s="4">
        <v>19.018442</v>
      </c>
      <c r="G178">
        <v>72.856666899999993</v>
      </c>
      <c r="H178"/>
    </row>
    <row r="179" spans="1:8">
      <c r="A179" t="s">
        <v>207</v>
      </c>
      <c r="B179" t="s">
        <v>123</v>
      </c>
      <c r="C179" s="4">
        <v>4.4000000000000004</v>
      </c>
      <c r="D179" s="4">
        <v>789</v>
      </c>
      <c r="E179" t="s">
        <v>317</v>
      </c>
      <c r="F179" s="4">
        <v>19.010279499999999</v>
      </c>
      <c r="G179">
        <v>72.835153300000002</v>
      </c>
      <c r="H179"/>
    </row>
    <row r="180" spans="1:8">
      <c r="A180" t="s">
        <v>207</v>
      </c>
      <c r="B180" t="s">
        <v>318</v>
      </c>
      <c r="C180" s="4">
        <v>4.9000000000000004</v>
      </c>
      <c r="D180" s="4">
        <v>18</v>
      </c>
      <c r="E180" t="s">
        <v>319</v>
      </c>
      <c r="F180" s="4">
        <v>19.024987100000001</v>
      </c>
      <c r="G180">
        <v>72.841512299999906</v>
      </c>
      <c r="H180"/>
    </row>
    <row r="181" spans="1:8">
      <c r="A181" t="s">
        <v>207</v>
      </c>
      <c r="B181" t="s">
        <v>320</v>
      </c>
      <c r="C181" s="4">
        <v>4.2</v>
      </c>
      <c r="D181" s="4">
        <v>64</v>
      </c>
      <c r="E181" t="s">
        <v>321</v>
      </c>
      <c r="F181" s="4">
        <v>19.031223099999998</v>
      </c>
      <c r="G181">
        <v>72.838468699999893</v>
      </c>
      <c r="H181"/>
    </row>
    <row r="182" spans="1:8">
      <c r="A182" t="s">
        <v>322</v>
      </c>
      <c r="B182" t="s">
        <v>323</v>
      </c>
      <c r="C182" s="4">
        <v>3.9</v>
      </c>
      <c r="D182" s="4">
        <v>3213</v>
      </c>
      <c r="E182" t="s">
        <v>324</v>
      </c>
      <c r="F182" s="4">
        <v>18.994295600000001</v>
      </c>
      <c r="G182">
        <v>72.814949499999997</v>
      </c>
      <c r="H182"/>
    </row>
    <row r="183" spans="1:8">
      <c r="A183" t="s">
        <v>322</v>
      </c>
      <c r="B183" t="s">
        <v>325</v>
      </c>
      <c r="C183" s="4">
        <v>4.2</v>
      </c>
      <c r="D183" s="4">
        <v>206</v>
      </c>
      <c r="E183" t="s">
        <v>326</v>
      </c>
      <c r="F183" s="4">
        <v>19.0023096</v>
      </c>
      <c r="G183">
        <v>72.827494099999996</v>
      </c>
      <c r="H183"/>
    </row>
    <row r="184" spans="1:8">
      <c r="A184" t="s">
        <v>322</v>
      </c>
      <c r="B184" t="s">
        <v>327</v>
      </c>
      <c r="C184" s="4">
        <v>4.0999999999999996</v>
      </c>
      <c r="D184" s="4">
        <v>142</v>
      </c>
      <c r="E184" t="s">
        <v>328</v>
      </c>
      <c r="F184" s="4">
        <v>19.0014295</v>
      </c>
      <c r="G184">
        <v>72.8149327</v>
      </c>
      <c r="H184"/>
    </row>
    <row r="185" spans="1:8">
      <c r="A185" t="s">
        <v>322</v>
      </c>
      <c r="B185" t="s">
        <v>329</v>
      </c>
      <c r="C185" s="4">
        <v>4.9000000000000004</v>
      </c>
      <c r="D185" s="4">
        <v>109</v>
      </c>
      <c r="E185" t="s">
        <v>330</v>
      </c>
      <c r="F185" s="4">
        <v>19.012579299999999</v>
      </c>
      <c r="G185">
        <v>72.821957400000002</v>
      </c>
      <c r="H185"/>
    </row>
    <row r="186" spans="1:8">
      <c r="A186" t="s">
        <v>322</v>
      </c>
      <c r="B186" t="s">
        <v>176</v>
      </c>
      <c r="C186" s="4">
        <v>4.2</v>
      </c>
      <c r="D186" s="4">
        <v>1675</v>
      </c>
      <c r="E186" t="s">
        <v>268</v>
      </c>
      <c r="F186" s="4">
        <v>19.005612599999999</v>
      </c>
      <c r="G186">
        <v>72.831034599999995</v>
      </c>
      <c r="H186"/>
    </row>
    <row r="187" spans="1:8">
      <c r="A187" t="s">
        <v>322</v>
      </c>
      <c r="B187" t="s">
        <v>331</v>
      </c>
      <c r="C187" s="4">
        <v>4.5999999999999996</v>
      </c>
      <c r="D187" s="4">
        <v>385</v>
      </c>
      <c r="E187" t="s">
        <v>332</v>
      </c>
      <c r="F187" s="4">
        <v>18.988186500000001</v>
      </c>
      <c r="G187">
        <v>72.824329599999999</v>
      </c>
      <c r="H187"/>
    </row>
    <row r="188" spans="1:8">
      <c r="A188" t="s">
        <v>322</v>
      </c>
      <c r="B188" t="s">
        <v>123</v>
      </c>
      <c r="C188" s="4">
        <v>4.3</v>
      </c>
      <c r="D188" s="4">
        <v>2352</v>
      </c>
      <c r="E188" t="s">
        <v>285</v>
      </c>
      <c r="F188" s="4">
        <v>19.012695999999998</v>
      </c>
      <c r="G188">
        <v>72.823788999999906</v>
      </c>
      <c r="H188"/>
    </row>
    <row r="189" spans="1:8">
      <c r="A189" t="s">
        <v>322</v>
      </c>
      <c r="B189" t="s">
        <v>333</v>
      </c>
      <c r="C189" s="4">
        <v>4.9000000000000004</v>
      </c>
      <c r="D189" s="4">
        <v>58</v>
      </c>
      <c r="E189" t="s">
        <v>334</v>
      </c>
      <c r="F189" s="4">
        <v>18.995413599999999</v>
      </c>
      <c r="G189">
        <v>72.822766599999994</v>
      </c>
      <c r="H189"/>
    </row>
    <row r="190" spans="1:8">
      <c r="A190" t="s">
        <v>322</v>
      </c>
      <c r="B190" t="s">
        <v>222</v>
      </c>
      <c r="C190" s="4">
        <v>4.3</v>
      </c>
      <c r="D190" s="4">
        <v>2687</v>
      </c>
      <c r="E190" t="s">
        <v>223</v>
      </c>
      <c r="F190" s="4">
        <v>19.006262400000001</v>
      </c>
      <c r="G190">
        <v>72.840791799999906</v>
      </c>
      <c r="H190"/>
    </row>
    <row r="191" spans="1:8">
      <c r="A191" t="s">
        <v>322</v>
      </c>
      <c r="B191" t="s">
        <v>260</v>
      </c>
      <c r="C191" s="4">
        <v>4.4000000000000004</v>
      </c>
      <c r="D191" s="4">
        <v>611</v>
      </c>
      <c r="E191" t="s">
        <v>261</v>
      </c>
      <c r="F191" s="4">
        <v>19.000219999999999</v>
      </c>
      <c r="G191">
        <v>72.830248999999995</v>
      </c>
      <c r="H191"/>
    </row>
    <row r="192" spans="1:8">
      <c r="A192" t="s">
        <v>322</v>
      </c>
      <c r="B192" t="s">
        <v>275</v>
      </c>
      <c r="C192" s="4">
        <v>4.4000000000000004</v>
      </c>
      <c r="D192" s="4">
        <v>258</v>
      </c>
      <c r="E192" t="s">
        <v>276</v>
      </c>
      <c r="F192" s="4">
        <v>19.0012553</v>
      </c>
      <c r="G192">
        <v>72.829367599999998</v>
      </c>
      <c r="H192"/>
    </row>
    <row r="193" spans="1:8">
      <c r="A193" t="s">
        <v>322</v>
      </c>
      <c r="B193" t="s">
        <v>335</v>
      </c>
      <c r="C193" s="4">
        <v>4.3</v>
      </c>
      <c r="D193" s="4">
        <v>190</v>
      </c>
      <c r="E193" t="s">
        <v>336</v>
      </c>
      <c r="F193" s="4">
        <v>19.006120200000002</v>
      </c>
      <c r="G193">
        <v>72.820299499999905</v>
      </c>
      <c r="H193"/>
    </row>
    <row r="194" spans="1:8">
      <c r="A194" t="s">
        <v>322</v>
      </c>
      <c r="B194" t="s">
        <v>337</v>
      </c>
      <c r="C194" s="4">
        <v>4.3</v>
      </c>
      <c r="D194" s="4">
        <v>7569</v>
      </c>
      <c r="E194" t="s">
        <v>338</v>
      </c>
      <c r="F194" s="4">
        <v>19.006134100000001</v>
      </c>
      <c r="G194">
        <v>72.827433299999996</v>
      </c>
      <c r="H194"/>
    </row>
    <row r="195" spans="1:8">
      <c r="A195" t="s">
        <v>322</v>
      </c>
      <c r="B195" t="s">
        <v>295</v>
      </c>
      <c r="C195" s="4">
        <v>4.5</v>
      </c>
      <c r="D195" s="4">
        <v>257</v>
      </c>
      <c r="E195" t="s">
        <v>296</v>
      </c>
      <c r="F195" s="4">
        <v>18.992530299999999</v>
      </c>
      <c r="G195">
        <v>72.831305799999996</v>
      </c>
      <c r="H195"/>
    </row>
    <row r="196" spans="1:8">
      <c r="A196" t="s">
        <v>322</v>
      </c>
      <c r="B196" t="s">
        <v>286</v>
      </c>
      <c r="C196" s="4">
        <v>4.5999999999999996</v>
      </c>
      <c r="D196" s="4">
        <v>287</v>
      </c>
      <c r="E196" t="s">
        <v>287</v>
      </c>
      <c r="F196" s="4">
        <v>19.0067083</v>
      </c>
      <c r="G196">
        <v>72.832725499999995</v>
      </c>
      <c r="H196"/>
    </row>
    <row r="197" spans="1:8">
      <c r="A197" t="s">
        <v>322</v>
      </c>
      <c r="B197" t="s">
        <v>339</v>
      </c>
      <c r="C197" s="4">
        <v>4.7</v>
      </c>
      <c r="D197" s="4">
        <v>6185</v>
      </c>
      <c r="E197" t="s">
        <v>340</v>
      </c>
      <c r="F197" s="4">
        <v>19.017247000000001</v>
      </c>
      <c r="G197">
        <v>72.817520999999999</v>
      </c>
      <c r="H197"/>
    </row>
    <row r="198" spans="1:8">
      <c r="A198" t="s">
        <v>322</v>
      </c>
      <c r="B198" t="s">
        <v>341</v>
      </c>
      <c r="C198" s="4">
        <v>4.4000000000000004</v>
      </c>
      <c r="D198" s="4">
        <v>2782</v>
      </c>
      <c r="E198" t="s">
        <v>342</v>
      </c>
      <c r="F198" s="4">
        <v>19.002952799999999</v>
      </c>
      <c r="G198">
        <v>72.828035</v>
      </c>
      <c r="H198"/>
    </row>
    <row r="199" spans="1:8">
      <c r="A199" t="s">
        <v>322</v>
      </c>
      <c r="B199" t="s">
        <v>279</v>
      </c>
      <c r="C199" s="4">
        <v>4.4000000000000004</v>
      </c>
      <c r="D199" s="4">
        <v>176</v>
      </c>
      <c r="E199" t="s">
        <v>280</v>
      </c>
      <c r="F199" s="4">
        <v>19.0019192</v>
      </c>
      <c r="G199">
        <v>72.829302499999997</v>
      </c>
      <c r="H199"/>
    </row>
    <row r="200" spans="1:8">
      <c r="A200" t="s">
        <v>322</v>
      </c>
      <c r="B200" t="s">
        <v>343</v>
      </c>
      <c r="C200" s="4">
        <v>4.4000000000000004</v>
      </c>
      <c r="D200" s="4">
        <v>162</v>
      </c>
      <c r="E200" t="s">
        <v>344</v>
      </c>
      <c r="F200" s="4">
        <v>18.990999800000001</v>
      </c>
      <c r="G200">
        <v>72.814403799999994</v>
      </c>
      <c r="H200"/>
    </row>
    <row r="201" spans="1:8">
      <c r="A201" t="s">
        <v>322</v>
      </c>
      <c r="B201" t="s">
        <v>226</v>
      </c>
      <c r="C201" s="4">
        <v>4.8</v>
      </c>
      <c r="D201" s="4">
        <v>325</v>
      </c>
      <c r="E201" t="s">
        <v>227</v>
      </c>
      <c r="F201" s="4">
        <v>19.011390599999999</v>
      </c>
      <c r="G201">
        <v>72.835269199999999</v>
      </c>
      <c r="H201"/>
    </row>
    <row r="202" spans="1:8">
      <c r="A202" t="s">
        <v>322</v>
      </c>
      <c r="B202" t="s">
        <v>345</v>
      </c>
      <c r="C202" s="4">
        <v>4.7</v>
      </c>
      <c r="D202" s="4">
        <v>12</v>
      </c>
      <c r="E202" t="s">
        <v>346</v>
      </c>
      <c r="F202" s="4">
        <v>19.016840800000001</v>
      </c>
      <c r="G202">
        <v>72.820503700000003</v>
      </c>
      <c r="H202"/>
    </row>
    <row r="203" spans="1:8">
      <c r="A203" t="s">
        <v>322</v>
      </c>
      <c r="B203" t="s">
        <v>347</v>
      </c>
      <c r="C203" s="4">
        <v>4.4000000000000004</v>
      </c>
      <c r="D203" s="4">
        <v>6031</v>
      </c>
      <c r="E203" t="s">
        <v>348</v>
      </c>
      <c r="F203" s="4">
        <v>19.005868199999998</v>
      </c>
      <c r="G203">
        <v>72.826654599999998</v>
      </c>
      <c r="H203"/>
    </row>
    <row r="204" spans="1:8">
      <c r="A204" t="s">
        <v>322</v>
      </c>
      <c r="B204" t="s">
        <v>349</v>
      </c>
      <c r="C204" s="4">
        <v>4.3</v>
      </c>
      <c r="D204" s="4">
        <v>5072</v>
      </c>
      <c r="E204" t="s">
        <v>350</v>
      </c>
      <c r="F204" s="4">
        <v>18.994710300000001</v>
      </c>
      <c r="G204">
        <v>72.824474199999997</v>
      </c>
      <c r="H204"/>
    </row>
    <row r="205" spans="1:8">
      <c r="A205" t="s">
        <v>322</v>
      </c>
      <c r="B205" t="s">
        <v>351</v>
      </c>
      <c r="C205" s="4">
        <v>3.8</v>
      </c>
      <c r="D205" s="4">
        <v>589</v>
      </c>
      <c r="E205" t="s">
        <v>352</v>
      </c>
      <c r="F205" s="4">
        <v>19.012530000000002</v>
      </c>
      <c r="G205">
        <v>72.822256099999905</v>
      </c>
      <c r="H205"/>
    </row>
    <row r="206" spans="1:8">
      <c r="A206" t="s">
        <v>322</v>
      </c>
      <c r="B206" t="s">
        <v>123</v>
      </c>
      <c r="C206" s="4">
        <v>4.5</v>
      </c>
      <c r="D206" s="4">
        <v>1547</v>
      </c>
      <c r="E206" t="s">
        <v>353</v>
      </c>
      <c r="F206" s="4">
        <v>19.005454400000001</v>
      </c>
      <c r="G206">
        <v>72.826074199999994</v>
      </c>
      <c r="H206"/>
    </row>
    <row r="207" spans="1:8">
      <c r="A207" t="s">
        <v>322</v>
      </c>
      <c r="B207" t="s">
        <v>354</v>
      </c>
      <c r="C207" s="4">
        <v>4.4000000000000004</v>
      </c>
      <c r="D207" s="4">
        <v>637</v>
      </c>
      <c r="E207" t="s">
        <v>355</v>
      </c>
      <c r="F207" s="4">
        <v>18.998222999999999</v>
      </c>
      <c r="G207">
        <v>72.824360999999996</v>
      </c>
      <c r="H207"/>
    </row>
    <row r="208" spans="1:8">
      <c r="A208" t="s">
        <v>322</v>
      </c>
      <c r="B208" t="s">
        <v>356</v>
      </c>
      <c r="C208" s="4">
        <v>4.5999999999999996</v>
      </c>
      <c r="D208" s="4">
        <v>120</v>
      </c>
      <c r="E208" t="s">
        <v>357</v>
      </c>
      <c r="F208" s="4">
        <v>18.998154899999999</v>
      </c>
      <c r="G208">
        <v>72.825471300000004</v>
      </c>
      <c r="H208"/>
    </row>
    <row r="209" spans="1:8">
      <c r="A209" t="s">
        <v>322</v>
      </c>
      <c r="B209" t="s">
        <v>214</v>
      </c>
      <c r="C209" s="4">
        <v>4.5999999999999996</v>
      </c>
      <c r="D209" s="4">
        <v>375</v>
      </c>
      <c r="E209" t="s">
        <v>215</v>
      </c>
      <c r="F209" s="4">
        <v>19.015682699999999</v>
      </c>
      <c r="G209">
        <v>72.837904899999998</v>
      </c>
      <c r="H209"/>
    </row>
    <row r="210" spans="1:8">
      <c r="A210" t="s">
        <v>322</v>
      </c>
      <c r="B210" t="s">
        <v>358</v>
      </c>
      <c r="C210" s="4">
        <v>4.3</v>
      </c>
      <c r="D210" s="4">
        <v>290</v>
      </c>
      <c r="E210" t="s">
        <v>359</v>
      </c>
      <c r="F210" s="4">
        <v>18.9947512</v>
      </c>
      <c r="G210">
        <v>72.824594099999999</v>
      </c>
      <c r="H210"/>
    </row>
    <row r="211" spans="1:8">
      <c r="A211" t="s">
        <v>322</v>
      </c>
      <c r="B211" t="s">
        <v>360</v>
      </c>
      <c r="C211" s="4">
        <v>4.2</v>
      </c>
      <c r="D211" s="4">
        <v>414</v>
      </c>
      <c r="E211" t="s">
        <v>361</v>
      </c>
      <c r="F211" s="4">
        <v>18.9927408</v>
      </c>
      <c r="G211">
        <v>72.822006199999905</v>
      </c>
      <c r="H211"/>
    </row>
    <row r="212" spans="1:8">
      <c r="A212" t="s">
        <v>322</v>
      </c>
      <c r="B212" t="s">
        <v>94</v>
      </c>
      <c r="C212" s="4">
        <v>4.4000000000000004</v>
      </c>
      <c r="D212" s="4">
        <v>507</v>
      </c>
      <c r="E212" t="s">
        <v>362</v>
      </c>
      <c r="F212" s="4">
        <v>18.9942125</v>
      </c>
      <c r="G212">
        <v>72.824110300000001</v>
      </c>
      <c r="H212"/>
    </row>
    <row r="213" spans="1:8">
      <c r="A213" t="s">
        <v>322</v>
      </c>
      <c r="B213" t="s">
        <v>208</v>
      </c>
      <c r="C213" s="4">
        <v>4.0999999999999996</v>
      </c>
      <c r="D213" s="4">
        <v>8457</v>
      </c>
      <c r="E213" t="s">
        <v>209</v>
      </c>
      <c r="F213" s="4">
        <v>19.0168049</v>
      </c>
      <c r="G213">
        <v>72.846186899999907</v>
      </c>
      <c r="H213"/>
    </row>
    <row r="214" spans="1:8">
      <c r="A214" t="s">
        <v>322</v>
      </c>
      <c r="B214" t="s">
        <v>190</v>
      </c>
      <c r="C214" s="4">
        <v>4.4000000000000004</v>
      </c>
      <c r="D214" s="4">
        <v>1081</v>
      </c>
      <c r="E214" t="s">
        <v>363</v>
      </c>
      <c r="F214" s="4">
        <v>19.0041689</v>
      </c>
      <c r="G214">
        <v>72.8275589</v>
      </c>
      <c r="H214"/>
    </row>
    <row r="215" spans="1:8">
      <c r="A215" t="s">
        <v>322</v>
      </c>
      <c r="B215" t="s">
        <v>364</v>
      </c>
      <c r="C215" s="4">
        <v>4.0999999999999996</v>
      </c>
      <c r="D215" s="4">
        <v>3322</v>
      </c>
      <c r="E215" t="s">
        <v>365</v>
      </c>
      <c r="F215" s="4">
        <v>18.994436400000001</v>
      </c>
      <c r="G215">
        <v>72.824665999999993</v>
      </c>
      <c r="H215"/>
    </row>
    <row r="216" spans="1:8">
      <c r="A216" t="s">
        <v>322</v>
      </c>
      <c r="B216" t="s">
        <v>366</v>
      </c>
      <c r="C216" s="4">
        <v>4.8</v>
      </c>
      <c r="D216" s="4">
        <v>46</v>
      </c>
      <c r="E216" t="s">
        <v>367</v>
      </c>
      <c r="F216" s="4">
        <v>19.006212999999999</v>
      </c>
      <c r="G216">
        <v>72.821799400000003</v>
      </c>
      <c r="H216"/>
    </row>
    <row r="217" spans="1:8">
      <c r="A217" t="s">
        <v>322</v>
      </c>
      <c r="B217" t="s">
        <v>368</v>
      </c>
      <c r="C217" s="4">
        <v>4.3</v>
      </c>
      <c r="D217" s="4">
        <v>6020</v>
      </c>
      <c r="E217" t="s">
        <v>369</v>
      </c>
      <c r="F217" s="4">
        <v>18.989159399999998</v>
      </c>
      <c r="G217">
        <v>72.814945699999996</v>
      </c>
      <c r="H217"/>
    </row>
    <row r="218" spans="1:8">
      <c r="A218" t="s">
        <v>322</v>
      </c>
      <c r="B218" t="s">
        <v>212</v>
      </c>
      <c r="C218" s="4">
        <v>4.2</v>
      </c>
      <c r="D218" s="4">
        <v>1898</v>
      </c>
      <c r="E218" t="s">
        <v>213</v>
      </c>
      <c r="F218" s="4">
        <v>19.028188100000001</v>
      </c>
      <c r="G218">
        <v>72.841099</v>
      </c>
      <c r="H218"/>
    </row>
    <row r="219" spans="1:8">
      <c r="A219" t="s">
        <v>322</v>
      </c>
      <c r="B219" t="s">
        <v>123</v>
      </c>
      <c r="C219" s="4">
        <v>4.3</v>
      </c>
      <c r="D219" s="4">
        <v>1526</v>
      </c>
      <c r="E219" t="s">
        <v>370</v>
      </c>
      <c r="F219" s="4">
        <v>18.991372800000001</v>
      </c>
      <c r="G219">
        <v>72.814237499999905</v>
      </c>
      <c r="H219"/>
    </row>
    <row r="220" spans="1:8">
      <c r="A220" t="s">
        <v>322</v>
      </c>
      <c r="B220" t="s">
        <v>250</v>
      </c>
      <c r="C220" s="4">
        <v>4.2</v>
      </c>
      <c r="D220" s="4">
        <v>4162</v>
      </c>
      <c r="E220" t="s">
        <v>251</v>
      </c>
      <c r="F220" s="4">
        <v>19.031528699999999</v>
      </c>
      <c r="G220">
        <v>72.838803900000002</v>
      </c>
      <c r="H220"/>
    </row>
    <row r="221" spans="1:8">
      <c r="A221" t="s">
        <v>322</v>
      </c>
      <c r="B221" t="s">
        <v>371</v>
      </c>
      <c r="C221" s="4">
        <v>4.5</v>
      </c>
      <c r="D221" s="4">
        <v>121</v>
      </c>
      <c r="E221" t="s">
        <v>372</v>
      </c>
      <c r="F221" s="4">
        <v>18.9893839</v>
      </c>
      <c r="G221">
        <v>72.834759599999998</v>
      </c>
      <c r="H221"/>
    </row>
    <row r="222" spans="1:8">
      <c r="A222" t="s">
        <v>322</v>
      </c>
      <c r="B222" t="s">
        <v>373</v>
      </c>
      <c r="C222" s="4">
        <v>4.5999999999999996</v>
      </c>
      <c r="D222" s="4">
        <v>48</v>
      </c>
      <c r="E222" t="s">
        <v>374</v>
      </c>
      <c r="F222" s="4">
        <v>19.003741300000002</v>
      </c>
      <c r="G222">
        <v>72.814806199999893</v>
      </c>
      <c r="H222"/>
    </row>
    <row r="223" spans="1:8">
      <c r="A223" t="s">
        <v>322</v>
      </c>
      <c r="B223" t="s">
        <v>375</v>
      </c>
      <c r="C223" s="4">
        <v>4.3</v>
      </c>
      <c r="D223" s="4">
        <v>17</v>
      </c>
      <c r="E223" t="s">
        <v>376</v>
      </c>
      <c r="F223" s="4">
        <v>18.988290500000002</v>
      </c>
      <c r="G223">
        <v>72.824456900000001</v>
      </c>
      <c r="H223"/>
    </row>
    <row r="224" spans="1:8">
      <c r="A224" t="s">
        <v>322</v>
      </c>
      <c r="B224" t="s">
        <v>377</v>
      </c>
      <c r="C224" s="4">
        <v>4.2</v>
      </c>
      <c r="D224" s="4">
        <v>102</v>
      </c>
      <c r="E224" t="s">
        <v>378</v>
      </c>
      <c r="F224" s="4">
        <v>18.987947900000002</v>
      </c>
      <c r="G224">
        <v>72.828720199999907</v>
      </c>
      <c r="H224"/>
    </row>
    <row r="225" spans="1:8">
      <c r="A225" t="s">
        <v>322</v>
      </c>
      <c r="B225" t="s">
        <v>379</v>
      </c>
      <c r="C225" s="4">
        <v>4.4000000000000004</v>
      </c>
      <c r="D225" s="4">
        <v>582</v>
      </c>
      <c r="E225" t="s">
        <v>380</v>
      </c>
      <c r="F225" s="4">
        <v>19.0490016</v>
      </c>
      <c r="G225">
        <v>72.823651999999996</v>
      </c>
      <c r="H225"/>
    </row>
    <row r="226" spans="1:8">
      <c r="A226" t="s">
        <v>322</v>
      </c>
      <c r="B226" t="s">
        <v>381</v>
      </c>
      <c r="C226" s="4">
        <v>3.8</v>
      </c>
      <c r="D226" s="4">
        <v>5</v>
      </c>
      <c r="E226" t="s">
        <v>382</v>
      </c>
      <c r="F226" s="4">
        <v>18.9886649</v>
      </c>
      <c r="G226">
        <v>72.815400999999994</v>
      </c>
      <c r="H226"/>
    </row>
    <row r="227" spans="1:8">
      <c r="A227" t="s">
        <v>322</v>
      </c>
      <c r="B227" t="s">
        <v>383</v>
      </c>
      <c r="C227" s="4">
        <v>3.9</v>
      </c>
      <c r="D227" s="4">
        <v>975</v>
      </c>
      <c r="E227" t="s">
        <v>384</v>
      </c>
      <c r="F227" s="4">
        <v>19.013422899999998</v>
      </c>
      <c r="G227">
        <v>72.827512099999893</v>
      </c>
      <c r="H227"/>
    </row>
    <row r="228" spans="1:8">
      <c r="A228" t="s">
        <v>322</v>
      </c>
      <c r="B228" t="s">
        <v>385</v>
      </c>
      <c r="C228" s="4">
        <v>4.3</v>
      </c>
      <c r="D228" s="4">
        <v>8397</v>
      </c>
      <c r="E228" t="s">
        <v>386</v>
      </c>
      <c r="F228" s="4">
        <v>18.9882861</v>
      </c>
      <c r="G228">
        <v>72.814170399999995</v>
      </c>
      <c r="H228"/>
    </row>
    <row r="229" spans="1:8">
      <c r="A229" t="s">
        <v>322</v>
      </c>
      <c r="B229" t="s">
        <v>387</v>
      </c>
      <c r="C229" s="4">
        <v>4.2</v>
      </c>
      <c r="D229" s="4">
        <v>11</v>
      </c>
      <c r="E229" t="s">
        <v>388</v>
      </c>
      <c r="F229" s="4">
        <v>18.985974299999999</v>
      </c>
      <c r="G229">
        <v>72.815636999999995</v>
      </c>
      <c r="H229"/>
    </row>
    <row r="230" spans="1:8">
      <c r="A230" t="s">
        <v>322</v>
      </c>
      <c r="B230" t="s">
        <v>389</v>
      </c>
      <c r="C230" s="4">
        <v>4.5</v>
      </c>
      <c r="D230" s="4">
        <v>37</v>
      </c>
      <c r="E230" t="s">
        <v>390</v>
      </c>
      <c r="F230" s="4">
        <v>18.993870099999999</v>
      </c>
      <c r="G230">
        <v>72.8241522</v>
      </c>
      <c r="H230"/>
    </row>
    <row r="231" spans="1:8">
      <c r="A231" t="s">
        <v>322</v>
      </c>
      <c r="B231" t="s">
        <v>391</v>
      </c>
      <c r="C231" s="4">
        <v>4.2</v>
      </c>
      <c r="D231" s="4">
        <v>5</v>
      </c>
      <c r="E231" t="s">
        <v>392</v>
      </c>
      <c r="F231" s="4">
        <v>18.9985103</v>
      </c>
      <c r="G231">
        <v>72.817853200000002</v>
      </c>
      <c r="H231"/>
    </row>
    <row r="232" spans="1:8">
      <c r="A232" t="s">
        <v>322</v>
      </c>
      <c r="B232" t="s">
        <v>393</v>
      </c>
      <c r="C232" s="4">
        <v>4.4000000000000004</v>
      </c>
      <c r="D232" s="4">
        <v>2739</v>
      </c>
      <c r="E232" t="s">
        <v>394</v>
      </c>
      <c r="F232" s="4">
        <v>18.993742399999999</v>
      </c>
      <c r="G232">
        <v>72.8202742</v>
      </c>
      <c r="H232"/>
    </row>
    <row r="233" spans="1:8">
      <c r="A233" t="s">
        <v>322</v>
      </c>
      <c r="B233" t="s">
        <v>395</v>
      </c>
      <c r="C233" s="4">
        <v>4.5</v>
      </c>
      <c r="D233" s="4">
        <v>71</v>
      </c>
      <c r="E233" t="s">
        <v>396</v>
      </c>
      <c r="F233" s="4">
        <v>18.9987897</v>
      </c>
      <c r="G233">
        <v>72.839302599999996</v>
      </c>
      <c r="H233"/>
    </row>
    <row r="234" spans="1:8">
      <c r="A234" t="s">
        <v>322</v>
      </c>
      <c r="B234" t="s">
        <v>397</v>
      </c>
      <c r="C234" s="4">
        <v>4.2</v>
      </c>
      <c r="D234" s="4">
        <v>853</v>
      </c>
      <c r="E234" t="s">
        <v>398</v>
      </c>
      <c r="F234" s="4">
        <v>19.002875400000001</v>
      </c>
      <c r="G234">
        <v>72.828747300000003</v>
      </c>
      <c r="H234"/>
    </row>
    <row r="235" spans="1:8">
      <c r="A235" t="s">
        <v>322</v>
      </c>
      <c r="B235" t="s">
        <v>123</v>
      </c>
      <c r="C235" s="4">
        <v>4.4000000000000004</v>
      </c>
      <c r="D235" s="4">
        <v>789</v>
      </c>
      <c r="E235" t="s">
        <v>317</v>
      </c>
      <c r="F235" s="4">
        <v>19.010279499999999</v>
      </c>
      <c r="G235">
        <v>72.835153300000002</v>
      </c>
      <c r="H235"/>
    </row>
    <row r="236" spans="1:8">
      <c r="A236" t="s">
        <v>322</v>
      </c>
      <c r="B236" t="s">
        <v>399</v>
      </c>
      <c r="C236" s="4">
        <v>4.5</v>
      </c>
      <c r="D236" s="4">
        <v>6</v>
      </c>
      <c r="E236" t="s">
        <v>400</v>
      </c>
      <c r="F236" s="4">
        <v>19.002970900000001</v>
      </c>
      <c r="G236">
        <v>72.822246399999997</v>
      </c>
      <c r="H236"/>
    </row>
    <row r="237" spans="1:8">
      <c r="A237" t="s">
        <v>322</v>
      </c>
      <c r="B237" t="s">
        <v>232</v>
      </c>
      <c r="C237" s="4">
        <v>4.5</v>
      </c>
      <c r="D237" s="4">
        <v>92</v>
      </c>
      <c r="E237" t="s">
        <v>233</v>
      </c>
      <c r="F237" s="4">
        <v>19.025475799999999</v>
      </c>
      <c r="G237">
        <v>72.835516999999996</v>
      </c>
      <c r="H237"/>
    </row>
    <row r="238" spans="1:8">
      <c r="A238" t="s">
        <v>322</v>
      </c>
      <c r="B238" t="s">
        <v>401</v>
      </c>
      <c r="C238" s="4">
        <v>4.0999999999999996</v>
      </c>
      <c r="D238" s="4">
        <v>96</v>
      </c>
      <c r="E238" t="s">
        <v>402</v>
      </c>
      <c r="F238" s="4">
        <v>19.0103735</v>
      </c>
      <c r="G238">
        <v>72.822487699999996</v>
      </c>
      <c r="H238"/>
    </row>
    <row r="239" spans="1:8">
      <c r="A239" t="s">
        <v>322</v>
      </c>
      <c r="B239" t="s">
        <v>403</v>
      </c>
      <c r="C239" s="4">
        <v>4.4000000000000004</v>
      </c>
      <c r="D239" s="4">
        <v>58</v>
      </c>
      <c r="E239" t="s">
        <v>404</v>
      </c>
      <c r="F239" s="4">
        <v>19.005611300000002</v>
      </c>
      <c r="G239">
        <v>72.827450599999906</v>
      </c>
      <c r="H239"/>
    </row>
    <row r="240" spans="1:8">
      <c r="A240" t="s">
        <v>322</v>
      </c>
      <c r="B240" t="s">
        <v>405</v>
      </c>
      <c r="C240" s="4">
        <v>4.3</v>
      </c>
      <c r="D240" s="4">
        <v>3054</v>
      </c>
      <c r="E240" t="s">
        <v>406</v>
      </c>
      <c r="F240" s="4">
        <v>19.0025054</v>
      </c>
      <c r="G240">
        <v>72.8294298</v>
      </c>
      <c r="H240"/>
    </row>
    <row r="241" spans="1:8">
      <c r="A241" t="s">
        <v>322</v>
      </c>
      <c r="B241" t="s">
        <v>407</v>
      </c>
      <c r="C241" s="4">
        <v>4.3</v>
      </c>
      <c r="D241" s="4">
        <v>298</v>
      </c>
      <c r="E241" t="s">
        <v>408</v>
      </c>
      <c r="F241" s="4">
        <v>18.994718299999999</v>
      </c>
      <c r="G241">
        <v>72.825195800000003</v>
      </c>
      <c r="H241"/>
    </row>
    <row r="242" spans="1:8">
      <c r="A242" t="s">
        <v>409</v>
      </c>
      <c r="B242" t="s">
        <v>410</v>
      </c>
      <c r="C242" s="4">
        <v>4.5</v>
      </c>
      <c r="D242" s="4">
        <v>3809</v>
      </c>
      <c r="E242" t="s">
        <v>411</v>
      </c>
      <c r="F242" s="4">
        <v>19.060597900000001</v>
      </c>
      <c r="G242">
        <v>72.824389999999994</v>
      </c>
      <c r="H242"/>
    </row>
    <row r="243" spans="1:8">
      <c r="A243" t="s">
        <v>409</v>
      </c>
      <c r="B243" t="s">
        <v>412</v>
      </c>
      <c r="C243" s="4">
        <v>4.4000000000000004</v>
      </c>
      <c r="D243" s="4">
        <v>2007</v>
      </c>
      <c r="E243" t="s">
        <v>413</v>
      </c>
      <c r="F243" s="4">
        <v>19.062201999999999</v>
      </c>
      <c r="G243">
        <v>72.829388799999904</v>
      </c>
      <c r="H243"/>
    </row>
    <row r="244" spans="1:8">
      <c r="A244" t="s">
        <v>409</v>
      </c>
      <c r="B244" t="s">
        <v>414</v>
      </c>
      <c r="C244" s="4">
        <v>4.3</v>
      </c>
      <c r="D244" s="4">
        <v>17088</v>
      </c>
      <c r="E244" t="s">
        <v>415</v>
      </c>
      <c r="F244" s="4">
        <v>19.061086599999999</v>
      </c>
      <c r="G244">
        <v>72.8266907</v>
      </c>
      <c r="H244"/>
    </row>
    <row r="245" spans="1:8">
      <c r="A245" t="s">
        <v>409</v>
      </c>
      <c r="B245" t="s">
        <v>416</v>
      </c>
      <c r="C245" s="4">
        <v>4.4000000000000004</v>
      </c>
      <c r="D245" s="4">
        <v>1445</v>
      </c>
      <c r="E245" t="s">
        <v>417</v>
      </c>
      <c r="F245" s="4">
        <v>19.059071400000001</v>
      </c>
      <c r="G245">
        <v>72.834037999999893</v>
      </c>
      <c r="H245"/>
    </row>
    <row r="246" spans="1:8">
      <c r="A246" t="s">
        <v>409</v>
      </c>
      <c r="B246" t="s">
        <v>418</v>
      </c>
      <c r="C246" s="4">
        <v>4.2</v>
      </c>
      <c r="D246" s="4">
        <v>3019</v>
      </c>
      <c r="E246" t="s">
        <v>419</v>
      </c>
      <c r="F246" s="4">
        <v>19.0632296</v>
      </c>
      <c r="G246">
        <v>72.834758499999893</v>
      </c>
      <c r="H246"/>
    </row>
    <row r="247" spans="1:8">
      <c r="A247" t="s">
        <v>409</v>
      </c>
      <c r="B247" t="s">
        <v>420</v>
      </c>
      <c r="C247" s="4">
        <v>4</v>
      </c>
      <c r="D247" s="4">
        <v>4246</v>
      </c>
      <c r="E247" t="s">
        <v>421</v>
      </c>
      <c r="F247" s="4">
        <v>19.055782199999999</v>
      </c>
      <c r="G247">
        <v>72.834012799999996</v>
      </c>
      <c r="H247"/>
    </row>
    <row r="248" spans="1:8">
      <c r="A248" t="s">
        <v>409</v>
      </c>
      <c r="B248" t="s">
        <v>422</v>
      </c>
      <c r="C248" s="4">
        <v>4.4000000000000004</v>
      </c>
      <c r="D248" s="4">
        <v>1420</v>
      </c>
      <c r="E248" t="s">
        <v>423</v>
      </c>
      <c r="F248" s="4">
        <v>19.060407699999999</v>
      </c>
      <c r="G248">
        <v>72.824325999999999</v>
      </c>
      <c r="H248"/>
    </row>
    <row r="249" spans="1:8">
      <c r="A249" t="s">
        <v>409</v>
      </c>
      <c r="B249" t="s">
        <v>424</v>
      </c>
      <c r="C249" s="4">
        <v>4.2</v>
      </c>
      <c r="D249" s="4">
        <v>967</v>
      </c>
      <c r="E249" t="s">
        <v>425</v>
      </c>
      <c r="F249" s="4">
        <v>19.062470900000001</v>
      </c>
      <c r="G249">
        <v>72.8310496</v>
      </c>
      <c r="H249"/>
    </row>
    <row r="250" spans="1:8">
      <c r="A250" t="s">
        <v>409</v>
      </c>
      <c r="B250" t="s">
        <v>426</v>
      </c>
      <c r="C250" s="4">
        <v>4.4000000000000004</v>
      </c>
      <c r="D250" s="4">
        <v>2390</v>
      </c>
      <c r="E250" t="s">
        <v>427</v>
      </c>
      <c r="F250" s="4">
        <v>19.0573519</v>
      </c>
      <c r="G250">
        <v>72.827677399999999</v>
      </c>
      <c r="H250"/>
    </row>
    <row r="251" spans="1:8">
      <c r="A251" t="s">
        <v>409</v>
      </c>
      <c r="B251" t="s">
        <v>428</v>
      </c>
      <c r="C251" s="4">
        <v>4.3</v>
      </c>
      <c r="D251" s="4">
        <v>1546</v>
      </c>
      <c r="E251" t="s">
        <v>429</v>
      </c>
      <c r="F251" s="4">
        <v>19.062742799999999</v>
      </c>
      <c r="G251">
        <v>72.834511699999993</v>
      </c>
      <c r="H251"/>
    </row>
    <row r="252" spans="1:8">
      <c r="A252" t="s">
        <v>409</v>
      </c>
      <c r="B252" t="s">
        <v>430</v>
      </c>
      <c r="C252" s="4">
        <v>4.4000000000000004</v>
      </c>
      <c r="D252" s="4">
        <v>2417</v>
      </c>
      <c r="E252" t="s">
        <v>431</v>
      </c>
      <c r="F252" s="4">
        <v>19.059307100000002</v>
      </c>
      <c r="G252">
        <v>72.828907399999906</v>
      </c>
      <c r="H252"/>
    </row>
    <row r="253" spans="1:8">
      <c r="A253" t="s">
        <v>409</v>
      </c>
      <c r="B253" t="s">
        <v>432</v>
      </c>
      <c r="C253" s="4">
        <v>4.4000000000000004</v>
      </c>
      <c r="D253" s="4">
        <v>914</v>
      </c>
      <c r="E253" t="s">
        <v>433</v>
      </c>
      <c r="F253" s="4">
        <v>19.047786800000001</v>
      </c>
      <c r="G253">
        <v>72.820885799999999</v>
      </c>
      <c r="H253"/>
    </row>
    <row r="254" spans="1:8">
      <c r="A254" t="s">
        <v>409</v>
      </c>
      <c r="B254" t="s">
        <v>434</v>
      </c>
      <c r="C254" s="4">
        <v>4.5</v>
      </c>
      <c r="D254" s="4">
        <v>543</v>
      </c>
      <c r="E254" t="s">
        <v>435</v>
      </c>
      <c r="F254" s="4">
        <v>19.0524466</v>
      </c>
      <c r="G254">
        <v>72.828589800000003</v>
      </c>
      <c r="H254"/>
    </row>
    <row r="255" spans="1:8">
      <c r="A255" t="s">
        <v>409</v>
      </c>
      <c r="B255" t="s">
        <v>379</v>
      </c>
      <c r="C255" s="4">
        <v>4.4000000000000004</v>
      </c>
      <c r="D255" s="4">
        <v>582</v>
      </c>
      <c r="E255" t="s">
        <v>380</v>
      </c>
      <c r="F255" s="4">
        <v>19.0490016</v>
      </c>
      <c r="G255">
        <v>72.823651999999996</v>
      </c>
      <c r="H255"/>
    </row>
    <row r="256" spans="1:8">
      <c r="A256" t="s">
        <v>409</v>
      </c>
      <c r="B256" t="s">
        <v>436</v>
      </c>
      <c r="C256" s="4">
        <v>4</v>
      </c>
      <c r="D256" s="4">
        <v>641</v>
      </c>
      <c r="E256" t="s">
        <v>437</v>
      </c>
      <c r="F256" s="4">
        <v>19.050620599999998</v>
      </c>
      <c r="G256">
        <v>72.826599099999996</v>
      </c>
      <c r="H256"/>
    </row>
    <row r="257" spans="1:8">
      <c r="A257" t="s">
        <v>409</v>
      </c>
      <c r="B257" t="s">
        <v>438</v>
      </c>
      <c r="C257" s="4">
        <v>4.3</v>
      </c>
      <c r="D257" s="4">
        <v>605</v>
      </c>
      <c r="E257" t="s">
        <v>439</v>
      </c>
      <c r="F257" s="4">
        <v>19.054622299999998</v>
      </c>
      <c r="G257">
        <v>72.825842899999998</v>
      </c>
      <c r="H257"/>
    </row>
    <row r="258" spans="1:8">
      <c r="A258" t="s">
        <v>409</v>
      </c>
      <c r="B258" t="s">
        <v>440</v>
      </c>
      <c r="C258" s="4">
        <v>4.4000000000000004</v>
      </c>
      <c r="D258" s="4">
        <v>695</v>
      </c>
      <c r="E258" t="s">
        <v>441</v>
      </c>
      <c r="F258" s="4">
        <v>19.061212699999999</v>
      </c>
      <c r="G258">
        <v>72.826943200000002</v>
      </c>
      <c r="H258"/>
    </row>
    <row r="259" spans="1:8">
      <c r="A259" t="s">
        <v>409</v>
      </c>
      <c r="B259" t="s">
        <v>442</v>
      </c>
      <c r="C259" s="4">
        <v>4.2</v>
      </c>
      <c r="D259" s="4">
        <v>2437</v>
      </c>
      <c r="E259" t="s">
        <v>443</v>
      </c>
      <c r="F259" s="4">
        <v>19.063306999999998</v>
      </c>
      <c r="G259">
        <v>72.824928099999994</v>
      </c>
      <c r="H259"/>
    </row>
    <row r="260" spans="1:8">
      <c r="A260" t="s">
        <v>409</v>
      </c>
      <c r="B260" t="s">
        <v>444</v>
      </c>
      <c r="C260" s="4">
        <v>4.3</v>
      </c>
      <c r="D260" s="4">
        <v>2522</v>
      </c>
      <c r="E260" t="s">
        <v>445</v>
      </c>
      <c r="F260" s="4">
        <v>19.053175899999999</v>
      </c>
      <c r="G260">
        <v>72.830108899999999</v>
      </c>
      <c r="H260"/>
    </row>
    <row r="261" spans="1:8">
      <c r="A261" t="s">
        <v>409</v>
      </c>
      <c r="B261" t="s">
        <v>446</v>
      </c>
      <c r="C261" s="4">
        <v>4.8</v>
      </c>
      <c r="D261" s="4">
        <v>104</v>
      </c>
      <c r="E261" t="s">
        <v>447</v>
      </c>
      <c r="F261" s="4">
        <v>19.048618900000001</v>
      </c>
      <c r="G261">
        <v>72.825940500000002</v>
      </c>
      <c r="H261"/>
    </row>
    <row r="262" spans="1:8">
      <c r="A262" t="s">
        <v>409</v>
      </c>
      <c r="B262" t="s">
        <v>448</v>
      </c>
      <c r="C262" s="4">
        <v>4.2</v>
      </c>
      <c r="D262" s="4">
        <v>143</v>
      </c>
      <c r="E262" t="s">
        <v>449</v>
      </c>
      <c r="F262" s="4">
        <v>19.0562814</v>
      </c>
      <c r="G262">
        <v>72.834321199999906</v>
      </c>
      <c r="H262"/>
    </row>
    <row r="263" spans="1:8">
      <c r="A263" t="s">
        <v>409</v>
      </c>
      <c r="B263" t="s">
        <v>450</v>
      </c>
      <c r="C263" s="4">
        <v>4.2</v>
      </c>
      <c r="D263" s="4">
        <v>582</v>
      </c>
      <c r="E263" t="s">
        <v>451</v>
      </c>
      <c r="F263" s="4">
        <v>19.047501700000002</v>
      </c>
      <c r="G263">
        <v>72.8201562</v>
      </c>
      <c r="H263"/>
    </row>
    <row r="264" spans="1:8">
      <c r="A264" t="s">
        <v>409</v>
      </c>
      <c r="B264" t="s">
        <v>452</v>
      </c>
      <c r="C264" s="4">
        <v>4.5999999999999996</v>
      </c>
      <c r="D264" s="4">
        <v>140</v>
      </c>
      <c r="E264" t="s">
        <v>453</v>
      </c>
      <c r="F264" s="4">
        <v>19.050561200000001</v>
      </c>
      <c r="G264">
        <v>72.826788800000003</v>
      </c>
      <c r="H264"/>
    </row>
    <row r="265" spans="1:8">
      <c r="A265" t="s">
        <v>409</v>
      </c>
      <c r="B265" t="s">
        <v>454</v>
      </c>
      <c r="C265" s="4">
        <v>4.3</v>
      </c>
      <c r="D265" s="4">
        <v>343</v>
      </c>
      <c r="E265" t="s">
        <v>455</v>
      </c>
      <c r="F265" s="4">
        <v>19.0649962</v>
      </c>
      <c r="G265">
        <v>72.831066399999997</v>
      </c>
      <c r="H265"/>
    </row>
    <row r="266" spans="1:8">
      <c r="A266" t="s">
        <v>409</v>
      </c>
      <c r="B266" t="s">
        <v>456</v>
      </c>
      <c r="C266" s="4">
        <v>4.0999999999999996</v>
      </c>
      <c r="D266" s="4">
        <v>349</v>
      </c>
      <c r="E266" t="s">
        <v>457</v>
      </c>
      <c r="F266" s="4">
        <v>19.070728899999999</v>
      </c>
      <c r="G266">
        <v>72.822468299999997</v>
      </c>
      <c r="H266"/>
    </row>
    <row r="267" spans="1:8">
      <c r="A267" t="s">
        <v>409</v>
      </c>
      <c r="B267" t="s">
        <v>458</v>
      </c>
      <c r="C267" s="4">
        <v>4.5</v>
      </c>
      <c r="D267" s="4">
        <v>3745</v>
      </c>
      <c r="E267" t="s">
        <v>459</v>
      </c>
      <c r="F267" s="4">
        <v>19.048597999999998</v>
      </c>
      <c r="G267">
        <v>72.825850399999993</v>
      </c>
      <c r="H267"/>
    </row>
    <row r="268" spans="1:8">
      <c r="A268" t="s">
        <v>409</v>
      </c>
      <c r="B268" t="s">
        <v>94</v>
      </c>
      <c r="C268" s="4">
        <v>4.4000000000000004</v>
      </c>
      <c r="D268" s="4">
        <v>2749</v>
      </c>
      <c r="E268" t="s">
        <v>460</v>
      </c>
      <c r="F268" s="4">
        <v>19.050127799999999</v>
      </c>
      <c r="G268">
        <v>72.826337199999998</v>
      </c>
      <c r="H268"/>
    </row>
    <row r="269" spans="1:8">
      <c r="A269" t="s">
        <v>409</v>
      </c>
      <c r="B269" t="s">
        <v>461</v>
      </c>
      <c r="C269" s="4">
        <v>4.4000000000000004</v>
      </c>
      <c r="D269" s="4">
        <v>841</v>
      </c>
      <c r="E269" t="s">
        <v>462</v>
      </c>
      <c r="F269" s="4">
        <v>19.062784300000001</v>
      </c>
      <c r="G269">
        <v>72.832786799999994</v>
      </c>
      <c r="H269"/>
    </row>
    <row r="270" spans="1:8">
      <c r="A270" t="s">
        <v>409</v>
      </c>
      <c r="B270" t="s">
        <v>463</v>
      </c>
      <c r="C270" s="4">
        <v>4.5</v>
      </c>
      <c r="D270" s="4">
        <v>717</v>
      </c>
      <c r="E270" t="s">
        <v>464</v>
      </c>
      <c r="F270" s="4">
        <v>19.063641199999999</v>
      </c>
      <c r="G270">
        <v>72.829390899999893</v>
      </c>
      <c r="H270"/>
    </row>
    <row r="271" spans="1:8">
      <c r="A271" t="s">
        <v>409</v>
      </c>
      <c r="B271" t="s">
        <v>254</v>
      </c>
      <c r="C271" s="4">
        <v>4.0999999999999996</v>
      </c>
      <c r="D271" s="4">
        <v>2070</v>
      </c>
      <c r="E271" t="s">
        <v>465</v>
      </c>
      <c r="F271" s="4">
        <v>19.047521199999998</v>
      </c>
      <c r="G271">
        <v>72.820126399999907</v>
      </c>
      <c r="H271"/>
    </row>
    <row r="272" spans="1:8">
      <c r="A272" t="s">
        <v>409</v>
      </c>
      <c r="B272" t="s">
        <v>466</v>
      </c>
      <c r="C272" s="4">
        <v>3.9</v>
      </c>
      <c r="D272" s="4">
        <v>2041</v>
      </c>
      <c r="E272" t="s">
        <v>467</v>
      </c>
      <c r="F272" s="4">
        <v>19.065242099999999</v>
      </c>
      <c r="G272">
        <v>72.8334823</v>
      </c>
      <c r="H272"/>
    </row>
    <row r="273" spans="1:8">
      <c r="A273" t="s">
        <v>409</v>
      </c>
      <c r="B273" t="s">
        <v>468</v>
      </c>
      <c r="C273" s="4">
        <v>4.2</v>
      </c>
      <c r="D273" s="4">
        <v>3266</v>
      </c>
      <c r="E273" t="s">
        <v>469</v>
      </c>
      <c r="F273" s="4">
        <v>19.049568099999998</v>
      </c>
      <c r="G273">
        <v>72.829932999999997</v>
      </c>
      <c r="H273"/>
    </row>
    <row r="274" spans="1:8">
      <c r="A274" t="s">
        <v>409</v>
      </c>
      <c r="B274" t="s">
        <v>470</v>
      </c>
      <c r="C274" s="4">
        <v>4.0999999999999996</v>
      </c>
      <c r="D274" s="4">
        <v>968</v>
      </c>
      <c r="E274" t="s">
        <v>471</v>
      </c>
      <c r="F274" s="4">
        <v>19.070349199999999</v>
      </c>
      <c r="G274">
        <v>72.822748099999998</v>
      </c>
      <c r="H274"/>
    </row>
    <row r="275" spans="1:8">
      <c r="A275" t="s">
        <v>409</v>
      </c>
      <c r="B275" t="s">
        <v>472</v>
      </c>
      <c r="C275" s="4">
        <v>4.5</v>
      </c>
      <c r="D275" s="4">
        <v>518</v>
      </c>
      <c r="E275" t="s">
        <v>473</v>
      </c>
      <c r="F275" s="4">
        <v>19.0507025</v>
      </c>
      <c r="G275">
        <v>72.829990600000002</v>
      </c>
      <c r="H275"/>
    </row>
    <row r="276" spans="1:8">
      <c r="A276" t="s">
        <v>409</v>
      </c>
      <c r="B276" t="s">
        <v>474</v>
      </c>
      <c r="C276" s="4">
        <v>4.5</v>
      </c>
      <c r="D276" s="4">
        <v>690</v>
      </c>
      <c r="E276" t="s">
        <v>475</v>
      </c>
      <c r="F276" s="4">
        <v>19.073190700000001</v>
      </c>
      <c r="G276">
        <v>72.826379899999907</v>
      </c>
      <c r="H276"/>
    </row>
    <row r="277" spans="1:8">
      <c r="A277" t="s">
        <v>409</v>
      </c>
      <c r="B277" t="s">
        <v>476</v>
      </c>
      <c r="C277" s="4">
        <v>4.3</v>
      </c>
      <c r="D277" s="4">
        <v>4707</v>
      </c>
      <c r="E277" t="s">
        <v>477</v>
      </c>
      <c r="F277" s="4">
        <v>19.0603786</v>
      </c>
      <c r="G277">
        <v>72.829317399999994</v>
      </c>
      <c r="H277"/>
    </row>
    <row r="278" spans="1:8">
      <c r="A278" t="s">
        <v>409</v>
      </c>
      <c r="B278" t="s">
        <v>478</v>
      </c>
      <c r="C278" s="4">
        <v>4.3</v>
      </c>
      <c r="D278" s="4">
        <v>75</v>
      </c>
      <c r="E278" t="s">
        <v>479</v>
      </c>
      <c r="F278" s="4">
        <v>19.060931100000001</v>
      </c>
      <c r="G278">
        <v>72.832459200000002</v>
      </c>
      <c r="H278"/>
    </row>
    <row r="279" spans="1:8">
      <c r="A279" t="s">
        <v>409</v>
      </c>
      <c r="B279" t="s">
        <v>480</v>
      </c>
      <c r="C279" s="4">
        <v>4.3</v>
      </c>
      <c r="D279" s="4">
        <v>4318</v>
      </c>
      <c r="E279" t="s">
        <v>481</v>
      </c>
      <c r="F279" s="4">
        <v>19.062415399999999</v>
      </c>
      <c r="G279">
        <v>72.832679599999906</v>
      </c>
      <c r="H279"/>
    </row>
    <row r="280" spans="1:8">
      <c r="A280" t="s">
        <v>409</v>
      </c>
      <c r="B280" t="s">
        <v>482</v>
      </c>
      <c r="C280" s="4">
        <v>4.7</v>
      </c>
      <c r="D280" s="4">
        <v>261</v>
      </c>
      <c r="E280" t="s">
        <v>483</v>
      </c>
      <c r="F280" s="4">
        <v>19.0519426</v>
      </c>
      <c r="G280">
        <v>72.829369</v>
      </c>
      <c r="H280"/>
    </row>
    <row r="281" spans="1:8">
      <c r="A281" t="s">
        <v>409</v>
      </c>
      <c r="B281" t="s">
        <v>484</v>
      </c>
      <c r="C281" s="4">
        <v>4.5</v>
      </c>
      <c r="D281" s="4">
        <v>281</v>
      </c>
      <c r="E281" t="s">
        <v>485</v>
      </c>
      <c r="F281" s="4">
        <v>19.0669428</v>
      </c>
      <c r="G281">
        <v>72.831006599999995</v>
      </c>
      <c r="H281"/>
    </row>
    <row r="282" spans="1:8">
      <c r="A282" t="s">
        <v>409</v>
      </c>
      <c r="B282" t="s">
        <v>486</v>
      </c>
      <c r="C282" s="4">
        <v>4.5999999999999996</v>
      </c>
      <c r="D282" s="4">
        <v>189</v>
      </c>
      <c r="E282" t="s">
        <v>487</v>
      </c>
      <c r="F282" s="4">
        <v>19.065197900000001</v>
      </c>
      <c r="G282">
        <v>72.829634599999906</v>
      </c>
      <c r="H282"/>
    </row>
    <row r="283" spans="1:8">
      <c r="A283" t="s">
        <v>409</v>
      </c>
      <c r="B283" t="s">
        <v>488</v>
      </c>
      <c r="C283" s="4">
        <v>3.9</v>
      </c>
      <c r="D283" s="4">
        <v>326</v>
      </c>
      <c r="E283" t="s">
        <v>489</v>
      </c>
      <c r="F283" s="4">
        <v>19.0671356</v>
      </c>
      <c r="G283">
        <v>72.824096699999998</v>
      </c>
      <c r="H283"/>
    </row>
    <row r="284" spans="1:8">
      <c r="A284" t="s">
        <v>409</v>
      </c>
      <c r="B284" t="s">
        <v>490</v>
      </c>
      <c r="C284" s="4">
        <v>4.5999999999999996</v>
      </c>
      <c r="D284" s="4">
        <v>48</v>
      </c>
      <c r="E284" t="s">
        <v>491</v>
      </c>
      <c r="F284" s="4">
        <v>19.063201599999999</v>
      </c>
      <c r="G284">
        <v>72.830011999999996</v>
      </c>
      <c r="H284"/>
    </row>
    <row r="285" spans="1:8">
      <c r="A285" t="s">
        <v>409</v>
      </c>
      <c r="B285" t="s">
        <v>492</v>
      </c>
      <c r="C285" s="4">
        <v>4.4000000000000004</v>
      </c>
      <c r="D285" s="4">
        <v>783</v>
      </c>
      <c r="E285" t="s">
        <v>493</v>
      </c>
      <c r="F285" s="4">
        <v>19.072638900000001</v>
      </c>
      <c r="G285">
        <v>72.8343718</v>
      </c>
      <c r="H285"/>
    </row>
    <row r="286" spans="1:8">
      <c r="A286" t="s">
        <v>409</v>
      </c>
      <c r="B286" t="s">
        <v>494</v>
      </c>
      <c r="C286" s="4">
        <v>4.3</v>
      </c>
      <c r="D286" s="4">
        <v>7623</v>
      </c>
      <c r="E286" t="s">
        <v>495</v>
      </c>
      <c r="F286" s="4">
        <v>19.070534899999998</v>
      </c>
      <c r="G286">
        <v>72.822739200000001</v>
      </c>
      <c r="H286"/>
    </row>
    <row r="287" spans="1:8">
      <c r="A287" t="s">
        <v>409</v>
      </c>
      <c r="B287" t="s">
        <v>496</v>
      </c>
      <c r="C287" s="4">
        <v>4.3</v>
      </c>
      <c r="D287" s="4">
        <v>2417</v>
      </c>
      <c r="E287" t="s">
        <v>497</v>
      </c>
      <c r="F287" s="4">
        <v>19.065120100000001</v>
      </c>
      <c r="G287">
        <v>72.831064599999905</v>
      </c>
      <c r="H287"/>
    </row>
    <row r="288" spans="1:8">
      <c r="A288" t="s">
        <v>409</v>
      </c>
      <c r="B288" t="s">
        <v>498</v>
      </c>
      <c r="C288" s="4">
        <v>4.2</v>
      </c>
      <c r="D288" s="4">
        <v>101</v>
      </c>
      <c r="E288" t="s">
        <v>499</v>
      </c>
      <c r="F288" s="4">
        <v>19.074238300000001</v>
      </c>
      <c r="G288">
        <v>72.825031600000003</v>
      </c>
      <c r="H288"/>
    </row>
    <row r="289" spans="1:8">
      <c r="A289" t="s">
        <v>409</v>
      </c>
      <c r="B289" t="s">
        <v>500</v>
      </c>
      <c r="C289" s="4">
        <v>4.3</v>
      </c>
      <c r="D289" s="4">
        <v>1403</v>
      </c>
      <c r="E289" t="s">
        <v>501</v>
      </c>
      <c r="F289" s="4">
        <v>19.0550724</v>
      </c>
      <c r="G289">
        <v>72.828321099999997</v>
      </c>
      <c r="H289"/>
    </row>
    <row r="290" spans="1:8">
      <c r="A290" t="s">
        <v>409</v>
      </c>
      <c r="B290" t="s">
        <v>502</v>
      </c>
      <c r="C290" s="4">
        <v>4.3</v>
      </c>
      <c r="D290" s="4">
        <v>704</v>
      </c>
      <c r="E290" t="s">
        <v>503</v>
      </c>
      <c r="F290" s="4">
        <v>19.062465799999998</v>
      </c>
      <c r="G290">
        <v>72.823579100000003</v>
      </c>
      <c r="H290"/>
    </row>
    <row r="291" spans="1:8">
      <c r="A291" t="s">
        <v>409</v>
      </c>
      <c r="B291" t="s">
        <v>504</v>
      </c>
      <c r="C291" s="4">
        <v>4.2</v>
      </c>
      <c r="D291" s="4">
        <v>3653</v>
      </c>
      <c r="E291" t="s">
        <v>505</v>
      </c>
      <c r="F291" s="4">
        <v>19.0669696</v>
      </c>
      <c r="G291">
        <v>72.832881999999998</v>
      </c>
      <c r="H291"/>
    </row>
    <row r="292" spans="1:8">
      <c r="A292" t="s">
        <v>409</v>
      </c>
      <c r="B292" t="s">
        <v>506</v>
      </c>
      <c r="C292" s="4">
        <v>4</v>
      </c>
      <c r="D292" s="4">
        <v>2311</v>
      </c>
      <c r="E292" t="s">
        <v>507</v>
      </c>
      <c r="F292" s="4">
        <v>19.051028899999999</v>
      </c>
      <c r="G292">
        <v>72.827395199999998</v>
      </c>
      <c r="H292"/>
    </row>
    <row r="293" spans="1:8">
      <c r="A293" t="s">
        <v>409</v>
      </c>
      <c r="B293" t="s">
        <v>508</v>
      </c>
      <c r="C293" s="4">
        <v>4.5</v>
      </c>
      <c r="D293" s="4">
        <v>80</v>
      </c>
      <c r="E293" t="s">
        <v>509</v>
      </c>
      <c r="F293" s="4">
        <v>19.064805799999998</v>
      </c>
      <c r="G293">
        <v>72.829911299999907</v>
      </c>
      <c r="H293"/>
    </row>
    <row r="294" spans="1:8">
      <c r="A294" t="s">
        <v>409</v>
      </c>
      <c r="B294" t="s">
        <v>510</v>
      </c>
      <c r="C294" s="4">
        <v>4.0999999999999996</v>
      </c>
      <c r="D294" s="4">
        <v>380</v>
      </c>
      <c r="E294" t="s">
        <v>511</v>
      </c>
      <c r="F294" s="4">
        <v>19.106172999999998</v>
      </c>
      <c r="G294">
        <v>72.826383899999996</v>
      </c>
      <c r="H294"/>
    </row>
    <row r="295" spans="1:8">
      <c r="A295" t="s">
        <v>409</v>
      </c>
      <c r="B295" t="s">
        <v>123</v>
      </c>
      <c r="C295" s="4">
        <v>4.3</v>
      </c>
      <c r="D295" s="4">
        <v>2128</v>
      </c>
      <c r="E295" t="s">
        <v>512</v>
      </c>
      <c r="F295" s="4">
        <v>19.0506685</v>
      </c>
      <c r="G295">
        <v>72.827291199999905</v>
      </c>
      <c r="H295"/>
    </row>
    <row r="296" spans="1:8">
      <c r="A296" t="s">
        <v>409</v>
      </c>
      <c r="B296" t="s">
        <v>513</v>
      </c>
      <c r="C296" s="4">
        <v>4.3</v>
      </c>
      <c r="D296" s="4">
        <v>187</v>
      </c>
      <c r="E296" t="s">
        <v>514</v>
      </c>
      <c r="F296" s="4">
        <v>19.066475700000002</v>
      </c>
      <c r="G296">
        <v>72.823221700000005</v>
      </c>
      <c r="H296"/>
    </row>
    <row r="297" spans="1:8">
      <c r="A297" t="s">
        <v>409</v>
      </c>
      <c r="B297" t="s">
        <v>515</v>
      </c>
      <c r="C297" s="4">
        <v>4.4000000000000004</v>
      </c>
      <c r="D297" s="4">
        <v>29</v>
      </c>
      <c r="E297" t="s">
        <v>516</v>
      </c>
      <c r="F297" s="4">
        <v>19.061571099999998</v>
      </c>
      <c r="G297">
        <v>72.8335747</v>
      </c>
      <c r="H297"/>
    </row>
    <row r="298" spans="1:8">
      <c r="A298" t="s">
        <v>409</v>
      </c>
      <c r="B298" t="s">
        <v>517</v>
      </c>
      <c r="C298" s="4">
        <v>4.4000000000000004</v>
      </c>
      <c r="D298" s="4">
        <v>58</v>
      </c>
      <c r="E298" t="s">
        <v>518</v>
      </c>
      <c r="F298" s="4">
        <v>19.0667875</v>
      </c>
      <c r="G298">
        <v>72.830312599999999</v>
      </c>
      <c r="H298"/>
    </row>
    <row r="299" spans="1:8">
      <c r="A299" t="s">
        <v>409</v>
      </c>
      <c r="B299" t="s">
        <v>519</v>
      </c>
      <c r="C299" s="4">
        <v>4.3</v>
      </c>
      <c r="D299" s="4">
        <v>70</v>
      </c>
      <c r="E299" t="s">
        <v>520</v>
      </c>
      <c r="F299" s="4">
        <v>19.0627958</v>
      </c>
      <c r="G299">
        <v>72.832789199999993</v>
      </c>
      <c r="H299"/>
    </row>
    <row r="300" spans="1:8">
      <c r="A300" t="s">
        <v>409</v>
      </c>
      <c r="B300" t="s">
        <v>521</v>
      </c>
      <c r="C300" s="4">
        <v>4.9000000000000004</v>
      </c>
      <c r="D300" s="4">
        <v>291</v>
      </c>
      <c r="E300" t="s">
        <v>522</v>
      </c>
      <c r="F300" s="4">
        <v>19.054071199999999</v>
      </c>
      <c r="G300">
        <v>72.827199499999907</v>
      </c>
      <c r="H300"/>
    </row>
    <row r="301" spans="1:8">
      <c r="A301" t="s">
        <v>409</v>
      </c>
      <c r="B301" t="s">
        <v>523</v>
      </c>
      <c r="C301" s="4">
        <v>3.9</v>
      </c>
      <c r="D301" s="4">
        <v>3179</v>
      </c>
      <c r="E301" t="s">
        <v>524</v>
      </c>
      <c r="F301" s="4">
        <v>19.059938599999999</v>
      </c>
      <c r="G301">
        <v>72.833992199999997</v>
      </c>
      <c r="H301"/>
    </row>
    <row r="302" spans="1:8">
      <c r="A302" t="s">
        <v>525</v>
      </c>
      <c r="B302" t="s">
        <v>526</v>
      </c>
      <c r="C302" s="4">
        <v>4.3</v>
      </c>
      <c r="D302" s="4">
        <v>2144</v>
      </c>
      <c r="E302" t="s">
        <v>527</v>
      </c>
      <c r="F302" s="4">
        <v>19.137402999999999</v>
      </c>
      <c r="G302">
        <v>72.827039399999904</v>
      </c>
      <c r="H302"/>
    </row>
    <row r="303" spans="1:8">
      <c r="A303" t="s">
        <v>525</v>
      </c>
      <c r="B303" t="s">
        <v>528</v>
      </c>
      <c r="C303" s="4">
        <v>4.2</v>
      </c>
      <c r="D303" s="4">
        <v>1373</v>
      </c>
      <c r="E303" t="s">
        <v>529</v>
      </c>
      <c r="F303" s="4">
        <v>19.148222100000002</v>
      </c>
      <c r="G303">
        <v>72.831577099999905</v>
      </c>
      <c r="H303"/>
    </row>
    <row r="304" spans="1:8">
      <c r="A304" t="s">
        <v>525</v>
      </c>
      <c r="B304" t="s">
        <v>530</v>
      </c>
      <c r="C304" s="4">
        <v>4.5999999999999996</v>
      </c>
      <c r="D304" s="4">
        <v>2125</v>
      </c>
      <c r="E304" t="s">
        <v>531</v>
      </c>
      <c r="F304" s="4">
        <v>19.1387888</v>
      </c>
      <c r="G304">
        <v>72.813389999999998</v>
      </c>
      <c r="H304"/>
    </row>
    <row r="305" spans="1:8">
      <c r="A305" t="s">
        <v>525</v>
      </c>
      <c r="B305" t="s">
        <v>532</v>
      </c>
      <c r="C305" s="4">
        <v>4.5999999999999996</v>
      </c>
      <c r="D305" s="4">
        <v>2589</v>
      </c>
      <c r="E305" t="s">
        <v>533</v>
      </c>
      <c r="F305" s="4">
        <v>19.109420400000001</v>
      </c>
      <c r="G305">
        <v>72.881181099999907</v>
      </c>
      <c r="H305"/>
    </row>
    <row r="306" spans="1:8">
      <c r="A306" t="s">
        <v>525</v>
      </c>
      <c r="B306" t="s">
        <v>534</v>
      </c>
      <c r="C306" s="4">
        <v>4.3</v>
      </c>
      <c r="D306" s="4">
        <v>1780</v>
      </c>
      <c r="E306" t="s">
        <v>535</v>
      </c>
      <c r="F306" s="4">
        <v>19.149543300000001</v>
      </c>
      <c r="G306">
        <v>72.831697499999905</v>
      </c>
      <c r="H306"/>
    </row>
    <row r="307" spans="1:8">
      <c r="A307" t="s">
        <v>525</v>
      </c>
      <c r="B307" t="s">
        <v>536</v>
      </c>
      <c r="C307" s="4">
        <v>4.2</v>
      </c>
      <c r="D307" s="4">
        <v>442</v>
      </c>
      <c r="E307" t="s">
        <v>537</v>
      </c>
      <c r="F307" s="4">
        <v>19.111668000000002</v>
      </c>
      <c r="G307">
        <v>72.871333000000007</v>
      </c>
      <c r="H307"/>
    </row>
    <row r="308" spans="1:8">
      <c r="A308" t="s">
        <v>525</v>
      </c>
      <c r="B308" t="s">
        <v>538</v>
      </c>
      <c r="C308" s="4">
        <v>4.3</v>
      </c>
      <c r="D308" s="4">
        <v>875</v>
      </c>
      <c r="E308" t="s">
        <v>539</v>
      </c>
      <c r="F308" s="4">
        <v>19.113821999999999</v>
      </c>
      <c r="G308">
        <v>72.864102199999905</v>
      </c>
      <c r="H308"/>
    </row>
    <row r="309" spans="1:8">
      <c r="A309" t="s">
        <v>525</v>
      </c>
      <c r="B309" t="s">
        <v>140</v>
      </c>
      <c r="C309" s="4">
        <v>3.9</v>
      </c>
      <c r="D309" s="4">
        <v>1248</v>
      </c>
      <c r="E309" t="s">
        <v>540</v>
      </c>
      <c r="F309" s="4">
        <v>19.106872500000001</v>
      </c>
      <c r="G309">
        <v>72.8638823</v>
      </c>
      <c r="H309"/>
    </row>
    <row r="310" spans="1:8">
      <c r="A310" t="s">
        <v>525</v>
      </c>
      <c r="B310" t="s">
        <v>541</v>
      </c>
      <c r="C310" s="4">
        <v>4.3</v>
      </c>
      <c r="D310" s="4">
        <v>763</v>
      </c>
      <c r="E310" t="s">
        <v>542</v>
      </c>
      <c r="F310" s="4">
        <v>19.1265453</v>
      </c>
      <c r="G310">
        <v>72.820882100000006</v>
      </c>
      <c r="H310"/>
    </row>
    <row r="311" spans="1:8">
      <c r="A311" t="s">
        <v>525</v>
      </c>
      <c r="B311" t="s">
        <v>543</v>
      </c>
      <c r="C311" s="4">
        <v>4.3</v>
      </c>
      <c r="D311" s="4">
        <v>2392</v>
      </c>
      <c r="E311" t="s">
        <v>544</v>
      </c>
      <c r="F311" s="4">
        <v>19.139346700000001</v>
      </c>
      <c r="G311">
        <v>72.832314999999994</v>
      </c>
      <c r="H311"/>
    </row>
    <row r="312" spans="1:8">
      <c r="A312" t="s">
        <v>525</v>
      </c>
      <c r="B312" t="s">
        <v>545</v>
      </c>
      <c r="C312" s="4">
        <v>4.2</v>
      </c>
      <c r="D312" s="4">
        <v>3561</v>
      </c>
      <c r="E312" t="s">
        <v>546</v>
      </c>
      <c r="F312" s="4">
        <v>19.149571099999999</v>
      </c>
      <c r="G312">
        <v>72.828068999999999</v>
      </c>
      <c r="H312"/>
    </row>
    <row r="313" spans="1:8">
      <c r="A313" t="s">
        <v>525</v>
      </c>
      <c r="B313" t="s">
        <v>547</v>
      </c>
      <c r="C313" s="4">
        <v>4.3</v>
      </c>
      <c r="D313" s="4">
        <v>69</v>
      </c>
      <c r="E313" t="s">
        <v>548</v>
      </c>
      <c r="F313" s="4">
        <v>19.1400398</v>
      </c>
      <c r="G313">
        <v>72.834998499999998</v>
      </c>
      <c r="H313"/>
    </row>
    <row r="314" spans="1:8">
      <c r="A314" t="s">
        <v>525</v>
      </c>
      <c r="B314" t="s">
        <v>549</v>
      </c>
      <c r="C314" s="4">
        <v>4.3</v>
      </c>
      <c r="D314" s="4">
        <v>1315</v>
      </c>
      <c r="E314" t="s">
        <v>550</v>
      </c>
      <c r="F314" s="4">
        <v>19.132836999999999</v>
      </c>
      <c r="G314">
        <v>72.812349100000006</v>
      </c>
      <c r="H314"/>
    </row>
    <row r="315" spans="1:8">
      <c r="A315" t="s">
        <v>525</v>
      </c>
      <c r="B315" t="s">
        <v>551</v>
      </c>
      <c r="C315" s="4">
        <v>4.7</v>
      </c>
      <c r="D315" s="4">
        <v>187</v>
      </c>
      <c r="E315" t="s">
        <v>552</v>
      </c>
      <c r="F315" s="4">
        <v>19.128625499999998</v>
      </c>
      <c r="G315">
        <v>72.819467000000003</v>
      </c>
      <c r="H315"/>
    </row>
    <row r="316" spans="1:8">
      <c r="A316" t="s">
        <v>525</v>
      </c>
      <c r="B316" t="s">
        <v>553</v>
      </c>
      <c r="C316" s="4">
        <v>4.5</v>
      </c>
      <c r="D316" s="4">
        <v>983</v>
      </c>
      <c r="E316" t="s">
        <v>554</v>
      </c>
      <c r="F316" s="4">
        <v>19.117584099999998</v>
      </c>
      <c r="G316">
        <v>72.864727799999997</v>
      </c>
      <c r="H316"/>
    </row>
    <row r="317" spans="1:8">
      <c r="A317" t="s">
        <v>525</v>
      </c>
      <c r="B317" t="s">
        <v>555</v>
      </c>
      <c r="C317" s="4">
        <v>4.7</v>
      </c>
      <c r="D317" s="4">
        <v>154</v>
      </c>
      <c r="E317" t="s">
        <v>556</v>
      </c>
      <c r="F317" s="4">
        <v>19.137415399999998</v>
      </c>
      <c r="G317">
        <v>72.827190299999998</v>
      </c>
      <c r="H317"/>
    </row>
    <row r="318" spans="1:8">
      <c r="A318" t="s">
        <v>525</v>
      </c>
      <c r="B318" t="s">
        <v>557</v>
      </c>
      <c r="C318" s="4">
        <v>4.4000000000000004</v>
      </c>
      <c r="D318" s="4">
        <v>1732</v>
      </c>
      <c r="E318" t="s">
        <v>558</v>
      </c>
      <c r="F318" s="4">
        <v>19.1329998</v>
      </c>
      <c r="G318">
        <v>72.812262199999907</v>
      </c>
      <c r="H318"/>
    </row>
    <row r="319" spans="1:8">
      <c r="A319" t="s">
        <v>525</v>
      </c>
      <c r="B319" t="s">
        <v>559</v>
      </c>
      <c r="C319" s="4">
        <v>4.0999999999999996</v>
      </c>
      <c r="D319" s="4">
        <v>2877</v>
      </c>
      <c r="E319" t="s">
        <v>560</v>
      </c>
      <c r="F319" s="4">
        <v>19.133372000000001</v>
      </c>
      <c r="G319">
        <v>72.811536899999993</v>
      </c>
      <c r="H319"/>
    </row>
    <row r="320" spans="1:8">
      <c r="A320" t="s">
        <v>525</v>
      </c>
      <c r="B320" t="s">
        <v>561</v>
      </c>
      <c r="C320" s="4">
        <v>4.2</v>
      </c>
      <c r="D320" s="4">
        <v>1740</v>
      </c>
      <c r="E320" t="s">
        <v>562</v>
      </c>
      <c r="F320" s="4">
        <v>19.146730600000001</v>
      </c>
      <c r="G320">
        <v>72.828678400000001</v>
      </c>
      <c r="H320"/>
    </row>
    <row r="321" spans="1:8">
      <c r="A321" t="s">
        <v>525</v>
      </c>
      <c r="B321" t="s">
        <v>48</v>
      </c>
      <c r="C321" s="4">
        <v>4.7</v>
      </c>
      <c r="D321" s="4">
        <v>778</v>
      </c>
      <c r="E321" t="s">
        <v>563</v>
      </c>
      <c r="F321" s="4">
        <v>19.1289871</v>
      </c>
      <c r="G321">
        <v>72.817658399999999</v>
      </c>
      <c r="H321"/>
    </row>
    <row r="322" spans="1:8">
      <c r="A322" t="s">
        <v>525</v>
      </c>
      <c r="B322" t="s">
        <v>564</v>
      </c>
      <c r="C322" s="4">
        <v>4.0999999999999996</v>
      </c>
      <c r="D322" s="4">
        <v>158</v>
      </c>
      <c r="E322" t="s">
        <v>565</v>
      </c>
      <c r="F322" s="4">
        <v>19.109677099999999</v>
      </c>
      <c r="G322">
        <v>72.875981600000003</v>
      </c>
      <c r="H322"/>
    </row>
    <row r="323" spans="1:8">
      <c r="A323" t="s">
        <v>525</v>
      </c>
      <c r="B323" t="s">
        <v>123</v>
      </c>
      <c r="C323" s="4">
        <v>4.3</v>
      </c>
      <c r="D323" s="4">
        <v>2431</v>
      </c>
      <c r="E323" t="s">
        <v>566</v>
      </c>
      <c r="F323" s="4">
        <v>19.114759500000002</v>
      </c>
      <c r="G323">
        <v>72.861147099999997</v>
      </c>
      <c r="H323"/>
    </row>
    <row r="324" spans="1:8">
      <c r="A324" t="s">
        <v>525</v>
      </c>
      <c r="B324" t="s">
        <v>48</v>
      </c>
      <c r="C324" s="4">
        <v>4.7</v>
      </c>
      <c r="D324" s="4">
        <v>1110</v>
      </c>
      <c r="E324" t="s">
        <v>567</v>
      </c>
      <c r="F324" s="4">
        <v>19.146611100000001</v>
      </c>
      <c r="G324">
        <v>72.828694999999996</v>
      </c>
      <c r="H324"/>
    </row>
    <row r="325" spans="1:8">
      <c r="A325" t="s">
        <v>525</v>
      </c>
      <c r="B325" t="s">
        <v>568</v>
      </c>
      <c r="C325" s="4">
        <v>4.0999999999999996</v>
      </c>
      <c r="D325" s="4">
        <v>958</v>
      </c>
      <c r="E325" t="s">
        <v>569</v>
      </c>
      <c r="F325" s="4">
        <v>19.152528199999999</v>
      </c>
      <c r="G325">
        <v>72.831272400000003</v>
      </c>
      <c r="H325"/>
    </row>
    <row r="326" spans="1:8">
      <c r="A326" t="s">
        <v>525</v>
      </c>
      <c r="B326" t="s">
        <v>570</v>
      </c>
      <c r="C326" s="4">
        <v>4.5999999999999996</v>
      </c>
      <c r="D326" s="4">
        <v>93</v>
      </c>
      <c r="E326" t="s">
        <v>571</v>
      </c>
      <c r="F326" s="4">
        <v>19.1131891</v>
      </c>
      <c r="G326">
        <v>72.882127699999998</v>
      </c>
      <c r="H326"/>
    </row>
    <row r="327" spans="1:8">
      <c r="A327" t="s">
        <v>525</v>
      </c>
      <c r="B327" t="s">
        <v>572</v>
      </c>
      <c r="C327" s="4">
        <v>4.7</v>
      </c>
      <c r="D327" s="4">
        <v>91</v>
      </c>
      <c r="E327" t="s">
        <v>573</v>
      </c>
      <c r="F327" s="4">
        <v>19.136251999999999</v>
      </c>
      <c r="G327">
        <v>72.821344199999999</v>
      </c>
      <c r="H327"/>
    </row>
    <row r="328" spans="1:8">
      <c r="A328" t="s">
        <v>525</v>
      </c>
      <c r="B328" t="s">
        <v>574</v>
      </c>
      <c r="C328" s="4">
        <v>4.5999999999999996</v>
      </c>
      <c r="D328" s="4">
        <v>3035</v>
      </c>
      <c r="E328" t="s">
        <v>575</v>
      </c>
      <c r="F328" s="4">
        <v>19.1497092</v>
      </c>
      <c r="G328">
        <v>72.8270208</v>
      </c>
      <c r="H328"/>
    </row>
    <row r="329" spans="1:8">
      <c r="A329" t="s">
        <v>525</v>
      </c>
      <c r="B329" t="s">
        <v>576</v>
      </c>
      <c r="C329" s="4">
        <v>3.9</v>
      </c>
      <c r="D329" s="4">
        <v>2876</v>
      </c>
      <c r="E329" t="s">
        <v>577</v>
      </c>
      <c r="F329" s="4">
        <v>19.111430599999998</v>
      </c>
      <c r="G329">
        <v>72.878641099999996</v>
      </c>
      <c r="H329"/>
    </row>
    <row r="330" spans="1:8">
      <c r="A330" t="s">
        <v>525</v>
      </c>
      <c r="B330" t="s">
        <v>578</v>
      </c>
      <c r="C330" s="4">
        <v>4.5999999999999996</v>
      </c>
      <c r="D330" s="4">
        <v>2453</v>
      </c>
      <c r="E330" t="s">
        <v>579</v>
      </c>
      <c r="F330" s="4">
        <v>19.103168</v>
      </c>
      <c r="G330">
        <v>72.877701999999999</v>
      </c>
      <c r="H330"/>
    </row>
    <row r="331" spans="1:8">
      <c r="A331" t="s">
        <v>525</v>
      </c>
      <c r="B331" t="s">
        <v>580</v>
      </c>
      <c r="C331" s="4">
        <v>4.7</v>
      </c>
      <c r="D331" s="4">
        <v>167</v>
      </c>
      <c r="E331" t="s">
        <v>581</v>
      </c>
      <c r="F331" s="4">
        <v>19.115672700000001</v>
      </c>
      <c r="G331">
        <v>72.856945400000001</v>
      </c>
      <c r="H331"/>
    </row>
    <row r="332" spans="1:8">
      <c r="A332" t="s">
        <v>525</v>
      </c>
      <c r="B332" t="s">
        <v>582</v>
      </c>
      <c r="C332" s="4">
        <v>4.4000000000000004</v>
      </c>
      <c r="D332" s="4">
        <v>18396</v>
      </c>
      <c r="E332" t="s">
        <v>583</v>
      </c>
      <c r="F332" s="4">
        <v>19.106129200000002</v>
      </c>
      <c r="G332">
        <v>72.825709399999994</v>
      </c>
      <c r="H332"/>
    </row>
    <row r="333" spans="1:8">
      <c r="A333" t="s">
        <v>525</v>
      </c>
      <c r="B333" t="s">
        <v>584</v>
      </c>
      <c r="C333" s="4">
        <v>4.0999999999999996</v>
      </c>
      <c r="D333" s="4">
        <v>431</v>
      </c>
      <c r="E333" t="s">
        <v>585</v>
      </c>
      <c r="F333" s="4">
        <v>19.1307759</v>
      </c>
      <c r="G333">
        <v>72.826207799999906</v>
      </c>
      <c r="H333"/>
    </row>
    <row r="334" spans="1:8">
      <c r="A334" t="s">
        <v>525</v>
      </c>
      <c r="B334" t="s">
        <v>586</v>
      </c>
      <c r="C334" s="4">
        <v>4.5</v>
      </c>
      <c r="D334" s="4">
        <v>518</v>
      </c>
      <c r="E334" t="s">
        <v>587</v>
      </c>
      <c r="F334" s="4">
        <v>19.141111500000001</v>
      </c>
      <c r="G334">
        <v>72.812974599999905</v>
      </c>
      <c r="H334"/>
    </row>
    <row r="335" spans="1:8">
      <c r="A335" t="s">
        <v>525</v>
      </c>
      <c r="B335" t="s">
        <v>588</v>
      </c>
      <c r="C335" s="4">
        <v>4.2</v>
      </c>
      <c r="D335" s="4">
        <v>415</v>
      </c>
      <c r="E335" t="s">
        <v>589</v>
      </c>
      <c r="F335" s="4">
        <v>19.127327699999999</v>
      </c>
      <c r="G335">
        <v>72.838376199999999</v>
      </c>
      <c r="H335"/>
    </row>
    <row r="336" spans="1:8">
      <c r="A336" t="s">
        <v>525</v>
      </c>
      <c r="B336" t="s">
        <v>590</v>
      </c>
      <c r="C336" s="4">
        <v>4.3</v>
      </c>
      <c r="D336" s="4">
        <v>156</v>
      </c>
      <c r="E336" t="s">
        <v>591</v>
      </c>
      <c r="F336" s="4">
        <v>19.136759999999999</v>
      </c>
      <c r="G336">
        <v>72.829373399999994</v>
      </c>
      <c r="H336"/>
    </row>
    <row r="337" spans="1:8">
      <c r="A337" t="s">
        <v>525</v>
      </c>
      <c r="B337" t="s">
        <v>592</v>
      </c>
      <c r="C337" s="4">
        <v>4.0999999999999996</v>
      </c>
      <c r="D337" s="4">
        <v>459</v>
      </c>
      <c r="E337" t="s">
        <v>593</v>
      </c>
      <c r="F337" s="4">
        <v>19.147060700000001</v>
      </c>
      <c r="G337">
        <v>72.829269400000001</v>
      </c>
      <c r="H337"/>
    </row>
    <row r="338" spans="1:8">
      <c r="A338" t="s">
        <v>525</v>
      </c>
      <c r="B338" t="s">
        <v>594</v>
      </c>
      <c r="C338" s="4">
        <v>4.2</v>
      </c>
      <c r="D338" s="4">
        <v>1199</v>
      </c>
      <c r="E338" t="s">
        <v>595</v>
      </c>
      <c r="F338" s="4">
        <v>19.148246</v>
      </c>
      <c r="G338">
        <v>72.831577299999907</v>
      </c>
      <c r="H338"/>
    </row>
    <row r="339" spans="1:8">
      <c r="A339" t="s">
        <v>525</v>
      </c>
      <c r="B339" t="s">
        <v>596</v>
      </c>
      <c r="C339" s="4">
        <v>4.9000000000000004</v>
      </c>
      <c r="D339" s="4">
        <v>340</v>
      </c>
      <c r="E339" t="s">
        <v>597</v>
      </c>
      <c r="F339" s="4">
        <v>19.117372799999998</v>
      </c>
      <c r="G339">
        <v>72.850504200000003</v>
      </c>
      <c r="H339"/>
    </row>
    <row r="340" spans="1:8">
      <c r="A340" t="s">
        <v>525</v>
      </c>
      <c r="B340" t="s">
        <v>598</v>
      </c>
      <c r="C340" s="4">
        <v>4.5999999999999996</v>
      </c>
      <c r="D340" s="4">
        <v>805</v>
      </c>
      <c r="E340" t="s">
        <v>599</v>
      </c>
      <c r="F340" s="4">
        <v>19.108096499999998</v>
      </c>
      <c r="G340">
        <v>72.864653399999995</v>
      </c>
      <c r="H340"/>
    </row>
    <row r="341" spans="1:8">
      <c r="A341" t="s">
        <v>525</v>
      </c>
      <c r="B341" t="s">
        <v>123</v>
      </c>
      <c r="C341" s="4">
        <v>4.4000000000000004</v>
      </c>
      <c r="D341" s="4">
        <v>2721</v>
      </c>
      <c r="E341" t="s">
        <v>600</v>
      </c>
      <c r="F341" s="4">
        <v>19.141498200000001</v>
      </c>
      <c r="G341">
        <v>72.831446700000001</v>
      </c>
      <c r="H341"/>
    </row>
    <row r="342" spans="1:8">
      <c r="A342" t="s">
        <v>525</v>
      </c>
      <c r="B342" t="s">
        <v>140</v>
      </c>
      <c r="C342" s="4">
        <v>3.9</v>
      </c>
      <c r="D342" s="4">
        <v>965</v>
      </c>
      <c r="E342" t="s">
        <v>601</v>
      </c>
      <c r="F342" s="4">
        <v>19.130531399999999</v>
      </c>
      <c r="G342">
        <v>72.837418099999994</v>
      </c>
      <c r="H342"/>
    </row>
    <row r="343" spans="1:8">
      <c r="A343" t="s">
        <v>525</v>
      </c>
      <c r="B343" t="s">
        <v>602</v>
      </c>
      <c r="C343" s="4">
        <v>4.0999999999999996</v>
      </c>
      <c r="D343" s="4">
        <v>135</v>
      </c>
      <c r="E343" t="s">
        <v>603</v>
      </c>
      <c r="F343" s="4">
        <v>19.149786500000001</v>
      </c>
      <c r="G343">
        <v>72.831734799999893</v>
      </c>
      <c r="H343"/>
    </row>
    <row r="344" spans="1:8">
      <c r="A344" t="s">
        <v>525</v>
      </c>
      <c r="B344" t="s">
        <v>254</v>
      </c>
      <c r="C344" s="4">
        <v>3.9</v>
      </c>
      <c r="D344" s="4">
        <v>1127</v>
      </c>
      <c r="E344" t="s">
        <v>604</v>
      </c>
      <c r="F344" s="4">
        <v>19.113774800000002</v>
      </c>
      <c r="G344">
        <v>72.841743899999997</v>
      </c>
      <c r="H344"/>
    </row>
    <row r="345" spans="1:8">
      <c r="A345" t="s">
        <v>525</v>
      </c>
      <c r="B345" t="s">
        <v>605</v>
      </c>
      <c r="C345" s="4">
        <v>4.0999999999999996</v>
      </c>
      <c r="D345" s="4">
        <v>445</v>
      </c>
      <c r="E345" t="s">
        <v>606</v>
      </c>
      <c r="F345" s="4">
        <v>19.1310477</v>
      </c>
      <c r="G345">
        <v>72.813866599999997</v>
      </c>
      <c r="H345"/>
    </row>
    <row r="346" spans="1:8">
      <c r="A346" t="s">
        <v>525</v>
      </c>
      <c r="B346" t="s">
        <v>607</v>
      </c>
      <c r="C346" s="4">
        <v>4.3</v>
      </c>
      <c r="D346" s="4">
        <v>186</v>
      </c>
      <c r="E346" t="s">
        <v>608</v>
      </c>
      <c r="F346" s="4">
        <v>19.110417000000002</v>
      </c>
      <c r="G346">
        <v>72.874231999999907</v>
      </c>
      <c r="H346"/>
    </row>
    <row r="347" spans="1:8">
      <c r="A347" t="s">
        <v>525</v>
      </c>
      <c r="B347" t="s">
        <v>609</v>
      </c>
      <c r="C347" s="4">
        <v>4.0999999999999996</v>
      </c>
      <c r="D347" s="4">
        <v>51</v>
      </c>
      <c r="E347" t="s">
        <v>610</v>
      </c>
      <c r="F347" s="4">
        <v>19.112267599999999</v>
      </c>
      <c r="G347">
        <v>72.8679877</v>
      </c>
      <c r="H347"/>
    </row>
    <row r="348" spans="1:8">
      <c r="A348" t="s">
        <v>525</v>
      </c>
      <c r="B348" t="s">
        <v>134</v>
      </c>
      <c r="C348" s="4">
        <v>3.9</v>
      </c>
      <c r="D348" s="4">
        <v>895</v>
      </c>
      <c r="E348" t="s">
        <v>611</v>
      </c>
      <c r="F348" s="4">
        <v>19.123038099999999</v>
      </c>
      <c r="G348">
        <v>72.846654099999995</v>
      </c>
      <c r="H348"/>
    </row>
    <row r="349" spans="1:8">
      <c r="A349" t="s">
        <v>525</v>
      </c>
      <c r="B349" t="s">
        <v>612</v>
      </c>
      <c r="C349" s="4">
        <v>3.8</v>
      </c>
      <c r="D349" s="4">
        <v>251</v>
      </c>
      <c r="E349" t="s">
        <v>613</v>
      </c>
      <c r="F349" s="4">
        <v>19.128332199999999</v>
      </c>
      <c r="G349">
        <v>72.829192599999999</v>
      </c>
      <c r="H349"/>
    </row>
    <row r="350" spans="1:8">
      <c r="A350" t="s">
        <v>525</v>
      </c>
      <c r="B350" t="s">
        <v>614</v>
      </c>
      <c r="C350" s="4">
        <v>4</v>
      </c>
      <c r="D350" s="4">
        <v>1037</v>
      </c>
      <c r="E350" t="s">
        <v>615</v>
      </c>
      <c r="F350" s="4">
        <v>19.118502599999999</v>
      </c>
      <c r="G350">
        <v>72.844822899999997</v>
      </c>
      <c r="H350"/>
    </row>
    <row r="351" spans="1:8">
      <c r="A351" t="s">
        <v>525</v>
      </c>
      <c r="B351" t="s">
        <v>616</v>
      </c>
      <c r="C351" s="4">
        <v>3.8</v>
      </c>
      <c r="D351" s="4">
        <v>168</v>
      </c>
      <c r="E351" t="s">
        <v>617</v>
      </c>
      <c r="F351" s="4">
        <v>19.1130949</v>
      </c>
      <c r="G351">
        <v>72.844556999999995</v>
      </c>
      <c r="H351"/>
    </row>
    <row r="352" spans="1:8">
      <c r="A352" t="s">
        <v>525</v>
      </c>
      <c r="B352" t="s">
        <v>618</v>
      </c>
      <c r="C352" s="4">
        <v>4.3</v>
      </c>
      <c r="D352" s="4">
        <v>100</v>
      </c>
      <c r="E352" t="s">
        <v>619</v>
      </c>
      <c r="F352" s="4">
        <v>19.124683000000001</v>
      </c>
      <c r="G352">
        <v>72.864808199999999</v>
      </c>
      <c r="H352"/>
    </row>
    <row r="353" spans="1:8">
      <c r="A353" t="s">
        <v>525</v>
      </c>
      <c r="B353" t="s">
        <v>620</v>
      </c>
      <c r="C353" s="4">
        <v>3.9</v>
      </c>
      <c r="D353" s="4">
        <v>929</v>
      </c>
      <c r="E353" t="s">
        <v>621</v>
      </c>
      <c r="F353" s="4">
        <v>19.102402600000001</v>
      </c>
      <c r="G353">
        <v>72.888413200000002</v>
      </c>
      <c r="H353"/>
    </row>
    <row r="354" spans="1:8">
      <c r="A354" t="s">
        <v>525</v>
      </c>
      <c r="B354" t="s">
        <v>622</v>
      </c>
      <c r="C354" s="4">
        <v>4</v>
      </c>
      <c r="D354" s="4">
        <v>3464</v>
      </c>
      <c r="E354" t="s">
        <v>623</v>
      </c>
      <c r="F354" s="4">
        <v>19.117787400000001</v>
      </c>
      <c r="G354">
        <v>72.848220499999996</v>
      </c>
      <c r="H354"/>
    </row>
    <row r="355" spans="1:8">
      <c r="A355" t="s">
        <v>525</v>
      </c>
      <c r="B355" t="s">
        <v>624</v>
      </c>
      <c r="C355" s="4">
        <v>4.7</v>
      </c>
      <c r="D355" s="4">
        <v>78</v>
      </c>
      <c r="E355" t="s">
        <v>625</v>
      </c>
      <c r="F355" s="4">
        <v>19.136799799999999</v>
      </c>
      <c r="G355">
        <v>72.829338100000001</v>
      </c>
      <c r="H355"/>
    </row>
    <row r="356" spans="1:8">
      <c r="A356" t="s">
        <v>525</v>
      </c>
      <c r="B356" t="s">
        <v>626</v>
      </c>
      <c r="C356" s="4">
        <v>4.0999999999999996</v>
      </c>
      <c r="D356" s="4">
        <v>259</v>
      </c>
      <c r="E356" t="s">
        <v>627</v>
      </c>
      <c r="F356" s="4">
        <v>19.1033051</v>
      </c>
      <c r="G356">
        <v>72.886342099999993</v>
      </c>
      <c r="H356"/>
    </row>
    <row r="357" spans="1:8">
      <c r="A357" t="s">
        <v>525</v>
      </c>
      <c r="B357" t="s">
        <v>628</v>
      </c>
      <c r="C357" s="4">
        <v>4.5</v>
      </c>
      <c r="D357" s="4">
        <v>50</v>
      </c>
      <c r="E357" t="s">
        <v>629</v>
      </c>
      <c r="F357" s="4">
        <v>19.1359177</v>
      </c>
      <c r="G357">
        <v>72.832615399999995</v>
      </c>
      <c r="H357"/>
    </row>
    <row r="358" spans="1:8">
      <c r="A358" t="s">
        <v>525</v>
      </c>
      <c r="B358" t="s">
        <v>630</v>
      </c>
      <c r="C358" s="4">
        <v>4.9000000000000004</v>
      </c>
      <c r="D358" s="4">
        <v>49</v>
      </c>
      <c r="E358" t="s">
        <v>631</v>
      </c>
      <c r="F358" s="4">
        <v>19.148792400000001</v>
      </c>
      <c r="G358">
        <v>72.832024099999998</v>
      </c>
      <c r="H358"/>
    </row>
    <row r="359" spans="1:8">
      <c r="A359" t="s">
        <v>525</v>
      </c>
      <c r="B359" t="s">
        <v>632</v>
      </c>
      <c r="C359" s="4">
        <v>4</v>
      </c>
      <c r="D359" s="4">
        <v>796</v>
      </c>
      <c r="E359" t="s">
        <v>633</v>
      </c>
      <c r="F359" s="4">
        <v>19.139378600000001</v>
      </c>
      <c r="G359">
        <v>72.832043200000001</v>
      </c>
      <c r="H359"/>
    </row>
    <row r="360" spans="1:8">
      <c r="A360" t="s">
        <v>525</v>
      </c>
      <c r="B360" t="s">
        <v>634</v>
      </c>
      <c r="C360" s="4">
        <v>4.7</v>
      </c>
      <c r="D360" s="4">
        <v>242</v>
      </c>
      <c r="E360" t="s">
        <v>635</v>
      </c>
      <c r="F360" s="4">
        <v>19.1502813</v>
      </c>
      <c r="G360">
        <v>72.831805899999907</v>
      </c>
      <c r="H360"/>
    </row>
    <row r="361" spans="1:8">
      <c r="A361" t="s">
        <v>525</v>
      </c>
      <c r="B361" t="s">
        <v>636</v>
      </c>
      <c r="C361" s="4">
        <v>4.2</v>
      </c>
      <c r="D361" s="4">
        <v>69</v>
      </c>
      <c r="E361" t="s">
        <v>637</v>
      </c>
      <c r="F361" s="4">
        <v>19.1186027</v>
      </c>
      <c r="G361">
        <v>72.8522021</v>
      </c>
      <c r="H361"/>
    </row>
    <row r="362" spans="1:8">
      <c r="A362" t="s">
        <v>638</v>
      </c>
      <c r="B362" t="s">
        <v>639</v>
      </c>
      <c r="C362" s="4">
        <v>4.3</v>
      </c>
      <c r="D362" s="4">
        <v>492</v>
      </c>
      <c r="E362" t="s">
        <v>640</v>
      </c>
      <c r="F362" s="4">
        <v>19.157133300000002</v>
      </c>
      <c r="G362">
        <v>72.845750999999893</v>
      </c>
      <c r="H362"/>
    </row>
    <row r="363" spans="1:8">
      <c r="A363" t="s">
        <v>638</v>
      </c>
      <c r="B363" t="s">
        <v>641</v>
      </c>
      <c r="C363" s="4">
        <v>4.5999999999999996</v>
      </c>
      <c r="D363" s="4">
        <v>160</v>
      </c>
      <c r="E363" t="s">
        <v>642</v>
      </c>
      <c r="F363" s="4">
        <v>19.163674199999999</v>
      </c>
      <c r="G363">
        <v>72.847295500000001</v>
      </c>
      <c r="H363"/>
    </row>
    <row r="364" spans="1:8">
      <c r="A364" t="s">
        <v>638</v>
      </c>
      <c r="B364" t="s">
        <v>643</v>
      </c>
      <c r="C364" s="4">
        <v>4.5999999999999996</v>
      </c>
      <c r="D364" s="4">
        <v>101</v>
      </c>
      <c r="E364" t="s">
        <v>644</v>
      </c>
      <c r="F364" s="4">
        <v>19.155877499999999</v>
      </c>
      <c r="G364">
        <v>72.886346899999893</v>
      </c>
      <c r="H364"/>
    </row>
    <row r="365" spans="1:8">
      <c r="A365" t="s">
        <v>638</v>
      </c>
      <c r="B365" t="s">
        <v>645</v>
      </c>
      <c r="C365" s="4">
        <v>4.2</v>
      </c>
      <c r="D365" s="4">
        <v>94</v>
      </c>
      <c r="E365" t="s">
        <v>646</v>
      </c>
      <c r="F365" s="4">
        <v>19.1544177</v>
      </c>
      <c r="G365">
        <v>72.843415499999907</v>
      </c>
      <c r="H365"/>
    </row>
    <row r="366" spans="1:8">
      <c r="A366" t="s">
        <v>638</v>
      </c>
      <c r="B366" t="s">
        <v>364</v>
      </c>
      <c r="C366" s="4">
        <v>4.3</v>
      </c>
      <c r="D366" s="4">
        <v>3749</v>
      </c>
      <c r="E366" t="s">
        <v>647</v>
      </c>
      <c r="F366" s="4">
        <v>19.173725900000001</v>
      </c>
      <c r="G366">
        <v>72.860708000000002</v>
      </c>
      <c r="H366"/>
    </row>
    <row r="367" spans="1:8">
      <c r="A367" t="s">
        <v>638</v>
      </c>
      <c r="B367" t="s">
        <v>648</v>
      </c>
      <c r="C367" s="4">
        <v>4.5999999999999996</v>
      </c>
      <c r="D367" s="4">
        <v>208</v>
      </c>
      <c r="E367" t="s">
        <v>649</v>
      </c>
      <c r="F367" s="4">
        <v>19.162067499999999</v>
      </c>
      <c r="G367">
        <v>72.836821499999999</v>
      </c>
      <c r="H367"/>
    </row>
    <row r="368" spans="1:8">
      <c r="A368" t="s">
        <v>638</v>
      </c>
      <c r="B368" t="s">
        <v>48</v>
      </c>
      <c r="C368" s="4">
        <v>4.7</v>
      </c>
      <c r="D368" s="4">
        <v>648</v>
      </c>
      <c r="E368" t="s">
        <v>650</v>
      </c>
      <c r="F368" s="4">
        <v>19.1740101</v>
      </c>
      <c r="G368">
        <v>72.860992799999906</v>
      </c>
      <c r="H368"/>
    </row>
    <row r="369" spans="1:8">
      <c r="A369" t="s">
        <v>638</v>
      </c>
      <c r="B369" t="s">
        <v>651</v>
      </c>
      <c r="C369" s="4">
        <v>4.5</v>
      </c>
      <c r="D369" s="4">
        <v>30</v>
      </c>
      <c r="E369" t="s">
        <v>652</v>
      </c>
      <c r="F369" s="4">
        <v>19.1679253</v>
      </c>
      <c r="G369">
        <v>72.854330899999994</v>
      </c>
      <c r="H369"/>
    </row>
    <row r="370" spans="1:8">
      <c r="A370" t="s">
        <v>638</v>
      </c>
      <c r="B370" t="s">
        <v>653</v>
      </c>
      <c r="C370" s="4">
        <v>4.7</v>
      </c>
      <c r="D370" s="4">
        <v>288</v>
      </c>
      <c r="E370" t="s">
        <v>654</v>
      </c>
      <c r="F370" s="4">
        <v>19.166500800000001</v>
      </c>
      <c r="G370">
        <v>72.847348999999994</v>
      </c>
      <c r="H370"/>
    </row>
    <row r="371" spans="1:8">
      <c r="A371" t="s">
        <v>638</v>
      </c>
      <c r="B371" t="s">
        <v>655</v>
      </c>
      <c r="C371" s="4">
        <v>3.8</v>
      </c>
      <c r="D371" s="4">
        <v>154</v>
      </c>
      <c r="E371" t="s">
        <v>656</v>
      </c>
      <c r="F371" s="4">
        <v>19.155766700000001</v>
      </c>
      <c r="G371">
        <v>72.853613499999994</v>
      </c>
      <c r="H371"/>
    </row>
    <row r="372" spans="1:8">
      <c r="A372" t="s">
        <v>638</v>
      </c>
      <c r="B372" t="s">
        <v>657</v>
      </c>
      <c r="C372" s="4">
        <v>4.8</v>
      </c>
      <c r="D372" s="4">
        <v>35</v>
      </c>
      <c r="E372" t="s">
        <v>658</v>
      </c>
      <c r="F372" s="4">
        <v>19.1546649</v>
      </c>
      <c r="G372">
        <v>72.886794899999998</v>
      </c>
      <c r="H372"/>
    </row>
    <row r="373" spans="1:8">
      <c r="A373" t="s">
        <v>638</v>
      </c>
      <c r="B373" t="s">
        <v>123</v>
      </c>
      <c r="C373" s="4">
        <v>4.3</v>
      </c>
      <c r="D373" s="4">
        <v>2473</v>
      </c>
      <c r="E373" t="s">
        <v>659</v>
      </c>
      <c r="F373" s="4">
        <v>19.174045799999998</v>
      </c>
      <c r="G373">
        <v>72.860487499999905</v>
      </c>
      <c r="H373"/>
    </row>
    <row r="374" spans="1:8">
      <c r="A374" t="s">
        <v>638</v>
      </c>
      <c r="B374" t="s">
        <v>660</v>
      </c>
      <c r="C374" s="4">
        <v>4.0999999999999996</v>
      </c>
      <c r="D374" s="4">
        <v>2243</v>
      </c>
      <c r="E374" t="s">
        <v>661</v>
      </c>
      <c r="F374" s="4">
        <v>19.1741077</v>
      </c>
      <c r="G374">
        <v>72.860602599999893</v>
      </c>
      <c r="H374"/>
    </row>
    <row r="375" spans="1:8">
      <c r="A375" t="s">
        <v>638</v>
      </c>
      <c r="B375" t="s">
        <v>662</v>
      </c>
      <c r="C375" s="4">
        <v>4.2</v>
      </c>
      <c r="D375" s="4">
        <v>1581</v>
      </c>
      <c r="E375" t="s">
        <v>663</v>
      </c>
      <c r="F375" s="4">
        <v>19.1891593</v>
      </c>
      <c r="G375">
        <v>72.834676399999907</v>
      </c>
      <c r="H375"/>
    </row>
    <row r="376" spans="1:8">
      <c r="A376" t="s">
        <v>638</v>
      </c>
      <c r="B376" t="s">
        <v>190</v>
      </c>
      <c r="C376" s="4">
        <v>4.5</v>
      </c>
      <c r="D376" s="4">
        <v>117</v>
      </c>
      <c r="E376" t="s">
        <v>664</v>
      </c>
      <c r="F376" s="4">
        <v>19.173808000000001</v>
      </c>
      <c r="G376">
        <v>72.860594300000002</v>
      </c>
      <c r="H376"/>
    </row>
    <row r="377" spans="1:8">
      <c r="A377" t="s">
        <v>638</v>
      </c>
      <c r="B377" t="s">
        <v>48</v>
      </c>
      <c r="C377" s="4">
        <v>5</v>
      </c>
      <c r="D377" s="4">
        <v>149</v>
      </c>
      <c r="E377" t="s">
        <v>665</v>
      </c>
      <c r="F377" s="4">
        <v>19.154374300000001</v>
      </c>
      <c r="G377">
        <v>72.843415800000002</v>
      </c>
      <c r="H377"/>
    </row>
    <row r="378" spans="1:8">
      <c r="A378" t="s">
        <v>638</v>
      </c>
      <c r="B378" t="s">
        <v>666</v>
      </c>
      <c r="C378" s="4">
        <v>4</v>
      </c>
      <c r="D378" s="4">
        <v>75</v>
      </c>
      <c r="E378" t="s">
        <v>667</v>
      </c>
      <c r="F378" s="4">
        <v>19.161905999999998</v>
      </c>
      <c r="G378">
        <v>72.857401400000001</v>
      </c>
      <c r="H378"/>
    </row>
    <row r="379" spans="1:8">
      <c r="A379" t="s">
        <v>638</v>
      </c>
      <c r="B379" t="s">
        <v>123</v>
      </c>
      <c r="C379" s="4">
        <v>4.2</v>
      </c>
      <c r="D379" s="4">
        <v>877</v>
      </c>
      <c r="E379" t="s">
        <v>668</v>
      </c>
      <c r="F379" s="4">
        <v>19.1715971</v>
      </c>
      <c r="G379">
        <v>72.860323399999999</v>
      </c>
      <c r="H379"/>
    </row>
    <row r="380" spans="1:8">
      <c r="A380" t="s">
        <v>638</v>
      </c>
      <c r="B380" t="s">
        <v>669</v>
      </c>
      <c r="C380" s="4">
        <v>4.3</v>
      </c>
      <c r="D380" s="4">
        <v>397</v>
      </c>
      <c r="E380" t="s">
        <v>670</v>
      </c>
      <c r="F380" s="4">
        <v>19.169727200000001</v>
      </c>
      <c r="G380">
        <v>72.859232899999995</v>
      </c>
      <c r="H380"/>
    </row>
    <row r="381" spans="1:8">
      <c r="A381" t="s">
        <v>638</v>
      </c>
      <c r="B381" t="s">
        <v>671</v>
      </c>
      <c r="C381" s="4">
        <v>3.6</v>
      </c>
      <c r="D381" s="4">
        <v>38</v>
      </c>
      <c r="E381" t="s">
        <v>672</v>
      </c>
      <c r="F381" s="4">
        <v>19.1713342</v>
      </c>
      <c r="G381">
        <v>72.8572712</v>
      </c>
      <c r="H381"/>
    </row>
    <row r="382" spans="1:8">
      <c r="A382" t="s">
        <v>638</v>
      </c>
      <c r="B382" t="s">
        <v>140</v>
      </c>
      <c r="C382" s="4">
        <v>4.0999999999999996</v>
      </c>
      <c r="D382" s="4">
        <v>686</v>
      </c>
      <c r="E382" t="s">
        <v>673</v>
      </c>
      <c r="F382" s="4">
        <v>19.173141300000001</v>
      </c>
      <c r="G382">
        <v>72.8738393</v>
      </c>
      <c r="H382"/>
    </row>
    <row r="383" spans="1:8">
      <c r="A383" t="s">
        <v>638</v>
      </c>
      <c r="B383" t="s">
        <v>674</v>
      </c>
      <c r="C383" s="4">
        <v>4.0999999999999996</v>
      </c>
      <c r="D383" s="4">
        <v>4463</v>
      </c>
      <c r="E383" t="s">
        <v>675</v>
      </c>
      <c r="F383" s="4">
        <v>19.173808000000001</v>
      </c>
      <c r="G383">
        <v>72.860594300000002</v>
      </c>
      <c r="H383"/>
    </row>
    <row r="384" spans="1:8">
      <c r="A384" t="s">
        <v>638</v>
      </c>
      <c r="B384" t="s">
        <v>676</v>
      </c>
      <c r="C384" s="4">
        <v>4.0999999999999996</v>
      </c>
      <c r="D384" s="4">
        <v>639</v>
      </c>
      <c r="E384" t="s">
        <v>677</v>
      </c>
      <c r="F384" s="4">
        <v>19.1742706</v>
      </c>
      <c r="G384">
        <v>72.863319300000001</v>
      </c>
      <c r="H384"/>
    </row>
    <row r="385" spans="1:8">
      <c r="A385" t="s">
        <v>638</v>
      </c>
      <c r="B385" t="s">
        <v>534</v>
      </c>
      <c r="C385" s="4">
        <v>4.3</v>
      </c>
      <c r="D385" s="4">
        <v>1780</v>
      </c>
      <c r="E385" t="s">
        <v>535</v>
      </c>
      <c r="F385" s="4">
        <v>19.149543300000001</v>
      </c>
      <c r="G385">
        <v>72.831697499999905</v>
      </c>
      <c r="H385"/>
    </row>
    <row r="386" spans="1:8">
      <c r="A386" t="s">
        <v>638</v>
      </c>
      <c r="B386" t="s">
        <v>678</v>
      </c>
      <c r="C386" s="4">
        <v>4.7</v>
      </c>
      <c r="D386" s="4">
        <v>308</v>
      </c>
      <c r="E386" t="s">
        <v>679</v>
      </c>
      <c r="F386" s="4">
        <v>19.150974399999999</v>
      </c>
      <c r="G386">
        <v>72.8356675</v>
      </c>
      <c r="H386"/>
    </row>
    <row r="387" spans="1:8">
      <c r="A387" t="s">
        <v>638</v>
      </c>
      <c r="B387" t="s">
        <v>528</v>
      </c>
      <c r="C387" s="4">
        <v>4.2</v>
      </c>
      <c r="D387" s="4">
        <v>1373</v>
      </c>
      <c r="E387" t="s">
        <v>529</v>
      </c>
      <c r="F387" s="4">
        <v>19.148222100000002</v>
      </c>
      <c r="G387">
        <v>72.831577099999905</v>
      </c>
      <c r="H387"/>
    </row>
    <row r="388" spans="1:8">
      <c r="A388" t="s">
        <v>638</v>
      </c>
      <c r="B388" t="s">
        <v>680</v>
      </c>
      <c r="C388" s="4">
        <v>4.5999999999999996</v>
      </c>
      <c r="D388" s="4">
        <v>105</v>
      </c>
      <c r="E388" t="s">
        <v>681</v>
      </c>
      <c r="F388" s="4">
        <v>19.1622907</v>
      </c>
      <c r="G388">
        <v>72.857105399999995</v>
      </c>
      <c r="H388"/>
    </row>
    <row r="389" spans="1:8">
      <c r="A389" t="s">
        <v>638</v>
      </c>
      <c r="B389" t="s">
        <v>682</v>
      </c>
      <c r="C389" s="4">
        <v>4.0999999999999996</v>
      </c>
      <c r="D389" s="4">
        <v>141</v>
      </c>
      <c r="E389" t="s">
        <v>683</v>
      </c>
      <c r="F389" s="4">
        <v>19.1597887</v>
      </c>
      <c r="G389">
        <v>72.834868</v>
      </c>
      <c r="H389"/>
    </row>
    <row r="390" spans="1:8">
      <c r="A390" t="s">
        <v>638</v>
      </c>
      <c r="B390" t="s">
        <v>684</v>
      </c>
      <c r="C390" s="4">
        <v>4.0999999999999996</v>
      </c>
      <c r="D390" s="4">
        <v>1473</v>
      </c>
      <c r="E390" t="s">
        <v>685</v>
      </c>
      <c r="F390" s="4">
        <v>19.193973799999998</v>
      </c>
      <c r="G390">
        <v>72.837964099999994</v>
      </c>
      <c r="H390"/>
    </row>
    <row r="391" spans="1:8">
      <c r="A391" t="s">
        <v>638</v>
      </c>
      <c r="B391" t="s">
        <v>48</v>
      </c>
      <c r="C391" s="4">
        <v>4.7</v>
      </c>
      <c r="D391" s="4">
        <v>1110</v>
      </c>
      <c r="E391" t="s">
        <v>567</v>
      </c>
      <c r="F391" s="4">
        <v>19.146611100000001</v>
      </c>
      <c r="G391">
        <v>72.828694999999996</v>
      </c>
      <c r="H391"/>
    </row>
    <row r="392" spans="1:8">
      <c r="A392" t="s">
        <v>638</v>
      </c>
      <c r="B392" t="s">
        <v>686</v>
      </c>
      <c r="C392" s="4">
        <v>4.5999999999999996</v>
      </c>
      <c r="D392" s="4">
        <v>443</v>
      </c>
      <c r="E392" t="s">
        <v>675</v>
      </c>
      <c r="F392" s="4">
        <v>19.173820500000001</v>
      </c>
      <c r="G392">
        <v>72.861087699999999</v>
      </c>
      <c r="H392"/>
    </row>
    <row r="393" spans="1:8">
      <c r="A393" t="s">
        <v>638</v>
      </c>
      <c r="B393" t="s">
        <v>687</v>
      </c>
      <c r="C393" s="4">
        <v>4.5</v>
      </c>
      <c r="D393" s="4">
        <v>224</v>
      </c>
      <c r="E393" t="s">
        <v>688</v>
      </c>
      <c r="F393" s="4">
        <v>19.196663900000001</v>
      </c>
      <c r="G393">
        <v>72.827389499999995</v>
      </c>
      <c r="H393"/>
    </row>
    <row r="394" spans="1:8">
      <c r="A394" t="s">
        <v>638</v>
      </c>
      <c r="B394" t="s">
        <v>689</v>
      </c>
      <c r="C394" s="4">
        <v>4.0999999999999996</v>
      </c>
      <c r="D394" s="4">
        <v>2739</v>
      </c>
      <c r="E394" t="s">
        <v>690</v>
      </c>
      <c r="F394" s="4">
        <v>19.185884900000001</v>
      </c>
      <c r="G394">
        <v>72.830240000000003</v>
      </c>
      <c r="H394"/>
    </row>
    <row r="395" spans="1:8">
      <c r="A395" t="s">
        <v>638</v>
      </c>
      <c r="B395" t="s">
        <v>526</v>
      </c>
      <c r="C395" s="4">
        <v>4.3</v>
      </c>
      <c r="D395" s="4">
        <v>2144</v>
      </c>
      <c r="E395" t="s">
        <v>527</v>
      </c>
      <c r="F395" s="4">
        <v>19.137402999999999</v>
      </c>
      <c r="G395">
        <v>72.827039399999904</v>
      </c>
      <c r="H395"/>
    </row>
    <row r="396" spans="1:8">
      <c r="A396" t="s">
        <v>638</v>
      </c>
      <c r="B396" t="s">
        <v>691</v>
      </c>
      <c r="C396" s="4">
        <v>4.5999999999999996</v>
      </c>
      <c r="D396" s="4">
        <v>28</v>
      </c>
      <c r="E396" t="s">
        <v>692</v>
      </c>
      <c r="F396" s="4">
        <v>19.174382699999999</v>
      </c>
      <c r="G396">
        <v>72.863476199999994</v>
      </c>
      <c r="H396"/>
    </row>
    <row r="397" spans="1:8">
      <c r="A397" t="s">
        <v>638</v>
      </c>
      <c r="B397" t="s">
        <v>693</v>
      </c>
      <c r="C397" s="4">
        <v>4.2</v>
      </c>
      <c r="D397" s="4">
        <v>400</v>
      </c>
      <c r="E397" t="s">
        <v>694</v>
      </c>
      <c r="F397" s="4">
        <v>19.1770958</v>
      </c>
      <c r="G397">
        <v>72.842085299999994</v>
      </c>
      <c r="H397"/>
    </row>
    <row r="398" spans="1:8">
      <c r="A398" t="s">
        <v>638</v>
      </c>
      <c r="B398" t="s">
        <v>695</v>
      </c>
      <c r="C398" s="4">
        <v>4.5</v>
      </c>
      <c r="D398" s="4">
        <v>2</v>
      </c>
      <c r="E398" t="s">
        <v>696</v>
      </c>
      <c r="F398" s="4">
        <v>19.1508748</v>
      </c>
      <c r="G398">
        <v>72.887380100000001</v>
      </c>
      <c r="H398"/>
    </row>
    <row r="399" spans="1:8">
      <c r="A399" t="s">
        <v>638</v>
      </c>
      <c r="B399" t="s">
        <v>697</v>
      </c>
      <c r="C399" s="4">
        <v>4.2</v>
      </c>
      <c r="D399" s="4">
        <v>191</v>
      </c>
      <c r="E399" t="s">
        <v>698</v>
      </c>
      <c r="F399" s="4">
        <v>19.173808000000001</v>
      </c>
      <c r="G399">
        <v>72.860594300000002</v>
      </c>
      <c r="H399"/>
    </row>
    <row r="400" spans="1:8">
      <c r="A400" t="s">
        <v>638</v>
      </c>
      <c r="B400" t="s">
        <v>699</v>
      </c>
      <c r="C400" s="4">
        <v>3.6</v>
      </c>
      <c r="D400" s="4">
        <v>242</v>
      </c>
      <c r="E400" t="s">
        <v>700</v>
      </c>
      <c r="F400" s="4">
        <v>19.1730397</v>
      </c>
      <c r="G400">
        <v>72.835895100000002</v>
      </c>
      <c r="H400"/>
    </row>
    <row r="401" spans="1:8">
      <c r="A401" t="s">
        <v>638</v>
      </c>
      <c r="B401" t="s">
        <v>701</v>
      </c>
      <c r="C401" s="4">
        <v>4.0999999999999996</v>
      </c>
      <c r="D401" s="4">
        <v>1190</v>
      </c>
      <c r="E401" t="s">
        <v>702</v>
      </c>
      <c r="F401" s="4">
        <v>19.1622156</v>
      </c>
      <c r="G401">
        <v>72.857138499999905</v>
      </c>
      <c r="H401"/>
    </row>
    <row r="402" spans="1:8">
      <c r="A402" t="s">
        <v>638</v>
      </c>
      <c r="B402" t="s">
        <v>48</v>
      </c>
      <c r="C402" s="4">
        <v>4.8</v>
      </c>
      <c r="D402" s="4">
        <v>1114</v>
      </c>
      <c r="E402" t="s">
        <v>703</v>
      </c>
      <c r="F402" s="4">
        <v>19.160822799999998</v>
      </c>
      <c r="G402">
        <v>72.945387199999999</v>
      </c>
      <c r="H402"/>
    </row>
    <row r="403" spans="1:8">
      <c r="A403" t="s">
        <v>638</v>
      </c>
      <c r="B403" t="s">
        <v>704</v>
      </c>
      <c r="C403" s="4">
        <v>5</v>
      </c>
      <c r="D403" s="4">
        <v>1</v>
      </c>
      <c r="E403" t="s">
        <v>705</v>
      </c>
      <c r="F403" s="4">
        <v>19.171024500000001</v>
      </c>
      <c r="G403">
        <v>72.869128000000003</v>
      </c>
      <c r="H403"/>
    </row>
    <row r="404" spans="1:8">
      <c r="A404" t="s">
        <v>638</v>
      </c>
      <c r="B404" t="s">
        <v>123</v>
      </c>
      <c r="C404" s="4">
        <v>4</v>
      </c>
      <c r="D404" s="4">
        <v>294</v>
      </c>
      <c r="E404" t="s">
        <v>706</v>
      </c>
      <c r="F404" s="4">
        <v>19.1525918</v>
      </c>
      <c r="G404">
        <v>72.855930799999996</v>
      </c>
      <c r="H404"/>
    </row>
    <row r="405" spans="1:8">
      <c r="A405" t="s">
        <v>638</v>
      </c>
      <c r="B405" t="s">
        <v>707</v>
      </c>
      <c r="C405" s="4">
        <v>4.5</v>
      </c>
      <c r="D405" s="4">
        <v>39</v>
      </c>
      <c r="E405" t="s">
        <v>708</v>
      </c>
      <c r="F405" s="4">
        <v>19.2135535</v>
      </c>
      <c r="G405">
        <v>72.872632400000001</v>
      </c>
      <c r="H405"/>
    </row>
    <row r="406" spans="1:8">
      <c r="A406" t="s">
        <v>638</v>
      </c>
      <c r="B406" t="s">
        <v>634</v>
      </c>
      <c r="C406" s="4">
        <v>4.7</v>
      </c>
      <c r="D406" s="4">
        <v>242</v>
      </c>
      <c r="E406" t="s">
        <v>635</v>
      </c>
      <c r="F406" s="4">
        <v>19.1502813</v>
      </c>
      <c r="G406">
        <v>72.831805899999907</v>
      </c>
      <c r="H406"/>
    </row>
    <row r="407" spans="1:8">
      <c r="A407" t="s">
        <v>638</v>
      </c>
      <c r="B407" t="s">
        <v>709</v>
      </c>
      <c r="C407" s="4">
        <v>4.8</v>
      </c>
      <c r="D407" s="4">
        <v>17</v>
      </c>
      <c r="E407" t="s">
        <v>710</v>
      </c>
      <c r="F407" s="4">
        <v>19.1721562</v>
      </c>
      <c r="G407">
        <v>72.873487099999906</v>
      </c>
      <c r="H407"/>
    </row>
    <row r="408" spans="1:8">
      <c r="A408" t="s">
        <v>638</v>
      </c>
      <c r="B408" t="s">
        <v>711</v>
      </c>
      <c r="C408" s="4">
        <v>4.5</v>
      </c>
      <c r="D408" s="4">
        <v>319</v>
      </c>
      <c r="E408" t="s">
        <v>712</v>
      </c>
      <c r="F408" s="4">
        <v>19.1818302</v>
      </c>
      <c r="G408">
        <v>72.853336299999995</v>
      </c>
      <c r="H408"/>
    </row>
    <row r="409" spans="1:8">
      <c r="A409" t="s">
        <v>638</v>
      </c>
      <c r="B409" t="s">
        <v>713</v>
      </c>
      <c r="C409" s="4">
        <v>4.2</v>
      </c>
      <c r="D409" s="4">
        <v>103</v>
      </c>
      <c r="E409" t="s">
        <v>714</v>
      </c>
      <c r="F409" s="4">
        <v>19.147110699999999</v>
      </c>
      <c r="G409">
        <v>72.8310405</v>
      </c>
      <c r="H409"/>
    </row>
    <row r="410" spans="1:8">
      <c r="A410" t="s">
        <v>638</v>
      </c>
      <c r="B410" t="s">
        <v>474</v>
      </c>
      <c r="C410" s="4">
        <v>4.7</v>
      </c>
      <c r="D410" s="4">
        <v>21</v>
      </c>
      <c r="E410" t="s">
        <v>715</v>
      </c>
      <c r="F410" s="4">
        <v>19.152195899999999</v>
      </c>
      <c r="G410">
        <v>72.854581499999995</v>
      </c>
      <c r="H410"/>
    </row>
    <row r="411" spans="1:8">
      <c r="A411" t="s">
        <v>638</v>
      </c>
      <c r="B411" t="s">
        <v>716</v>
      </c>
      <c r="C411" s="4">
        <v>4</v>
      </c>
      <c r="D411" s="4">
        <v>46</v>
      </c>
      <c r="E411" t="s">
        <v>717</v>
      </c>
      <c r="F411" s="4">
        <v>19.153015400000001</v>
      </c>
      <c r="G411">
        <v>72.884372999999997</v>
      </c>
      <c r="H411"/>
    </row>
    <row r="412" spans="1:8">
      <c r="A412" t="s">
        <v>638</v>
      </c>
      <c r="B412" t="s">
        <v>718</v>
      </c>
      <c r="C412" s="4">
        <v>4.3</v>
      </c>
      <c r="D412" s="4">
        <v>212</v>
      </c>
      <c r="E412" t="s">
        <v>719</v>
      </c>
      <c r="F412" s="4">
        <v>19.1494453</v>
      </c>
      <c r="G412">
        <v>72.831244799999993</v>
      </c>
      <c r="H412"/>
    </row>
    <row r="413" spans="1:8">
      <c r="A413" t="s">
        <v>638</v>
      </c>
      <c r="B413" t="s">
        <v>720</v>
      </c>
      <c r="C413" s="4">
        <v>4.8</v>
      </c>
      <c r="D413" s="4">
        <v>122</v>
      </c>
      <c r="E413" t="s">
        <v>721</v>
      </c>
      <c r="F413" s="4">
        <v>19.16329</v>
      </c>
      <c r="G413">
        <v>72.841458099999997</v>
      </c>
      <c r="H413"/>
    </row>
    <row r="414" spans="1:8">
      <c r="A414" t="s">
        <v>638</v>
      </c>
      <c r="B414" t="s">
        <v>568</v>
      </c>
      <c r="C414" s="4">
        <v>4.0999999999999996</v>
      </c>
      <c r="D414" s="4">
        <v>958</v>
      </c>
      <c r="E414" t="s">
        <v>569</v>
      </c>
      <c r="F414" s="4">
        <v>19.152528199999999</v>
      </c>
      <c r="G414">
        <v>72.831272400000003</v>
      </c>
      <c r="H414"/>
    </row>
    <row r="415" spans="1:8">
      <c r="A415" t="s">
        <v>638</v>
      </c>
      <c r="B415" t="s">
        <v>123</v>
      </c>
      <c r="C415" s="4">
        <v>4.3</v>
      </c>
      <c r="D415" s="4">
        <v>1794</v>
      </c>
      <c r="E415" t="s">
        <v>722</v>
      </c>
      <c r="F415" s="4">
        <v>19.172647000000001</v>
      </c>
      <c r="G415">
        <v>72.835402999999999</v>
      </c>
      <c r="H415"/>
    </row>
    <row r="416" spans="1:8">
      <c r="A416" t="s">
        <v>638</v>
      </c>
      <c r="B416" t="s">
        <v>199</v>
      </c>
      <c r="C416" s="4">
        <v>2.9</v>
      </c>
      <c r="D416" s="4">
        <v>19</v>
      </c>
      <c r="E416" t="s">
        <v>723</v>
      </c>
      <c r="F416" s="4">
        <v>19.152671000000002</v>
      </c>
      <c r="G416">
        <v>72.854801399999999</v>
      </c>
      <c r="H416"/>
    </row>
    <row r="417" spans="1:8">
      <c r="A417" t="s">
        <v>638</v>
      </c>
      <c r="B417" t="s">
        <v>594</v>
      </c>
      <c r="C417" s="4">
        <v>4.2</v>
      </c>
      <c r="D417" s="4">
        <v>1199</v>
      </c>
      <c r="E417" t="s">
        <v>595</v>
      </c>
      <c r="F417" s="4">
        <v>19.148246</v>
      </c>
      <c r="G417">
        <v>72.831577299999907</v>
      </c>
      <c r="H417"/>
    </row>
    <row r="418" spans="1:8">
      <c r="A418" t="s">
        <v>638</v>
      </c>
      <c r="B418" t="s">
        <v>724</v>
      </c>
      <c r="C418" s="4">
        <v>3.9</v>
      </c>
      <c r="D418" s="4">
        <v>1058</v>
      </c>
      <c r="E418" t="s">
        <v>725</v>
      </c>
      <c r="F418" s="4">
        <v>19.178987100000001</v>
      </c>
      <c r="G418">
        <v>72.835623799999993</v>
      </c>
      <c r="H418"/>
    </row>
    <row r="419" spans="1:8">
      <c r="A419" t="s">
        <v>638</v>
      </c>
      <c r="B419" t="s">
        <v>630</v>
      </c>
      <c r="C419" s="4">
        <v>4.9000000000000004</v>
      </c>
      <c r="D419" s="4">
        <v>49</v>
      </c>
      <c r="E419" t="s">
        <v>631</v>
      </c>
      <c r="F419" s="4">
        <v>19.148792400000001</v>
      </c>
      <c r="G419">
        <v>72.832024099999998</v>
      </c>
      <c r="H419"/>
    </row>
    <row r="420" spans="1:8">
      <c r="A420" t="s">
        <v>638</v>
      </c>
      <c r="B420" t="s">
        <v>726</v>
      </c>
      <c r="C420" s="4">
        <v>4.4000000000000004</v>
      </c>
      <c r="D420" s="4">
        <v>188</v>
      </c>
      <c r="E420" t="s">
        <v>727</v>
      </c>
      <c r="F420" s="4">
        <v>19.189025000000001</v>
      </c>
      <c r="G420">
        <v>72.833950999999999</v>
      </c>
      <c r="H420"/>
    </row>
    <row r="421" spans="1:8">
      <c r="A421" t="s">
        <v>638</v>
      </c>
      <c r="B421" t="s">
        <v>728</v>
      </c>
      <c r="C421" s="4">
        <v>4.4000000000000004</v>
      </c>
      <c r="D421" s="4">
        <v>7</v>
      </c>
      <c r="E421" t="s">
        <v>729</v>
      </c>
      <c r="F421" s="4">
        <v>19.166383100000001</v>
      </c>
      <c r="G421">
        <v>72.8529056</v>
      </c>
      <c r="H421"/>
    </row>
    <row r="422" spans="1:8">
      <c r="A422" t="s">
        <v>730</v>
      </c>
      <c r="B422" t="s">
        <v>731</v>
      </c>
      <c r="C422" s="4">
        <v>4.2</v>
      </c>
      <c r="D422" s="4">
        <v>1948</v>
      </c>
      <c r="E422" t="s">
        <v>732</v>
      </c>
      <c r="F422" s="4">
        <v>19.223737100000001</v>
      </c>
      <c r="G422">
        <v>72.851815999999999</v>
      </c>
      <c r="H422"/>
    </row>
    <row r="423" spans="1:8">
      <c r="A423" t="s">
        <v>730</v>
      </c>
      <c r="B423" t="s">
        <v>48</v>
      </c>
      <c r="C423" s="4">
        <v>4.8</v>
      </c>
      <c r="D423" s="4">
        <v>1677</v>
      </c>
      <c r="E423" t="s">
        <v>733</v>
      </c>
      <c r="F423" s="4">
        <v>19.2321293</v>
      </c>
      <c r="G423">
        <v>72.852687099999997</v>
      </c>
      <c r="H423"/>
    </row>
    <row r="424" spans="1:8">
      <c r="A424" t="s">
        <v>730</v>
      </c>
      <c r="B424" t="s">
        <v>734</v>
      </c>
      <c r="C424" s="4">
        <v>4.3</v>
      </c>
      <c r="D424" s="4">
        <v>1001</v>
      </c>
      <c r="E424" t="s">
        <v>735</v>
      </c>
      <c r="F424" s="4">
        <v>19.2497644</v>
      </c>
      <c r="G424">
        <v>72.849020899999999</v>
      </c>
      <c r="H424"/>
    </row>
    <row r="425" spans="1:8">
      <c r="A425" t="s">
        <v>730</v>
      </c>
      <c r="B425" t="s">
        <v>736</v>
      </c>
      <c r="C425" s="4">
        <v>4.5999999999999996</v>
      </c>
      <c r="D425" s="4">
        <v>166</v>
      </c>
      <c r="E425" t="s">
        <v>737</v>
      </c>
      <c r="F425" s="4">
        <v>19.218458999999999</v>
      </c>
      <c r="G425">
        <v>72.838132000000002</v>
      </c>
      <c r="H425"/>
    </row>
    <row r="426" spans="1:8">
      <c r="A426" t="s">
        <v>730</v>
      </c>
      <c r="B426" t="s">
        <v>738</v>
      </c>
      <c r="C426" s="4">
        <v>4</v>
      </c>
      <c r="D426" s="4">
        <v>305</v>
      </c>
      <c r="E426" t="s">
        <v>739</v>
      </c>
      <c r="F426" s="4">
        <v>19.236167399999999</v>
      </c>
      <c r="G426">
        <v>72.837495200000006</v>
      </c>
      <c r="H426"/>
    </row>
    <row r="427" spans="1:8">
      <c r="A427" t="s">
        <v>730</v>
      </c>
      <c r="B427" t="s">
        <v>48</v>
      </c>
      <c r="C427" s="4">
        <v>4.8</v>
      </c>
      <c r="D427" s="4">
        <v>673</v>
      </c>
      <c r="E427" t="s">
        <v>740</v>
      </c>
      <c r="F427" s="4">
        <v>19.220610400000002</v>
      </c>
      <c r="G427">
        <v>72.850012399999997</v>
      </c>
      <c r="H427"/>
    </row>
    <row r="428" spans="1:8">
      <c r="A428" t="s">
        <v>730</v>
      </c>
      <c r="B428" t="s">
        <v>741</v>
      </c>
      <c r="C428" s="4">
        <v>4.4000000000000004</v>
      </c>
      <c r="D428" s="4">
        <v>626</v>
      </c>
      <c r="E428" t="s">
        <v>742</v>
      </c>
      <c r="F428" s="4">
        <v>19.221572200000001</v>
      </c>
      <c r="G428">
        <v>72.847695299999998</v>
      </c>
      <c r="H428"/>
    </row>
    <row r="429" spans="1:8">
      <c r="A429" t="s">
        <v>730</v>
      </c>
      <c r="B429" t="s">
        <v>743</v>
      </c>
      <c r="C429" s="4">
        <v>4.2</v>
      </c>
      <c r="D429" s="4">
        <v>2009</v>
      </c>
      <c r="E429" t="s">
        <v>744</v>
      </c>
      <c r="F429" s="4">
        <v>19.239304799999999</v>
      </c>
      <c r="G429">
        <v>72.842684399999996</v>
      </c>
      <c r="H429"/>
    </row>
    <row r="430" spans="1:8">
      <c r="A430" t="s">
        <v>730</v>
      </c>
      <c r="B430" t="s">
        <v>745</v>
      </c>
      <c r="C430" s="4">
        <v>4.2</v>
      </c>
      <c r="D430" s="4">
        <v>1536</v>
      </c>
      <c r="E430" t="s">
        <v>746</v>
      </c>
      <c r="F430" s="4">
        <v>19.220670699999999</v>
      </c>
      <c r="G430">
        <v>72.850291900000002</v>
      </c>
      <c r="H430"/>
    </row>
    <row r="431" spans="1:8">
      <c r="A431" t="s">
        <v>730</v>
      </c>
      <c r="B431" t="s">
        <v>747</v>
      </c>
      <c r="C431" s="4">
        <v>4</v>
      </c>
      <c r="D431" s="4">
        <v>2072</v>
      </c>
      <c r="E431" t="s">
        <v>748</v>
      </c>
      <c r="F431" s="4">
        <v>19.220461199999999</v>
      </c>
      <c r="G431">
        <v>72.8477259</v>
      </c>
      <c r="H431"/>
    </row>
    <row r="432" spans="1:8">
      <c r="A432" t="s">
        <v>730</v>
      </c>
      <c r="B432" t="s">
        <v>749</v>
      </c>
      <c r="C432" s="4">
        <v>4</v>
      </c>
      <c r="D432" s="4">
        <v>1648</v>
      </c>
      <c r="E432" t="s">
        <v>750</v>
      </c>
      <c r="F432" s="4">
        <v>19.2284541</v>
      </c>
      <c r="G432">
        <v>72.852663100000001</v>
      </c>
      <c r="H432"/>
    </row>
    <row r="433" spans="1:8">
      <c r="A433" t="s">
        <v>730</v>
      </c>
      <c r="B433" t="s">
        <v>751</v>
      </c>
      <c r="C433" s="4">
        <v>4.4000000000000004</v>
      </c>
      <c r="D433" s="4">
        <v>501</v>
      </c>
      <c r="E433" t="s">
        <v>752</v>
      </c>
      <c r="F433" s="4">
        <v>19.221299500000001</v>
      </c>
      <c r="G433">
        <v>72.847728799999999</v>
      </c>
      <c r="H433"/>
    </row>
    <row r="434" spans="1:8">
      <c r="A434" t="s">
        <v>730</v>
      </c>
      <c r="B434" t="s">
        <v>753</v>
      </c>
      <c r="C434" s="4">
        <v>4.2</v>
      </c>
      <c r="D434" s="4">
        <v>2721</v>
      </c>
      <c r="E434" t="s">
        <v>754</v>
      </c>
      <c r="F434" s="4">
        <v>19.220981200000001</v>
      </c>
      <c r="G434">
        <v>72.862117400000002</v>
      </c>
      <c r="H434"/>
    </row>
    <row r="435" spans="1:8">
      <c r="A435" t="s">
        <v>730</v>
      </c>
      <c r="B435" t="s">
        <v>755</v>
      </c>
      <c r="C435" s="4">
        <v>4</v>
      </c>
      <c r="D435" s="4">
        <v>2993</v>
      </c>
      <c r="E435" t="s">
        <v>756</v>
      </c>
      <c r="F435" s="4">
        <v>19.220029499999999</v>
      </c>
      <c r="G435">
        <v>72.848031699999893</v>
      </c>
      <c r="H435"/>
    </row>
    <row r="436" spans="1:8">
      <c r="A436" t="s">
        <v>730</v>
      </c>
      <c r="B436" t="s">
        <v>123</v>
      </c>
      <c r="C436" s="4">
        <v>4.4000000000000004</v>
      </c>
      <c r="D436" s="4">
        <v>3062</v>
      </c>
      <c r="E436" t="s">
        <v>757</v>
      </c>
      <c r="F436" s="4">
        <v>19.241682999999998</v>
      </c>
      <c r="G436">
        <v>72.844860999999995</v>
      </c>
      <c r="H436"/>
    </row>
    <row r="437" spans="1:8">
      <c r="A437" t="s">
        <v>730</v>
      </c>
      <c r="B437" t="s">
        <v>758</v>
      </c>
      <c r="C437" s="4">
        <v>4.7</v>
      </c>
      <c r="D437" s="4">
        <v>361</v>
      </c>
      <c r="E437" t="s">
        <v>759</v>
      </c>
      <c r="F437" s="4">
        <v>19.246457199999998</v>
      </c>
      <c r="G437">
        <v>72.851136699999998</v>
      </c>
      <c r="H437"/>
    </row>
    <row r="438" spans="1:8">
      <c r="A438" t="s">
        <v>730</v>
      </c>
      <c r="B438" t="s">
        <v>760</v>
      </c>
      <c r="C438" s="4">
        <v>4.0999999999999996</v>
      </c>
      <c r="D438" s="4">
        <v>1323</v>
      </c>
      <c r="E438" t="s">
        <v>761</v>
      </c>
      <c r="F438" s="4">
        <v>19.229567400000001</v>
      </c>
      <c r="G438">
        <v>72.852605299999993</v>
      </c>
      <c r="H438"/>
    </row>
    <row r="439" spans="1:8">
      <c r="A439" t="s">
        <v>730</v>
      </c>
      <c r="B439" t="s">
        <v>762</v>
      </c>
      <c r="C439" s="4">
        <v>4.2</v>
      </c>
      <c r="D439" s="4">
        <v>235</v>
      </c>
      <c r="E439" t="s">
        <v>763</v>
      </c>
      <c r="F439" s="4">
        <v>19.2427311</v>
      </c>
      <c r="G439">
        <v>72.844791499999999</v>
      </c>
      <c r="H439"/>
    </row>
    <row r="440" spans="1:8">
      <c r="A440" t="s">
        <v>730</v>
      </c>
      <c r="B440" t="s">
        <v>764</v>
      </c>
      <c r="C440" s="4">
        <v>4.4000000000000004</v>
      </c>
      <c r="D440" s="4">
        <v>115</v>
      </c>
      <c r="E440" t="s">
        <v>765</v>
      </c>
      <c r="F440" s="4">
        <v>19.248138000000001</v>
      </c>
      <c r="G440">
        <v>72.853431999999998</v>
      </c>
      <c r="H440"/>
    </row>
    <row r="441" spans="1:8">
      <c r="A441" t="s">
        <v>730</v>
      </c>
      <c r="B441" t="s">
        <v>766</v>
      </c>
      <c r="C441" s="4">
        <v>4.4000000000000004</v>
      </c>
      <c r="D441" s="4">
        <v>6031</v>
      </c>
      <c r="E441" t="s">
        <v>767</v>
      </c>
      <c r="F441" s="4">
        <v>19.254640200000001</v>
      </c>
      <c r="G441">
        <v>72.8490824</v>
      </c>
      <c r="H441"/>
    </row>
    <row r="442" spans="1:8">
      <c r="A442" t="s">
        <v>730</v>
      </c>
      <c r="B442" t="s">
        <v>768</v>
      </c>
      <c r="C442" s="4">
        <v>4.8</v>
      </c>
      <c r="D442" s="4">
        <v>2029</v>
      </c>
      <c r="E442" t="s">
        <v>769</v>
      </c>
      <c r="F442" s="4">
        <v>19.220757899999999</v>
      </c>
      <c r="G442">
        <v>72.850186299999905</v>
      </c>
      <c r="H442"/>
    </row>
    <row r="443" spans="1:8">
      <c r="A443" t="s">
        <v>730</v>
      </c>
      <c r="B443" t="s">
        <v>770</v>
      </c>
      <c r="C443" s="4">
        <v>4.2</v>
      </c>
      <c r="D443" s="4">
        <v>1622</v>
      </c>
      <c r="E443" t="s">
        <v>771</v>
      </c>
      <c r="F443" s="4">
        <v>19.242041400000002</v>
      </c>
      <c r="G443">
        <v>72.845063499999995</v>
      </c>
      <c r="H443"/>
    </row>
    <row r="444" spans="1:8">
      <c r="A444" t="s">
        <v>730</v>
      </c>
      <c r="B444" t="s">
        <v>772</v>
      </c>
      <c r="C444" s="4">
        <v>4.0999999999999996</v>
      </c>
      <c r="D444" s="4">
        <v>1216</v>
      </c>
      <c r="E444" t="s">
        <v>773</v>
      </c>
      <c r="F444" s="4">
        <v>19.250579099999999</v>
      </c>
      <c r="G444">
        <v>72.846293000000003</v>
      </c>
      <c r="H444"/>
    </row>
    <row r="445" spans="1:8">
      <c r="A445" t="s">
        <v>730</v>
      </c>
      <c r="B445" t="s">
        <v>724</v>
      </c>
      <c r="C445" s="4">
        <v>4.3</v>
      </c>
      <c r="D445" s="4">
        <v>235</v>
      </c>
      <c r="E445" t="s">
        <v>774</v>
      </c>
      <c r="F445" s="4">
        <v>19.250822500000002</v>
      </c>
      <c r="G445">
        <v>72.846233299999994</v>
      </c>
      <c r="H445"/>
    </row>
    <row r="446" spans="1:8">
      <c r="A446" t="s">
        <v>730</v>
      </c>
      <c r="B446" t="s">
        <v>775</v>
      </c>
      <c r="C446" s="4">
        <v>4.9000000000000004</v>
      </c>
      <c r="D446" s="4">
        <v>156</v>
      </c>
      <c r="E446" t="s">
        <v>776</v>
      </c>
      <c r="F446" s="4">
        <v>19.2280981</v>
      </c>
      <c r="G446">
        <v>72.858189799999906</v>
      </c>
      <c r="H446"/>
    </row>
    <row r="447" spans="1:8">
      <c r="A447" t="s">
        <v>730</v>
      </c>
      <c r="B447" t="s">
        <v>48</v>
      </c>
      <c r="C447" s="4">
        <v>4.7</v>
      </c>
      <c r="D447" s="4">
        <v>1380</v>
      </c>
      <c r="E447" t="s">
        <v>777</v>
      </c>
      <c r="F447" s="4">
        <v>19.213317400000001</v>
      </c>
      <c r="G447">
        <v>72.842260899999999</v>
      </c>
      <c r="H447"/>
    </row>
    <row r="448" spans="1:8">
      <c r="A448" t="s">
        <v>730</v>
      </c>
      <c r="B448" t="s">
        <v>778</v>
      </c>
      <c r="C448" s="4">
        <v>4.0999999999999996</v>
      </c>
      <c r="D448" s="4">
        <v>4966</v>
      </c>
      <c r="E448" t="s">
        <v>779</v>
      </c>
      <c r="F448" s="4">
        <v>19.223655900000001</v>
      </c>
      <c r="G448">
        <v>72.841161900000003</v>
      </c>
      <c r="H448"/>
    </row>
    <row r="449" spans="1:8">
      <c r="A449" t="s">
        <v>730</v>
      </c>
      <c r="B449" t="s">
        <v>780</v>
      </c>
      <c r="C449" s="4">
        <v>4.5</v>
      </c>
      <c r="D449" s="4">
        <v>483</v>
      </c>
      <c r="E449" t="s">
        <v>781</v>
      </c>
      <c r="F449" s="4">
        <v>19.2427654</v>
      </c>
      <c r="G449">
        <v>72.845858699999994</v>
      </c>
      <c r="H449"/>
    </row>
    <row r="450" spans="1:8">
      <c r="A450" t="s">
        <v>730</v>
      </c>
      <c r="B450" t="s">
        <v>782</v>
      </c>
      <c r="C450" s="4">
        <v>4.5999999999999996</v>
      </c>
      <c r="D450" s="4">
        <v>619</v>
      </c>
      <c r="E450" t="s">
        <v>783</v>
      </c>
      <c r="F450" s="4">
        <v>19.2548934</v>
      </c>
      <c r="G450">
        <v>72.848951599999907</v>
      </c>
      <c r="H450"/>
    </row>
    <row r="451" spans="1:8">
      <c r="A451" t="s">
        <v>730</v>
      </c>
      <c r="B451" t="s">
        <v>784</v>
      </c>
      <c r="C451" s="4">
        <v>4.0999999999999996</v>
      </c>
      <c r="D451" s="4">
        <v>540</v>
      </c>
      <c r="E451" t="s">
        <v>785</v>
      </c>
      <c r="F451" s="4">
        <v>19.228558799999998</v>
      </c>
      <c r="G451">
        <v>72.854664599999893</v>
      </c>
      <c r="H451"/>
    </row>
    <row r="452" spans="1:8">
      <c r="A452" t="s">
        <v>730</v>
      </c>
      <c r="B452" t="s">
        <v>786</v>
      </c>
      <c r="C452" s="4">
        <v>4.5</v>
      </c>
      <c r="D452" s="4">
        <v>67</v>
      </c>
      <c r="E452" t="s">
        <v>787</v>
      </c>
      <c r="F452" s="4">
        <v>19.218018600000001</v>
      </c>
      <c r="G452">
        <v>72.842161099999998</v>
      </c>
      <c r="H452"/>
    </row>
    <row r="453" spans="1:8">
      <c r="A453" t="s">
        <v>730</v>
      </c>
      <c r="B453" t="s">
        <v>788</v>
      </c>
      <c r="C453" s="4">
        <v>4.8</v>
      </c>
      <c r="D453" s="4">
        <v>101</v>
      </c>
      <c r="E453" t="s">
        <v>789</v>
      </c>
      <c r="F453" s="4">
        <v>19.218133300000002</v>
      </c>
      <c r="G453">
        <v>72.838131399999995</v>
      </c>
      <c r="H453"/>
    </row>
    <row r="454" spans="1:8">
      <c r="A454" t="s">
        <v>730</v>
      </c>
      <c r="B454" t="s">
        <v>790</v>
      </c>
      <c r="C454" s="4">
        <v>4</v>
      </c>
      <c r="D454" s="4">
        <v>205</v>
      </c>
      <c r="E454" t="s">
        <v>791</v>
      </c>
      <c r="F454" s="4">
        <v>19.250371699999999</v>
      </c>
      <c r="G454">
        <v>72.846058799999994</v>
      </c>
      <c r="H454"/>
    </row>
    <row r="455" spans="1:8">
      <c r="A455" t="s">
        <v>730</v>
      </c>
      <c r="B455" t="s">
        <v>792</v>
      </c>
      <c r="C455" s="4">
        <v>4.7</v>
      </c>
      <c r="D455" s="4">
        <v>57</v>
      </c>
      <c r="E455" t="s">
        <v>793</v>
      </c>
      <c r="F455" s="4">
        <v>19.229896499999999</v>
      </c>
      <c r="G455">
        <v>72.862084099999905</v>
      </c>
      <c r="H455"/>
    </row>
    <row r="456" spans="1:8">
      <c r="A456" t="s">
        <v>730</v>
      </c>
      <c r="B456" t="s">
        <v>794</v>
      </c>
      <c r="C456" s="4">
        <v>4.2</v>
      </c>
      <c r="D456" s="4">
        <v>2109</v>
      </c>
      <c r="E456" t="s">
        <v>795</v>
      </c>
      <c r="F456" s="4">
        <v>19.214727199999999</v>
      </c>
      <c r="G456">
        <v>72.867216599999907</v>
      </c>
      <c r="H456"/>
    </row>
    <row r="457" spans="1:8">
      <c r="A457" t="s">
        <v>730</v>
      </c>
      <c r="B457" t="s">
        <v>796</v>
      </c>
      <c r="C457" s="4">
        <v>4.0999999999999996</v>
      </c>
      <c r="D457" s="4">
        <v>57</v>
      </c>
      <c r="E457" t="s">
        <v>797</v>
      </c>
      <c r="F457" s="4">
        <v>19.224091099999999</v>
      </c>
      <c r="G457">
        <v>72.846323900000002</v>
      </c>
      <c r="H457"/>
    </row>
    <row r="458" spans="1:8">
      <c r="A458" t="s">
        <v>730</v>
      </c>
      <c r="B458" t="s">
        <v>798</v>
      </c>
      <c r="C458" s="4">
        <v>4.2</v>
      </c>
      <c r="D458" s="4">
        <v>317</v>
      </c>
      <c r="E458" t="s">
        <v>799</v>
      </c>
      <c r="F458" s="4">
        <v>19.231347800000002</v>
      </c>
      <c r="G458">
        <v>72.859981899999994</v>
      </c>
      <c r="H458"/>
    </row>
    <row r="459" spans="1:8">
      <c r="A459" t="s">
        <v>730</v>
      </c>
      <c r="B459" t="s">
        <v>800</v>
      </c>
      <c r="C459" s="4">
        <v>4.4000000000000004</v>
      </c>
      <c r="D459" s="4">
        <v>40</v>
      </c>
      <c r="E459" t="s">
        <v>801</v>
      </c>
      <c r="F459" s="4">
        <v>19.2233521</v>
      </c>
      <c r="G459">
        <v>72.841061400000001</v>
      </c>
      <c r="H459"/>
    </row>
    <row r="460" spans="1:8">
      <c r="A460" t="s">
        <v>730</v>
      </c>
      <c r="B460" t="s">
        <v>802</v>
      </c>
      <c r="C460" s="4">
        <v>4.4000000000000004</v>
      </c>
      <c r="D460" s="4">
        <v>26</v>
      </c>
      <c r="E460" t="s">
        <v>803</v>
      </c>
      <c r="F460" s="4">
        <v>19.236942299999999</v>
      </c>
      <c r="G460">
        <v>72.853710800000002</v>
      </c>
      <c r="H460"/>
    </row>
    <row r="461" spans="1:8">
      <c r="A461" t="s">
        <v>730</v>
      </c>
      <c r="B461" t="s">
        <v>804</v>
      </c>
      <c r="C461" s="4">
        <v>4.2</v>
      </c>
      <c r="D461" s="4">
        <v>308</v>
      </c>
      <c r="E461" t="s">
        <v>805</v>
      </c>
      <c r="F461" s="4">
        <v>19.239961999999998</v>
      </c>
      <c r="G461">
        <v>72.8392695</v>
      </c>
      <c r="H461"/>
    </row>
    <row r="462" spans="1:8">
      <c r="A462" t="s">
        <v>730</v>
      </c>
      <c r="B462" t="s">
        <v>806</v>
      </c>
      <c r="C462" s="4">
        <v>4</v>
      </c>
      <c r="D462" s="4">
        <v>1861</v>
      </c>
      <c r="E462" t="s">
        <v>807</v>
      </c>
      <c r="F462" s="4">
        <v>19.2149134</v>
      </c>
      <c r="G462">
        <v>72.868282399999998</v>
      </c>
      <c r="H462"/>
    </row>
    <row r="463" spans="1:8">
      <c r="A463" t="s">
        <v>730</v>
      </c>
      <c r="B463" t="s">
        <v>808</v>
      </c>
      <c r="C463" s="4">
        <v>4.9000000000000004</v>
      </c>
      <c r="D463" s="4">
        <v>40</v>
      </c>
      <c r="E463" t="s">
        <v>809</v>
      </c>
      <c r="F463" s="4">
        <v>19.2224565</v>
      </c>
      <c r="G463">
        <v>72.849232000000001</v>
      </c>
      <c r="H463"/>
    </row>
    <row r="464" spans="1:8">
      <c r="A464" t="s">
        <v>730</v>
      </c>
      <c r="B464" t="s">
        <v>810</v>
      </c>
      <c r="C464" s="4">
        <v>5</v>
      </c>
      <c r="D464" s="4">
        <v>46</v>
      </c>
      <c r="E464" t="s">
        <v>811</v>
      </c>
      <c r="F464" s="4">
        <v>19.222591300000001</v>
      </c>
      <c r="G464">
        <v>72.841161900000003</v>
      </c>
      <c r="H464"/>
    </row>
    <row r="465" spans="1:8">
      <c r="A465" t="s">
        <v>730</v>
      </c>
      <c r="B465" t="s">
        <v>812</v>
      </c>
      <c r="C465" s="4">
        <v>3.8</v>
      </c>
      <c r="D465" s="4">
        <v>1399</v>
      </c>
      <c r="E465" t="s">
        <v>813</v>
      </c>
      <c r="F465" s="4">
        <v>19.215497899999999</v>
      </c>
      <c r="G465">
        <v>72.868078999999994</v>
      </c>
      <c r="H465"/>
    </row>
    <row r="466" spans="1:8">
      <c r="A466" t="s">
        <v>730</v>
      </c>
      <c r="B466" t="s">
        <v>814</v>
      </c>
      <c r="C466" s="4">
        <v>4.2</v>
      </c>
      <c r="D466" s="4">
        <v>3345</v>
      </c>
      <c r="E466" t="s">
        <v>815</v>
      </c>
      <c r="F466" s="4">
        <v>19.2499985</v>
      </c>
      <c r="G466">
        <v>72.847911799999906</v>
      </c>
      <c r="H466"/>
    </row>
    <row r="467" spans="1:8">
      <c r="A467" t="s">
        <v>730</v>
      </c>
      <c r="B467" t="s">
        <v>816</v>
      </c>
      <c r="C467" s="4">
        <v>3.7</v>
      </c>
      <c r="D467" s="4">
        <v>849</v>
      </c>
      <c r="E467" t="s">
        <v>817</v>
      </c>
      <c r="F467" s="4">
        <v>19.227692900000001</v>
      </c>
      <c r="G467">
        <v>72.855286499999906</v>
      </c>
      <c r="H467"/>
    </row>
    <row r="468" spans="1:8">
      <c r="A468" t="s">
        <v>730</v>
      </c>
      <c r="B468" t="s">
        <v>584</v>
      </c>
      <c r="C468" s="4">
        <v>4.2</v>
      </c>
      <c r="D468" s="4">
        <v>1155</v>
      </c>
      <c r="E468" t="s">
        <v>818</v>
      </c>
      <c r="F468" s="4">
        <v>19.213444800000001</v>
      </c>
      <c r="G468">
        <v>72.838064099999997</v>
      </c>
      <c r="H468"/>
    </row>
    <row r="469" spans="1:8">
      <c r="A469" t="s">
        <v>730</v>
      </c>
      <c r="B469" t="s">
        <v>819</v>
      </c>
      <c r="C469" s="4">
        <v>4.4000000000000004</v>
      </c>
      <c r="D469" s="4">
        <v>281</v>
      </c>
      <c r="E469" t="s">
        <v>820</v>
      </c>
      <c r="F469" s="4">
        <v>19.2288362</v>
      </c>
      <c r="G469">
        <v>72.857319599999997</v>
      </c>
      <c r="H469"/>
    </row>
    <row r="470" spans="1:8">
      <c r="A470" t="s">
        <v>730</v>
      </c>
      <c r="B470" t="s">
        <v>821</v>
      </c>
      <c r="C470" s="4">
        <v>4.0999999999999996</v>
      </c>
      <c r="D470" s="4">
        <v>2216</v>
      </c>
      <c r="E470" t="s">
        <v>822</v>
      </c>
      <c r="F470" s="4">
        <v>19.222928400000001</v>
      </c>
      <c r="G470">
        <v>72.854545299999998</v>
      </c>
      <c r="H470"/>
    </row>
    <row r="471" spans="1:8">
      <c r="A471" t="s">
        <v>730</v>
      </c>
      <c r="B471" t="s">
        <v>823</v>
      </c>
      <c r="C471" s="4">
        <v>4.5999999999999996</v>
      </c>
      <c r="D471" s="4">
        <v>17</v>
      </c>
      <c r="E471" t="s">
        <v>824</v>
      </c>
      <c r="F471" s="4">
        <v>19.2275189</v>
      </c>
      <c r="G471">
        <v>72.849493999999893</v>
      </c>
      <c r="H471"/>
    </row>
    <row r="472" spans="1:8">
      <c r="A472" t="s">
        <v>730</v>
      </c>
      <c r="B472" t="s">
        <v>825</v>
      </c>
      <c r="C472" s="4">
        <v>4.2</v>
      </c>
      <c r="D472" s="4">
        <v>147</v>
      </c>
      <c r="E472" t="s">
        <v>826</v>
      </c>
      <c r="F472" s="4">
        <v>19.245398999999999</v>
      </c>
      <c r="G472">
        <v>72.850939499999996</v>
      </c>
      <c r="H472"/>
    </row>
    <row r="473" spans="1:8">
      <c r="A473" t="s">
        <v>730</v>
      </c>
      <c r="B473" t="s">
        <v>827</v>
      </c>
      <c r="C473" s="4">
        <v>4.4000000000000004</v>
      </c>
      <c r="D473" s="4">
        <v>213</v>
      </c>
      <c r="E473" t="s">
        <v>828</v>
      </c>
      <c r="F473" s="4">
        <v>19.222405500000001</v>
      </c>
      <c r="G473">
        <v>72.848050499999999</v>
      </c>
      <c r="H473"/>
    </row>
    <row r="474" spans="1:8">
      <c r="A474" t="s">
        <v>730</v>
      </c>
      <c r="B474" t="s">
        <v>829</v>
      </c>
      <c r="C474" s="4">
        <v>4.8</v>
      </c>
      <c r="D474" s="4">
        <v>19</v>
      </c>
      <c r="E474" t="s">
        <v>830</v>
      </c>
      <c r="F474" s="4">
        <v>19.2179644</v>
      </c>
      <c r="G474">
        <v>72.842257799999999</v>
      </c>
      <c r="H474"/>
    </row>
    <row r="475" spans="1:8">
      <c r="A475" t="s">
        <v>730</v>
      </c>
      <c r="B475" t="s">
        <v>831</v>
      </c>
      <c r="C475" s="4">
        <v>4.0999999999999996</v>
      </c>
      <c r="D475" s="4">
        <v>235</v>
      </c>
      <c r="E475" t="s">
        <v>832</v>
      </c>
      <c r="F475" s="4">
        <v>19.234054</v>
      </c>
      <c r="G475">
        <v>72.853424500000003</v>
      </c>
      <c r="H475"/>
    </row>
    <row r="476" spans="1:8">
      <c r="A476" t="s">
        <v>730</v>
      </c>
      <c r="B476" t="s">
        <v>833</v>
      </c>
      <c r="C476" s="4">
        <v>4.2</v>
      </c>
      <c r="D476" s="4">
        <v>1036</v>
      </c>
      <c r="E476" t="s">
        <v>834</v>
      </c>
      <c r="F476" s="4">
        <v>19.233814500000001</v>
      </c>
      <c r="G476">
        <v>72.853820900000002</v>
      </c>
      <c r="H476"/>
    </row>
    <row r="477" spans="1:8">
      <c r="A477" t="s">
        <v>730</v>
      </c>
      <c r="B477" t="s">
        <v>835</v>
      </c>
      <c r="C477" s="4">
        <v>4.5</v>
      </c>
      <c r="D477" s="4">
        <v>34</v>
      </c>
      <c r="E477" t="s">
        <v>836</v>
      </c>
      <c r="F477" s="4">
        <v>19.250648099999999</v>
      </c>
      <c r="G477">
        <v>72.846229199999996</v>
      </c>
      <c r="H477"/>
    </row>
    <row r="478" spans="1:8">
      <c r="A478" t="s">
        <v>730</v>
      </c>
      <c r="B478" t="s">
        <v>837</v>
      </c>
      <c r="C478" s="4">
        <v>4.5999999999999996</v>
      </c>
      <c r="D478" s="4">
        <v>390</v>
      </c>
      <c r="E478" t="s">
        <v>838</v>
      </c>
      <c r="F478" s="4">
        <v>19.234904499999999</v>
      </c>
      <c r="G478">
        <v>72.840994199999997</v>
      </c>
      <c r="H478"/>
    </row>
    <row r="479" spans="1:8">
      <c r="A479" t="s">
        <v>730</v>
      </c>
      <c r="B479" t="s">
        <v>839</v>
      </c>
      <c r="C479" s="4">
        <v>4.2</v>
      </c>
      <c r="D479" s="4">
        <v>9310</v>
      </c>
      <c r="E479" t="s">
        <v>840</v>
      </c>
      <c r="F479" s="4">
        <v>19.220508500000001</v>
      </c>
      <c r="G479">
        <v>72.841148599999997</v>
      </c>
      <c r="H479"/>
    </row>
    <row r="480" spans="1:8">
      <c r="A480" t="s">
        <v>730</v>
      </c>
      <c r="B480" t="s">
        <v>841</v>
      </c>
      <c r="C480" s="4">
        <v>4.9000000000000004</v>
      </c>
      <c r="D480" s="4">
        <v>13</v>
      </c>
      <c r="E480" t="s">
        <v>842</v>
      </c>
      <c r="F480" s="4">
        <v>19.231182199999999</v>
      </c>
      <c r="G480">
        <v>72.824813699999893</v>
      </c>
      <c r="H480"/>
    </row>
    <row r="481" spans="1:8">
      <c r="A481" t="s">
        <v>730</v>
      </c>
      <c r="B481" t="s">
        <v>843</v>
      </c>
      <c r="C481" s="4">
        <v>4.7</v>
      </c>
      <c r="D481" s="4">
        <v>34</v>
      </c>
      <c r="E481" t="s">
        <v>844</v>
      </c>
      <c r="F481" s="4">
        <v>19.2349076</v>
      </c>
      <c r="G481">
        <v>72.844816499999993</v>
      </c>
      <c r="H481"/>
    </row>
    <row r="482" spans="1:8">
      <c r="A482" t="s">
        <v>845</v>
      </c>
      <c r="B482" t="s">
        <v>846</v>
      </c>
      <c r="C482" s="4">
        <v>4.0999999999999996</v>
      </c>
      <c r="D482" s="4">
        <v>1240</v>
      </c>
      <c r="E482" t="s">
        <v>847</v>
      </c>
      <c r="F482" s="4">
        <v>19.086548400000002</v>
      </c>
      <c r="G482">
        <v>72.889735399999907</v>
      </c>
      <c r="H482"/>
    </row>
    <row r="483" spans="1:8">
      <c r="A483" t="s">
        <v>845</v>
      </c>
      <c r="B483" t="s">
        <v>848</v>
      </c>
      <c r="C483" s="4">
        <v>4.5</v>
      </c>
      <c r="D483" s="4">
        <v>2570</v>
      </c>
      <c r="E483" t="s">
        <v>849</v>
      </c>
      <c r="F483" s="4">
        <v>19.067784</v>
      </c>
      <c r="G483">
        <v>72.868971799999997</v>
      </c>
      <c r="H483"/>
    </row>
    <row r="484" spans="1:8">
      <c r="A484" t="s">
        <v>845</v>
      </c>
      <c r="B484" t="s">
        <v>48</v>
      </c>
      <c r="C484" s="4">
        <v>4.9000000000000004</v>
      </c>
      <c r="D484" s="4">
        <v>420</v>
      </c>
      <c r="E484" t="s">
        <v>850</v>
      </c>
      <c r="F484" s="4">
        <v>19.0718611</v>
      </c>
      <c r="G484">
        <v>72.876555600000003</v>
      </c>
      <c r="H484"/>
    </row>
    <row r="485" spans="1:8">
      <c r="A485" t="s">
        <v>845</v>
      </c>
      <c r="B485" t="s">
        <v>851</v>
      </c>
      <c r="C485" s="4">
        <v>4.9000000000000004</v>
      </c>
      <c r="D485" s="4">
        <v>94</v>
      </c>
      <c r="E485" t="s">
        <v>852</v>
      </c>
      <c r="F485" s="4">
        <v>19.070182599999999</v>
      </c>
      <c r="G485">
        <v>72.898175600000002</v>
      </c>
      <c r="H485"/>
    </row>
    <row r="486" spans="1:8">
      <c r="A486" t="s">
        <v>845</v>
      </c>
      <c r="B486" t="s">
        <v>397</v>
      </c>
      <c r="C486" s="4">
        <v>4.2</v>
      </c>
      <c r="D486" s="4">
        <v>1556</v>
      </c>
      <c r="E486" t="s">
        <v>853</v>
      </c>
      <c r="F486" s="4">
        <v>19.0592644</v>
      </c>
      <c r="G486">
        <v>72.864664199999893</v>
      </c>
      <c r="H486"/>
    </row>
    <row r="487" spans="1:8">
      <c r="A487" t="s">
        <v>845</v>
      </c>
      <c r="B487" t="s">
        <v>854</v>
      </c>
      <c r="C487" s="4">
        <v>4.9000000000000004</v>
      </c>
      <c r="D487" s="4">
        <v>35</v>
      </c>
      <c r="E487" t="s">
        <v>855</v>
      </c>
      <c r="F487" s="4">
        <v>19.0634038</v>
      </c>
      <c r="G487">
        <v>72.875044799999998</v>
      </c>
      <c r="H487"/>
    </row>
    <row r="488" spans="1:8">
      <c r="A488" t="s">
        <v>845</v>
      </c>
      <c r="B488" t="s">
        <v>856</v>
      </c>
      <c r="C488" s="4">
        <v>4</v>
      </c>
      <c r="D488" s="4">
        <v>1169</v>
      </c>
      <c r="E488" t="s">
        <v>857</v>
      </c>
      <c r="F488" s="4">
        <v>19.0863741</v>
      </c>
      <c r="G488">
        <v>72.889836299999999</v>
      </c>
      <c r="H488"/>
    </row>
    <row r="489" spans="1:8">
      <c r="A489" t="s">
        <v>845</v>
      </c>
      <c r="B489" t="s">
        <v>858</v>
      </c>
      <c r="C489" s="4">
        <v>4.2</v>
      </c>
      <c r="D489" s="4">
        <v>2002</v>
      </c>
      <c r="E489" t="s">
        <v>859</v>
      </c>
      <c r="F489" s="4">
        <v>19.0635385</v>
      </c>
      <c r="G489">
        <v>72.861966899999999</v>
      </c>
      <c r="H489"/>
    </row>
    <row r="490" spans="1:8">
      <c r="A490" t="s">
        <v>845</v>
      </c>
      <c r="B490" t="s">
        <v>860</v>
      </c>
      <c r="C490" s="4">
        <v>4.2</v>
      </c>
      <c r="D490" s="4">
        <v>742</v>
      </c>
      <c r="E490" t="s">
        <v>861</v>
      </c>
      <c r="F490" s="4">
        <v>19.0865814</v>
      </c>
      <c r="G490">
        <v>72.890038899999993</v>
      </c>
      <c r="H490"/>
    </row>
    <row r="491" spans="1:8">
      <c r="A491" t="s">
        <v>845</v>
      </c>
      <c r="B491" t="s">
        <v>862</v>
      </c>
      <c r="C491" s="4">
        <v>4.5</v>
      </c>
      <c r="D491" s="4">
        <v>2253</v>
      </c>
      <c r="E491" t="s">
        <v>863</v>
      </c>
      <c r="F491" s="4">
        <v>19.070120500000002</v>
      </c>
      <c r="G491">
        <v>72.8975121</v>
      </c>
      <c r="H491"/>
    </row>
    <row r="492" spans="1:8">
      <c r="A492" t="s">
        <v>845</v>
      </c>
      <c r="B492" t="s">
        <v>864</v>
      </c>
      <c r="C492" s="4">
        <v>4.4000000000000004</v>
      </c>
      <c r="D492" s="4">
        <v>55</v>
      </c>
      <c r="E492" t="s">
        <v>865</v>
      </c>
      <c r="F492" s="4">
        <v>19.086154499999999</v>
      </c>
      <c r="G492">
        <v>72.889519899999996</v>
      </c>
      <c r="H492"/>
    </row>
    <row r="493" spans="1:8">
      <c r="A493" t="s">
        <v>845</v>
      </c>
      <c r="B493" t="s">
        <v>866</v>
      </c>
      <c r="C493" s="4">
        <v>4.2</v>
      </c>
      <c r="D493" s="4">
        <v>505</v>
      </c>
      <c r="E493" t="s">
        <v>867</v>
      </c>
      <c r="F493" s="4">
        <v>19.083734499999998</v>
      </c>
      <c r="G493">
        <v>72.883161599999994</v>
      </c>
      <c r="H493"/>
    </row>
    <row r="494" spans="1:8">
      <c r="A494" t="s">
        <v>845</v>
      </c>
      <c r="B494" t="s">
        <v>868</v>
      </c>
      <c r="C494" s="4">
        <v>4.8</v>
      </c>
      <c r="D494" s="4">
        <v>71</v>
      </c>
      <c r="E494" t="s">
        <v>869</v>
      </c>
      <c r="F494" s="4">
        <v>19.080453299999999</v>
      </c>
      <c r="G494">
        <v>72.889644500000003</v>
      </c>
      <c r="H494"/>
    </row>
    <row r="495" spans="1:8">
      <c r="A495" t="s">
        <v>845</v>
      </c>
      <c r="B495" t="s">
        <v>870</v>
      </c>
      <c r="C495" s="4">
        <v>4.2</v>
      </c>
      <c r="D495" s="4">
        <v>52</v>
      </c>
      <c r="E495" t="s">
        <v>871</v>
      </c>
      <c r="F495" s="4">
        <v>19.0624623</v>
      </c>
      <c r="G495">
        <v>72.876644499999998</v>
      </c>
      <c r="H495"/>
    </row>
    <row r="496" spans="1:8">
      <c r="A496" t="s">
        <v>845</v>
      </c>
      <c r="B496" t="s">
        <v>309</v>
      </c>
      <c r="C496" s="4">
        <v>4.3</v>
      </c>
      <c r="D496" s="4">
        <v>283</v>
      </c>
      <c r="E496" t="s">
        <v>872</v>
      </c>
      <c r="F496" s="4">
        <v>19.085432999999998</v>
      </c>
      <c r="G496">
        <v>72.887681299999997</v>
      </c>
      <c r="H496"/>
    </row>
    <row r="497" spans="1:8">
      <c r="A497" t="s">
        <v>845</v>
      </c>
      <c r="B497" t="s">
        <v>873</v>
      </c>
      <c r="C497" s="4">
        <v>4.7</v>
      </c>
      <c r="D497" s="4">
        <v>49</v>
      </c>
      <c r="E497" t="s">
        <v>874</v>
      </c>
      <c r="F497" s="4">
        <v>19.073816000000001</v>
      </c>
      <c r="G497">
        <v>72.8817193</v>
      </c>
      <c r="H497"/>
    </row>
    <row r="498" spans="1:8">
      <c r="A498" t="s">
        <v>845</v>
      </c>
      <c r="B498" t="s">
        <v>875</v>
      </c>
      <c r="C498" s="4">
        <v>4.0999999999999996</v>
      </c>
      <c r="D498" s="4">
        <v>646</v>
      </c>
      <c r="E498" t="s">
        <v>876</v>
      </c>
      <c r="F498" s="4">
        <v>19.0766195</v>
      </c>
      <c r="G498">
        <v>72.880073699999997</v>
      </c>
      <c r="H498"/>
    </row>
    <row r="499" spans="1:8">
      <c r="A499" t="s">
        <v>845</v>
      </c>
      <c r="B499" t="s">
        <v>140</v>
      </c>
      <c r="C499" s="4">
        <v>3.9</v>
      </c>
      <c r="D499" s="4">
        <v>554</v>
      </c>
      <c r="E499" t="s">
        <v>877</v>
      </c>
      <c r="F499" s="4">
        <v>19.0866319</v>
      </c>
      <c r="G499">
        <v>72.889421999999996</v>
      </c>
      <c r="H499"/>
    </row>
    <row r="500" spans="1:8">
      <c r="A500" t="s">
        <v>845</v>
      </c>
      <c r="B500" t="s">
        <v>878</v>
      </c>
      <c r="C500" s="4">
        <v>4.9000000000000004</v>
      </c>
      <c r="D500" s="4">
        <v>26</v>
      </c>
      <c r="E500" t="s">
        <v>879</v>
      </c>
      <c r="F500" s="4">
        <v>19.086236499999998</v>
      </c>
      <c r="G500">
        <v>72.890171100000003</v>
      </c>
      <c r="H500"/>
    </row>
    <row r="501" spans="1:8">
      <c r="A501" t="s">
        <v>845</v>
      </c>
      <c r="B501" t="s">
        <v>123</v>
      </c>
      <c r="C501" s="4">
        <v>4.4000000000000004</v>
      </c>
      <c r="D501" s="4">
        <v>1594</v>
      </c>
      <c r="E501" t="s">
        <v>880</v>
      </c>
      <c r="F501" s="4">
        <v>19.086688599999999</v>
      </c>
      <c r="G501">
        <v>72.890236599999994</v>
      </c>
      <c r="H501"/>
    </row>
    <row r="502" spans="1:8">
      <c r="A502" t="s">
        <v>845</v>
      </c>
      <c r="B502" t="s">
        <v>881</v>
      </c>
      <c r="C502" s="4">
        <v>4.3</v>
      </c>
      <c r="D502" s="4">
        <v>2600</v>
      </c>
      <c r="E502" t="s">
        <v>882</v>
      </c>
      <c r="F502" s="4">
        <v>19.086301599999999</v>
      </c>
      <c r="G502">
        <v>72.888437499999995</v>
      </c>
      <c r="H502"/>
    </row>
    <row r="503" spans="1:8">
      <c r="A503" t="s">
        <v>845</v>
      </c>
      <c r="B503" t="s">
        <v>883</v>
      </c>
      <c r="C503" s="4">
        <v>4.2</v>
      </c>
      <c r="D503" s="4">
        <v>49</v>
      </c>
      <c r="E503" t="s">
        <v>884</v>
      </c>
      <c r="F503" s="4">
        <v>19.086811300000001</v>
      </c>
      <c r="G503">
        <v>72.890064199999998</v>
      </c>
      <c r="H503"/>
    </row>
    <row r="504" spans="1:8">
      <c r="A504" t="s">
        <v>845</v>
      </c>
      <c r="B504" t="s">
        <v>885</v>
      </c>
      <c r="C504" s="4">
        <v>4.9000000000000004</v>
      </c>
      <c r="D504" s="4">
        <v>26</v>
      </c>
      <c r="E504" t="s">
        <v>886</v>
      </c>
      <c r="F504" s="4">
        <v>19.061946800000001</v>
      </c>
      <c r="G504">
        <v>72.8833032</v>
      </c>
      <c r="H504"/>
    </row>
    <row r="505" spans="1:8">
      <c r="A505" t="s">
        <v>845</v>
      </c>
      <c r="B505" t="s">
        <v>887</v>
      </c>
      <c r="C505" s="4">
        <v>5</v>
      </c>
      <c r="D505" s="4">
        <v>25</v>
      </c>
      <c r="E505" t="s">
        <v>888</v>
      </c>
      <c r="F505" s="4">
        <v>19.070233300000002</v>
      </c>
      <c r="G505">
        <v>72.875476800000001</v>
      </c>
      <c r="H505"/>
    </row>
    <row r="506" spans="1:8">
      <c r="A506" t="s">
        <v>845</v>
      </c>
      <c r="B506" t="s">
        <v>889</v>
      </c>
      <c r="C506" s="4">
        <v>3.9</v>
      </c>
      <c r="D506" s="4">
        <v>1394</v>
      </c>
      <c r="E506" t="s">
        <v>890</v>
      </c>
      <c r="F506" s="4">
        <v>19.059376799999999</v>
      </c>
      <c r="G506">
        <v>72.865386099999995</v>
      </c>
      <c r="H506"/>
    </row>
    <row r="507" spans="1:8">
      <c r="A507" t="s">
        <v>845</v>
      </c>
      <c r="B507" t="s">
        <v>891</v>
      </c>
      <c r="C507" s="4">
        <v>4.3</v>
      </c>
      <c r="D507" s="4">
        <v>5139</v>
      </c>
      <c r="E507" t="s">
        <v>892</v>
      </c>
      <c r="F507" s="4">
        <v>19.059371800000001</v>
      </c>
      <c r="G507">
        <v>72.865197600000002</v>
      </c>
      <c r="H507"/>
    </row>
    <row r="508" spans="1:8">
      <c r="A508" t="s">
        <v>845</v>
      </c>
      <c r="B508" t="s">
        <v>48</v>
      </c>
      <c r="C508" s="4">
        <v>4.7</v>
      </c>
      <c r="D508" s="4">
        <v>170</v>
      </c>
      <c r="E508" t="s">
        <v>893</v>
      </c>
      <c r="F508" s="4">
        <v>19.068366099999999</v>
      </c>
      <c r="G508">
        <v>72.868303799999893</v>
      </c>
      <c r="H508"/>
    </row>
    <row r="509" spans="1:8">
      <c r="A509" t="s">
        <v>845</v>
      </c>
      <c r="B509" t="s">
        <v>894</v>
      </c>
      <c r="C509" s="4">
        <v>4.8</v>
      </c>
      <c r="D509" s="4">
        <v>43</v>
      </c>
      <c r="E509" t="s">
        <v>895</v>
      </c>
      <c r="F509" s="4">
        <v>19.065328900000001</v>
      </c>
      <c r="G509">
        <v>72.875344299999995</v>
      </c>
      <c r="H509"/>
    </row>
    <row r="510" spans="1:8">
      <c r="A510" t="s">
        <v>845</v>
      </c>
      <c r="B510" t="s">
        <v>896</v>
      </c>
      <c r="C510" s="4">
        <v>4.0999999999999996</v>
      </c>
      <c r="D510" s="4">
        <v>399</v>
      </c>
      <c r="E510" t="s">
        <v>897</v>
      </c>
      <c r="F510" s="4">
        <v>19.060616700000001</v>
      </c>
      <c r="G510">
        <v>72.8646928</v>
      </c>
      <c r="H510"/>
    </row>
    <row r="511" spans="1:8">
      <c r="A511" t="s">
        <v>845</v>
      </c>
      <c r="B511" t="s">
        <v>898</v>
      </c>
      <c r="C511" s="4">
        <v>4.5</v>
      </c>
      <c r="D511" s="4">
        <v>42</v>
      </c>
      <c r="E511" t="s">
        <v>899</v>
      </c>
      <c r="F511" s="4">
        <v>19.075983699999998</v>
      </c>
      <c r="G511">
        <v>72.877655899999993</v>
      </c>
      <c r="H511"/>
    </row>
    <row r="512" spans="1:8">
      <c r="A512" t="s">
        <v>845</v>
      </c>
      <c r="B512" t="s">
        <v>900</v>
      </c>
      <c r="C512" s="4">
        <v>3.8</v>
      </c>
      <c r="D512" s="4">
        <v>54</v>
      </c>
      <c r="E512" t="s">
        <v>901</v>
      </c>
      <c r="F512" s="4">
        <v>19.0537642</v>
      </c>
      <c r="G512">
        <v>72.851673499999904</v>
      </c>
      <c r="H512"/>
    </row>
    <row r="513" spans="1:8">
      <c r="A513" t="s">
        <v>845</v>
      </c>
      <c r="B513" t="s">
        <v>902</v>
      </c>
      <c r="C513" s="4">
        <v>4.2</v>
      </c>
      <c r="D513" s="4">
        <v>6129</v>
      </c>
      <c r="E513" t="s">
        <v>903</v>
      </c>
      <c r="F513" s="4">
        <v>19.075987300000001</v>
      </c>
      <c r="G513">
        <v>72.876933600000001</v>
      </c>
      <c r="H513"/>
    </row>
    <row r="514" spans="1:8">
      <c r="A514" t="s">
        <v>845</v>
      </c>
      <c r="B514" t="s">
        <v>904</v>
      </c>
      <c r="C514" s="4">
        <v>4.0999999999999996</v>
      </c>
      <c r="D514" s="4">
        <v>177</v>
      </c>
      <c r="E514" t="s">
        <v>905</v>
      </c>
      <c r="F514" s="4">
        <v>19.0759474</v>
      </c>
      <c r="G514">
        <v>72.874136999999905</v>
      </c>
      <c r="H514"/>
    </row>
    <row r="515" spans="1:8">
      <c r="A515" t="s">
        <v>845</v>
      </c>
      <c r="B515" t="s">
        <v>906</v>
      </c>
      <c r="C515" s="4">
        <v>4.3</v>
      </c>
      <c r="D515" s="4">
        <v>1573</v>
      </c>
      <c r="E515" t="s">
        <v>907</v>
      </c>
      <c r="F515" s="4">
        <v>19.0631953</v>
      </c>
      <c r="G515">
        <v>72.861653099999998</v>
      </c>
      <c r="H515"/>
    </row>
    <row r="516" spans="1:8">
      <c r="A516" t="s">
        <v>845</v>
      </c>
      <c r="B516" t="s">
        <v>908</v>
      </c>
      <c r="C516" s="4">
        <v>4.4000000000000004</v>
      </c>
      <c r="D516" s="4">
        <v>1198</v>
      </c>
      <c r="E516" t="s">
        <v>909</v>
      </c>
      <c r="F516" s="4">
        <v>19.054140799999999</v>
      </c>
      <c r="G516">
        <v>72.851351800000003</v>
      </c>
      <c r="H516"/>
    </row>
    <row r="517" spans="1:8">
      <c r="A517" t="s">
        <v>845</v>
      </c>
      <c r="B517" t="s">
        <v>910</v>
      </c>
      <c r="C517" s="4">
        <v>4.0999999999999996</v>
      </c>
      <c r="D517" s="4">
        <v>47</v>
      </c>
      <c r="E517" t="s">
        <v>911</v>
      </c>
      <c r="F517" s="4">
        <v>19.098666000000001</v>
      </c>
      <c r="G517">
        <v>72.883408000000003</v>
      </c>
      <c r="H517"/>
    </row>
    <row r="518" spans="1:8">
      <c r="A518" t="s">
        <v>845</v>
      </c>
      <c r="B518" t="s">
        <v>912</v>
      </c>
      <c r="C518" s="4">
        <v>0</v>
      </c>
      <c r="D518" s="4">
        <v>0</v>
      </c>
      <c r="E518" t="s">
        <v>913</v>
      </c>
      <c r="F518" s="4">
        <v>19.076447699999999</v>
      </c>
      <c r="G518">
        <v>72.877914899999993</v>
      </c>
      <c r="H518"/>
    </row>
    <row r="519" spans="1:8">
      <c r="A519" t="s">
        <v>845</v>
      </c>
      <c r="B519" t="s">
        <v>914</v>
      </c>
      <c r="C519" s="4">
        <v>4.4000000000000004</v>
      </c>
      <c r="D519" s="4">
        <v>117</v>
      </c>
      <c r="E519" t="s">
        <v>915</v>
      </c>
      <c r="F519" s="4">
        <v>19.076406299999999</v>
      </c>
      <c r="G519">
        <v>72.883090899999999</v>
      </c>
      <c r="H519"/>
    </row>
    <row r="520" spans="1:8">
      <c r="A520" t="s">
        <v>845</v>
      </c>
      <c r="B520" t="s">
        <v>916</v>
      </c>
      <c r="C520" s="4">
        <v>5</v>
      </c>
      <c r="D520" s="4">
        <v>8</v>
      </c>
      <c r="E520" t="s">
        <v>917</v>
      </c>
      <c r="F520" s="4">
        <v>19.0758093</v>
      </c>
      <c r="G520">
        <v>72.876691199999996</v>
      </c>
      <c r="H520"/>
    </row>
    <row r="521" spans="1:8">
      <c r="A521" t="s">
        <v>845</v>
      </c>
      <c r="B521" t="s">
        <v>918</v>
      </c>
      <c r="C521" s="4">
        <v>4.8</v>
      </c>
      <c r="D521" s="4">
        <v>44</v>
      </c>
      <c r="E521" t="s">
        <v>919</v>
      </c>
      <c r="F521" s="4">
        <v>19.077392799999998</v>
      </c>
      <c r="G521">
        <v>72.880414799999997</v>
      </c>
      <c r="H521"/>
    </row>
    <row r="522" spans="1:8">
      <c r="A522" t="s">
        <v>845</v>
      </c>
      <c r="B522" t="s">
        <v>920</v>
      </c>
      <c r="C522" s="4">
        <v>5</v>
      </c>
      <c r="D522" s="4">
        <v>17</v>
      </c>
      <c r="E522" t="s">
        <v>921</v>
      </c>
      <c r="F522" s="4">
        <v>19.079141400000001</v>
      </c>
      <c r="G522">
        <v>72.880369999999999</v>
      </c>
      <c r="H522"/>
    </row>
    <row r="523" spans="1:8">
      <c r="A523" t="s">
        <v>845</v>
      </c>
      <c r="B523" t="s">
        <v>922</v>
      </c>
      <c r="C523" s="4">
        <v>5</v>
      </c>
      <c r="D523" s="4">
        <v>11</v>
      </c>
      <c r="E523" t="s">
        <v>923</v>
      </c>
      <c r="F523" s="4">
        <v>19.0694509</v>
      </c>
      <c r="G523">
        <v>72.897071799999907</v>
      </c>
      <c r="H523"/>
    </row>
    <row r="524" spans="1:8">
      <c r="A524" t="s">
        <v>845</v>
      </c>
      <c r="B524" t="s">
        <v>924</v>
      </c>
      <c r="C524" s="4">
        <v>4.2</v>
      </c>
      <c r="D524" s="4">
        <v>38</v>
      </c>
      <c r="E524" t="s">
        <v>925</v>
      </c>
      <c r="F524" s="4">
        <v>19.076461800000001</v>
      </c>
      <c r="G524">
        <v>72.880100599999906</v>
      </c>
      <c r="H524"/>
    </row>
    <row r="525" spans="1:8">
      <c r="A525" t="s">
        <v>845</v>
      </c>
      <c r="B525" t="s">
        <v>926</v>
      </c>
      <c r="C525" s="4">
        <v>3.8</v>
      </c>
      <c r="D525" s="4">
        <v>104</v>
      </c>
      <c r="E525" t="s">
        <v>927</v>
      </c>
      <c r="F525" s="4">
        <v>19.068217300000001</v>
      </c>
      <c r="G525">
        <v>72.878705099999905</v>
      </c>
      <c r="H525"/>
    </row>
    <row r="526" spans="1:8">
      <c r="A526" t="s">
        <v>845</v>
      </c>
      <c r="B526" t="s">
        <v>928</v>
      </c>
      <c r="C526" s="4">
        <v>5</v>
      </c>
      <c r="D526" s="4">
        <v>2</v>
      </c>
      <c r="E526" t="s">
        <v>929</v>
      </c>
      <c r="F526" s="4">
        <v>19.0640441</v>
      </c>
      <c r="G526">
        <v>72.895866400000003</v>
      </c>
      <c r="H526"/>
    </row>
    <row r="527" spans="1:8">
      <c r="A527" t="s">
        <v>845</v>
      </c>
      <c r="B527" t="s">
        <v>94</v>
      </c>
      <c r="C527" s="4">
        <v>4.4000000000000004</v>
      </c>
      <c r="D527" s="4">
        <v>617</v>
      </c>
      <c r="E527" t="s">
        <v>930</v>
      </c>
      <c r="F527" s="4">
        <v>19.053632400000001</v>
      </c>
      <c r="G527">
        <v>72.850844100000003</v>
      </c>
      <c r="H527"/>
    </row>
    <row r="528" spans="1:8">
      <c r="A528" t="s">
        <v>845</v>
      </c>
      <c r="B528" t="s">
        <v>931</v>
      </c>
      <c r="C528" s="4">
        <v>4.2</v>
      </c>
      <c r="D528" s="4">
        <v>66</v>
      </c>
      <c r="E528" t="s">
        <v>932</v>
      </c>
      <c r="F528" s="4">
        <v>19.0612198</v>
      </c>
      <c r="G528">
        <v>72.899378299999995</v>
      </c>
      <c r="H528"/>
    </row>
    <row r="529" spans="1:8">
      <c r="A529" t="s">
        <v>845</v>
      </c>
      <c r="B529" t="s">
        <v>933</v>
      </c>
      <c r="C529" s="4">
        <v>3.8</v>
      </c>
      <c r="D529" s="4">
        <v>594</v>
      </c>
      <c r="E529" t="s">
        <v>934</v>
      </c>
      <c r="F529" s="4">
        <v>19.0863704</v>
      </c>
      <c r="G529">
        <v>72.889925599999998</v>
      </c>
      <c r="H529"/>
    </row>
    <row r="530" spans="1:8">
      <c r="A530" t="s">
        <v>845</v>
      </c>
      <c r="B530" t="s">
        <v>935</v>
      </c>
      <c r="C530" s="4">
        <v>4.7</v>
      </c>
      <c r="D530" s="4">
        <v>3</v>
      </c>
      <c r="E530" t="s">
        <v>936</v>
      </c>
      <c r="F530" s="4">
        <v>19.0665075</v>
      </c>
      <c r="G530">
        <v>72.877959799999999</v>
      </c>
      <c r="H530"/>
    </row>
    <row r="531" spans="1:8">
      <c r="A531" t="s">
        <v>845</v>
      </c>
      <c r="B531" t="s">
        <v>937</v>
      </c>
      <c r="C531" s="4">
        <v>3.7</v>
      </c>
      <c r="D531" s="4">
        <v>103</v>
      </c>
      <c r="E531" t="s">
        <v>938</v>
      </c>
      <c r="F531" s="4">
        <v>19.064433099999999</v>
      </c>
      <c r="G531">
        <v>72.881819100000001</v>
      </c>
      <c r="H531"/>
    </row>
    <row r="532" spans="1:8">
      <c r="A532" t="s">
        <v>845</v>
      </c>
      <c r="B532" t="s">
        <v>609</v>
      </c>
      <c r="C532" s="4">
        <v>4.0999999999999996</v>
      </c>
      <c r="D532" s="4">
        <v>51</v>
      </c>
      <c r="E532" t="s">
        <v>610</v>
      </c>
      <c r="F532" s="4">
        <v>19.112267599999999</v>
      </c>
      <c r="G532">
        <v>72.8679877</v>
      </c>
      <c r="H532"/>
    </row>
    <row r="533" spans="1:8">
      <c r="A533" t="s">
        <v>845</v>
      </c>
      <c r="B533" t="s">
        <v>939</v>
      </c>
      <c r="C533" s="4">
        <v>3.7</v>
      </c>
      <c r="D533" s="4">
        <v>54</v>
      </c>
      <c r="E533" t="s">
        <v>940</v>
      </c>
      <c r="F533" s="4">
        <v>19.0605431</v>
      </c>
      <c r="G533">
        <v>72.865209699999994</v>
      </c>
      <c r="H533"/>
    </row>
    <row r="534" spans="1:8">
      <c r="A534" t="s">
        <v>845</v>
      </c>
      <c r="B534" t="s">
        <v>941</v>
      </c>
      <c r="C534" s="4">
        <v>4.9000000000000004</v>
      </c>
      <c r="D534" s="4">
        <v>523</v>
      </c>
      <c r="E534" t="s">
        <v>942</v>
      </c>
      <c r="F534" s="4">
        <v>19.071451799999998</v>
      </c>
      <c r="G534">
        <v>72.883819700000004</v>
      </c>
      <c r="H534"/>
    </row>
    <row r="535" spans="1:8">
      <c r="A535" t="s">
        <v>845</v>
      </c>
      <c r="B535" t="s">
        <v>943</v>
      </c>
      <c r="C535" s="4">
        <v>4.7</v>
      </c>
      <c r="D535" s="4">
        <v>3</v>
      </c>
      <c r="E535" t="s">
        <v>944</v>
      </c>
      <c r="F535" s="4">
        <v>19.064975100000002</v>
      </c>
      <c r="G535">
        <v>72.876574399999996</v>
      </c>
      <c r="H535"/>
    </row>
    <row r="536" spans="1:8">
      <c r="A536" t="s">
        <v>845</v>
      </c>
      <c r="B536" t="s">
        <v>945</v>
      </c>
      <c r="C536" s="4">
        <v>4.2</v>
      </c>
      <c r="D536" s="4">
        <v>17</v>
      </c>
      <c r="E536" t="s">
        <v>946</v>
      </c>
      <c r="F536" s="4">
        <v>19.075210999999999</v>
      </c>
      <c r="G536">
        <v>72.879126299999996</v>
      </c>
      <c r="H536"/>
    </row>
    <row r="537" spans="1:8">
      <c r="A537" t="s">
        <v>845</v>
      </c>
      <c r="B537" t="s">
        <v>947</v>
      </c>
      <c r="C537" s="4">
        <v>4.8</v>
      </c>
      <c r="D537" s="4">
        <v>6</v>
      </c>
      <c r="E537" t="s">
        <v>948</v>
      </c>
      <c r="F537" s="4">
        <v>19.0898656</v>
      </c>
      <c r="G537">
        <v>72.883241999999996</v>
      </c>
      <c r="H537"/>
    </row>
    <row r="538" spans="1:8">
      <c r="A538" t="s">
        <v>845</v>
      </c>
      <c r="B538" t="s">
        <v>949</v>
      </c>
      <c r="C538" s="4">
        <v>4.3</v>
      </c>
      <c r="D538" s="4">
        <v>10</v>
      </c>
      <c r="E538" t="s">
        <v>950</v>
      </c>
      <c r="F538" s="4">
        <v>19.0752141</v>
      </c>
      <c r="G538">
        <v>72.8770557</v>
      </c>
      <c r="H538"/>
    </row>
    <row r="539" spans="1:8">
      <c r="A539" t="s">
        <v>845</v>
      </c>
      <c r="B539" t="s">
        <v>951</v>
      </c>
      <c r="C539" s="4">
        <v>4.8</v>
      </c>
      <c r="D539" s="4">
        <v>79</v>
      </c>
      <c r="E539" t="s">
        <v>952</v>
      </c>
      <c r="F539" s="4">
        <v>19.070259199999999</v>
      </c>
      <c r="G539">
        <v>72.875644500000007</v>
      </c>
      <c r="H539"/>
    </row>
    <row r="540" spans="1:8">
      <c r="A540" t="s">
        <v>845</v>
      </c>
      <c r="B540" t="s">
        <v>953</v>
      </c>
      <c r="C540" s="4">
        <v>4</v>
      </c>
      <c r="D540" s="4">
        <v>63</v>
      </c>
      <c r="E540" t="s">
        <v>954</v>
      </c>
      <c r="F540" s="4">
        <v>19.073863100000001</v>
      </c>
      <c r="G540">
        <v>72.8700154</v>
      </c>
      <c r="H540"/>
    </row>
    <row r="541" spans="1:8">
      <c r="A541" t="s">
        <v>845</v>
      </c>
      <c r="B541" t="s">
        <v>955</v>
      </c>
      <c r="C541" s="4">
        <v>4.3</v>
      </c>
      <c r="D541" s="4">
        <v>4159</v>
      </c>
      <c r="E541" t="s">
        <v>956</v>
      </c>
      <c r="F541" s="4">
        <v>19.086335200000001</v>
      </c>
      <c r="G541">
        <v>72.888983999999994</v>
      </c>
      <c r="H541"/>
    </row>
    <row r="542" spans="1:8">
      <c r="A542" t="s">
        <v>957</v>
      </c>
      <c r="B542" t="s">
        <v>958</v>
      </c>
      <c r="C542" s="4">
        <v>4.3</v>
      </c>
      <c r="D542" s="4">
        <v>533</v>
      </c>
      <c r="E542" t="s">
        <v>959</v>
      </c>
      <c r="F542" s="4">
        <v>19.076845800000001</v>
      </c>
      <c r="G542">
        <v>72.903571299999996</v>
      </c>
      <c r="H542"/>
    </row>
    <row r="543" spans="1:8">
      <c r="A543" t="s">
        <v>957</v>
      </c>
      <c r="B543" t="s">
        <v>960</v>
      </c>
      <c r="C543" s="4">
        <v>4.7</v>
      </c>
      <c r="D543" s="4">
        <v>1368</v>
      </c>
      <c r="E543" t="s">
        <v>961</v>
      </c>
      <c r="F543" s="4">
        <v>19.084400299999999</v>
      </c>
      <c r="G543">
        <v>72.909052199999905</v>
      </c>
      <c r="H543"/>
    </row>
    <row r="544" spans="1:8">
      <c r="A544" t="s">
        <v>957</v>
      </c>
      <c r="B544" t="s">
        <v>962</v>
      </c>
      <c r="C544" s="4">
        <v>3.9</v>
      </c>
      <c r="D544" s="4">
        <v>357</v>
      </c>
      <c r="E544" t="s">
        <v>963</v>
      </c>
      <c r="F544" s="4">
        <v>19.084101499999999</v>
      </c>
      <c r="G544">
        <v>72.904312199999893</v>
      </c>
      <c r="H544"/>
    </row>
    <row r="545" spans="1:8">
      <c r="A545" t="s">
        <v>957</v>
      </c>
      <c r="B545" t="s">
        <v>964</v>
      </c>
      <c r="C545" s="4">
        <v>4.2</v>
      </c>
      <c r="D545" s="4">
        <v>1699</v>
      </c>
      <c r="E545" t="s">
        <v>965</v>
      </c>
      <c r="F545" s="4">
        <v>19.099355800000001</v>
      </c>
      <c r="G545">
        <v>72.916342099999994</v>
      </c>
      <c r="H545"/>
    </row>
    <row r="546" spans="1:8">
      <c r="A546" t="s">
        <v>957</v>
      </c>
      <c r="B546" t="s">
        <v>966</v>
      </c>
      <c r="C546" s="4">
        <v>4.0999999999999996</v>
      </c>
      <c r="D546" s="4">
        <v>2538</v>
      </c>
      <c r="E546" t="s">
        <v>967</v>
      </c>
      <c r="F546" s="4">
        <v>19.0783825</v>
      </c>
      <c r="G546">
        <v>72.903865400000001</v>
      </c>
      <c r="H546"/>
    </row>
    <row r="547" spans="1:8">
      <c r="A547" t="s">
        <v>957</v>
      </c>
      <c r="B547" t="s">
        <v>968</v>
      </c>
      <c r="C547" s="4">
        <v>4.8</v>
      </c>
      <c r="D547" s="4">
        <v>127</v>
      </c>
      <c r="E547" t="s">
        <v>969</v>
      </c>
      <c r="F547" s="4">
        <v>19.083770900000001</v>
      </c>
      <c r="G547">
        <v>72.909148000000002</v>
      </c>
      <c r="H547"/>
    </row>
    <row r="548" spans="1:8">
      <c r="A548" t="s">
        <v>957</v>
      </c>
      <c r="B548" t="s">
        <v>970</v>
      </c>
      <c r="C548" s="4">
        <v>4</v>
      </c>
      <c r="D548" s="4">
        <v>491</v>
      </c>
      <c r="E548" t="s">
        <v>971</v>
      </c>
      <c r="F548" s="4">
        <v>19.0727236</v>
      </c>
      <c r="G548">
        <v>72.9069413</v>
      </c>
      <c r="H548"/>
    </row>
    <row r="549" spans="1:8">
      <c r="A549" t="s">
        <v>957</v>
      </c>
      <c r="B549" t="s">
        <v>972</v>
      </c>
      <c r="C549" s="4">
        <v>3.9</v>
      </c>
      <c r="D549" s="4">
        <v>9790</v>
      </c>
      <c r="E549" t="s">
        <v>973</v>
      </c>
      <c r="F549" s="4">
        <v>19.085657399999999</v>
      </c>
      <c r="G549">
        <v>72.907378899999998</v>
      </c>
      <c r="H549"/>
    </row>
    <row r="550" spans="1:8">
      <c r="A550" t="s">
        <v>957</v>
      </c>
      <c r="B550" t="s">
        <v>974</v>
      </c>
      <c r="C550" s="4">
        <v>4.5</v>
      </c>
      <c r="D550" s="4">
        <v>172</v>
      </c>
      <c r="E550" t="s">
        <v>975</v>
      </c>
      <c r="F550" s="4">
        <v>19.099660700000001</v>
      </c>
      <c r="G550">
        <v>72.916021099999995</v>
      </c>
      <c r="H550"/>
    </row>
    <row r="551" spans="1:8">
      <c r="A551" t="s">
        <v>957</v>
      </c>
      <c r="B551" t="s">
        <v>976</v>
      </c>
      <c r="C551" s="4">
        <v>4.4000000000000004</v>
      </c>
      <c r="D551" s="4">
        <v>101</v>
      </c>
      <c r="E551" t="s">
        <v>977</v>
      </c>
      <c r="F551" s="4">
        <v>19.077449099999999</v>
      </c>
      <c r="G551">
        <v>72.898932500000001</v>
      </c>
      <c r="H551"/>
    </row>
    <row r="552" spans="1:8">
      <c r="A552" t="s">
        <v>957</v>
      </c>
      <c r="B552" t="s">
        <v>978</v>
      </c>
      <c r="C552" s="4">
        <v>4</v>
      </c>
      <c r="D552" s="4">
        <v>131</v>
      </c>
      <c r="E552" t="s">
        <v>979</v>
      </c>
      <c r="F552" s="4">
        <v>19.0846491</v>
      </c>
      <c r="G552">
        <v>72.9076357</v>
      </c>
      <c r="H552"/>
    </row>
    <row r="553" spans="1:8">
      <c r="A553" t="s">
        <v>957</v>
      </c>
      <c r="B553" t="s">
        <v>48</v>
      </c>
      <c r="C553" s="4">
        <v>4.8</v>
      </c>
      <c r="D553" s="4">
        <v>786</v>
      </c>
      <c r="E553" t="s">
        <v>980</v>
      </c>
      <c r="F553" s="4">
        <v>19.099697599999999</v>
      </c>
      <c r="G553">
        <v>72.9166685</v>
      </c>
      <c r="H553"/>
    </row>
    <row r="554" spans="1:8">
      <c r="A554" t="s">
        <v>957</v>
      </c>
      <c r="B554" t="s">
        <v>981</v>
      </c>
      <c r="C554" s="4">
        <v>4.5</v>
      </c>
      <c r="D554" s="4">
        <v>808</v>
      </c>
      <c r="E554" t="s">
        <v>982</v>
      </c>
      <c r="F554" s="4">
        <v>19.0999087</v>
      </c>
      <c r="G554">
        <v>72.917145599999998</v>
      </c>
      <c r="H554"/>
    </row>
    <row r="555" spans="1:8">
      <c r="A555" t="s">
        <v>957</v>
      </c>
      <c r="B555" t="s">
        <v>983</v>
      </c>
      <c r="C555" s="4">
        <v>4.3</v>
      </c>
      <c r="D555" s="4">
        <v>93</v>
      </c>
      <c r="E555" t="s">
        <v>984</v>
      </c>
      <c r="F555" s="4">
        <v>19.080745</v>
      </c>
      <c r="G555">
        <v>72.904340899999994</v>
      </c>
      <c r="H555"/>
    </row>
    <row r="556" spans="1:8">
      <c r="A556" t="s">
        <v>957</v>
      </c>
      <c r="B556" t="s">
        <v>985</v>
      </c>
      <c r="C556" s="4">
        <v>4.8</v>
      </c>
      <c r="D556" s="4">
        <v>65</v>
      </c>
      <c r="E556" t="s">
        <v>986</v>
      </c>
      <c r="F556" s="4">
        <v>19.078949699999999</v>
      </c>
      <c r="G556">
        <v>72.909579600000001</v>
      </c>
      <c r="H556"/>
    </row>
    <row r="557" spans="1:8">
      <c r="A557" t="s">
        <v>957</v>
      </c>
      <c r="B557" t="s">
        <v>987</v>
      </c>
      <c r="C557" s="4">
        <v>4.2</v>
      </c>
      <c r="D557" s="4">
        <v>144</v>
      </c>
      <c r="E557" t="s">
        <v>988</v>
      </c>
      <c r="F557" s="4">
        <v>19.0745757</v>
      </c>
      <c r="G557">
        <v>72.905437499999906</v>
      </c>
      <c r="H557"/>
    </row>
    <row r="558" spans="1:8">
      <c r="A558" t="s">
        <v>957</v>
      </c>
      <c r="B558" t="s">
        <v>989</v>
      </c>
      <c r="C558" s="4">
        <v>4.5999999999999996</v>
      </c>
      <c r="D558" s="4">
        <v>71</v>
      </c>
      <c r="E558" t="s">
        <v>990</v>
      </c>
      <c r="F558" s="4">
        <v>19.076944399999999</v>
      </c>
      <c r="G558">
        <v>72.903028899999995</v>
      </c>
      <c r="H558"/>
    </row>
    <row r="559" spans="1:8">
      <c r="A559" t="s">
        <v>957</v>
      </c>
      <c r="B559" t="s">
        <v>288</v>
      </c>
      <c r="C559" s="4">
        <v>4.3</v>
      </c>
      <c r="D559" s="4">
        <v>808</v>
      </c>
      <c r="E559" t="s">
        <v>991</v>
      </c>
      <c r="F559" s="4">
        <v>19.079191399999999</v>
      </c>
      <c r="G559">
        <v>72.908625899999905</v>
      </c>
      <c r="H559"/>
    </row>
    <row r="560" spans="1:8">
      <c r="A560" t="s">
        <v>957</v>
      </c>
      <c r="B560" t="s">
        <v>992</v>
      </c>
      <c r="C560" s="4">
        <v>3.8</v>
      </c>
      <c r="D560" s="4">
        <v>286</v>
      </c>
      <c r="E560" t="s">
        <v>993</v>
      </c>
      <c r="F560" s="4">
        <v>19.099504199999998</v>
      </c>
      <c r="G560">
        <v>72.916644300000002</v>
      </c>
      <c r="H560"/>
    </row>
    <row r="561" spans="1:8">
      <c r="A561" t="s">
        <v>957</v>
      </c>
      <c r="B561" t="s">
        <v>994</v>
      </c>
      <c r="C561" s="4">
        <v>4</v>
      </c>
      <c r="D561" s="4">
        <v>83</v>
      </c>
      <c r="E561" t="s">
        <v>995</v>
      </c>
      <c r="F561" s="4">
        <v>19.079868000000001</v>
      </c>
      <c r="G561">
        <v>72.905751899999998</v>
      </c>
      <c r="H561"/>
    </row>
    <row r="562" spans="1:8">
      <c r="A562" t="s">
        <v>957</v>
      </c>
      <c r="B562" t="s">
        <v>755</v>
      </c>
      <c r="C562" s="4">
        <v>3.8</v>
      </c>
      <c r="D562" s="4">
        <v>185</v>
      </c>
      <c r="E562" t="s">
        <v>996</v>
      </c>
      <c r="F562" s="4">
        <v>19.078955499999999</v>
      </c>
      <c r="G562">
        <v>72.904257200000004</v>
      </c>
      <c r="H562"/>
    </row>
    <row r="563" spans="1:8">
      <c r="A563" t="s">
        <v>957</v>
      </c>
      <c r="B563" t="s">
        <v>997</v>
      </c>
      <c r="C563" s="4">
        <v>4.2</v>
      </c>
      <c r="D563" s="4">
        <v>91</v>
      </c>
      <c r="E563" t="s">
        <v>998</v>
      </c>
      <c r="F563" s="4">
        <v>19.0785084</v>
      </c>
      <c r="G563">
        <v>72.903891099999996</v>
      </c>
      <c r="H563"/>
    </row>
    <row r="564" spans="1:8">
      <c r="A564" t="s">
        <v>957</v>
      </c>
      <c r="B564" t="s">
        <v>999</v>
      </c>
      <c r="C564" s="4">
        <v>4.7</v>
      </c>
      <c r="D564" s="4">
        <v>130</v>
      </c>
      <c r="E564" t="s">
        <v>1000</v>
      </c>
      <c r="F564" s="4">
        <v>19.099355800000001</v>
      </c>
      <c r="G564">
        <v>72.916342099999994</v>
      </c>
      <c r="H564"/>
    </row>
    <row r="565" spans="1:8">
      <c r="A565" t="s">
        <v>957</v>
      </c>
      <c r="B565" t="s">
        <v>862</v>
      </c>
      <c r="C565" s="4">
        <v>4.5</v>
      </c>
      <c r="D565" s="4">
        <v>2253</v>
      </c>
      <c r="E565" t="s">
        <v>863</v>
      </c>
      <c r="F565" s="4">
        <v>19.070120500000002</v>
      </c>
      <c r="G565">
        <v>72.8975121</v>
      </c>
      <c r="H565"/>
    </row>
    <row r="566" spans="1:8">
      <c r="A566" t="s">
        <v>957</v>
      </c>
      <c r="B566" t="s">
        <v>1001</v>
      </c>
      <c r="C566" s="4">
        <v>4.2</v>
      </c>
      <c r="D566" s="4">
        <v>17</v>
      </c>
      <c r="E566" t="s">
        <v>1002</v>
      </c>
      <c r="F566" s="4">
        <v>19.075835600000001</v>
      </c>
      <c r="G566">
        <v>72.905298799999997</v>
      </c>
      <c r="H566"/>
    </row>
    <row r="567" spans="1:8">
      <c r="A567" t="s">
        <v>957</v>
      </c>
      <c r="B567" t="s">
        <v>1003</v>
      </c>
      <c r="C567" s="4">
        <v>4.7</v>
      </c>
      <c r="D567" s="4">
        <v>44</v>
      </c>
      <c r="E567" t="s">
        <v>1004</v>
      </c>
      <c r="F567" s="4">
        <v>19.087616000000001</v>
      </c>
      <c r="G567">
        <v>72.909305099999997</v>
      </c>
      <c r="H567"/>
    </row>
    <row r="568" spans="1:8">
      <c r="A568" t="s">
        <v>957</v>
      </c>
      <c r="B568" t="s">
        <v>1005</v>
      </c>
      <c r="C568" s="4">
        <v>4.9000000000000004</v>
      </c>
      <c r="D568" s="4">
        <v>126</v>
      </c>
      <c r="E568" t="s">
        <v>1006</v>
      </c>
      <c r="F568" s="4">
        <v>19.0772187</v>
      </c>
      <c r="G568">
        <v>72.899657300000001</v>
      </c>
      <c r="H568"/>
    </row>
    <row r="569" spans="1:8">
      <c r="A569" t="s">
        <v>957</v>
      </c>
      <c r="B569" t="s">
        <v>1007</v>
      </c>
      <c r="C569" s="4">
        <v>4.4000000000000004</v>
      </c>
      <c r="D569" s="4">
        <v>401</v>
      </c>
      <c r="E569" t="s">
        <v>1008</v>
      </c>
      <c r="F569" s="4">
        <v>19.0799691</v>
      </c>
      <c r="G569">
        <v>72.911089699999906</v>
      </c>
      <c r="H569"/>
    </row>
    <row r="570" spans="1:8">
      <c r="A570" t="s">
        <v>957</v>
      </c>
      <c r="B570" t="s">
        <v>123</v>
      </c>
      <c r="C570" s="4">
        <v>4.3</v>
      </c>
      <c r="D570" s="4">
        <v>630</v>
      </c>
      <c r="E570" t="s">
        <v>1009</v>
      </c>
      <c r="F570" s="4">
        <v>19.0774583</v>
      </c>
      <c r="G570">
        <v>72.907296700000003</v>
      </c>
      <c r="H570"/>
    </row>
    <row r="571" spans="1:8">
      <c r="A571" t="s">
        <v>957</v>
      </c>
      <c r="B571" t="s">
        <v>1010</v>
      </c>
      <c r="C571" s="4">
        <v>4.0999999999999996</v>
      </c>
      <c r="D571" s="4">
        <v>10076</v>
      </c>
      <c r="E571" t="s">
        <v>1011</v>
      </c>
      <c r="F571" s="4">
        <v>19.075049199999999</v>
      </c>
      <c r="G571">
        <v>72.903907099999998</v>
      </c>
      <c r="H571"/>
    </row>
    <row r="572" spans="1:8">
      <c r="A572" t="s">
        <v>957</v>
      </c>
      <c r="B572" t="s">
        <v>1012</v>
      </c>
      <c r="C572" s="4">
        <v>4</v>
      </c>
      <c r="D572" s="4">
        <v>428</v>
      </c>
      <c r="E572" t="s">
        <v>1013</v>
      </c>
      <c r="F572" s="4">
        <v>19.0800628</v>
      </c>
      <c r="G572">
        <v>72.905370300000001</v>
      </c>
      <c r="H572"/>
    </row>
    <row r="573" spans="1:8">
      <c r="A573" t="s">
        <v>957</v>
      </c>
      <c r="B573" t="s">
        <v>1014</v>
      </c>
      <c r="C573" s="4">
        <v>4.4000000000000004</v>
      </c>
      <c r="D573" s="4">
        <v>80</v>
      </c>
      <c r="E573" t="s">
        <v>1015</v>
      </c>
      <c r="F573" s="4">
        <v>19.078859099999999</v>
      </c>
      <c r="G573">
        <v>72.910521000000003</v>
      </c>
      <c r="H573"/>
    </row>
    <row r="574" spans="1:8">
      <c r="A574" t="s">
        <v>957</v>
      </c>
      <c r="B574" t="s">
        <v>1016</v>
      </c>
      <c r="C574" s="4">
        <v>4</v>
      </c>
      <c r="D574" s="4">
        <v>2056</v>
      </c>
      <c r="E574" t="s">
        <v>1017</v>
      </c>
      <c r="F574" s="4">
        <v>19.0794827</v>
      </c>
      <c r="G574">
        <v>72.909287599999999</v>
      </c>
      <c r="H574"/>
    </row>
    <row r="575" spans="1:8">
      <c r="A575" t="s">
        <v>957</v>
      </c>
      <c r="B575" t="s">
        <v>1018</v>
      </c>
      <c r="C575" s="4">
        <v>4.2</v>
      </c>
      <c r="D575" s="4">
        <v>150</v>
      </c>
      <c r="E575" t="s">
        <v>1019</v>
      </c>
      <c r="F575" s="4">
        <v>19.085650300000001</v>
      </c>
      <c r="G575">
        <v>72.911476899999997</v>
      </c>
      <c r="H575"/>
    </row>
    <row r="576" spans="1:8">
      <c r="A576" t="s">
        <v>957</v>
      </c>
      <c r="B576" t="s">
        <v>1020</v>
      </c>
      <c r="C576" s="4">
        <v>4.5</v>
      </c>
      <c r="D576" s="4">
        <v>39</v>
      </c>
      <c r="E576" t="s">
        <v>1021</v>
      </c>
      <c r="F576" s="4">
        <v>19.082504</v>
      </c>
      <c r="G576">
        <v>72.904930300000004</v>
      </c>
      <c r="H576"/>
    </row>
    <row r="577" spans="1:8">
      <c r="A577" t="s">
        <v>957</v>
      </c>
      <c r="B577" t="s">
        <v>1022</v>
      </c>
      <c r="C577" s="4">
        <v>4.7</v>
      </c>
      <c r="D577" s="4">
        <v>26</v>
      </c>
      <c r="E577" t="s">
        <v>1023</v>
      </c>
      <c r="F577" s="4">
        <v>19.077398500000001</v>
      </c>
      <c r="G577">
        <v>72.899722099999906</v>
      </c>
      <c r="H577"/>
    </row>
    <row r="578" spans="1:8">
      <c r="A578" t="s">
        <v>957</v>
      </c>
      <c r="B578" t="s">
        <v>1024</v>
      </c>
      <c r="C578" s="4">
        <v>4.9000000000000004</v>
      </c>
      <c r="D578" s="4">
        <v>70</v>
      </c>
      <c r="E578" t="s">
        <v>1025</v>
      </c>
      <c r="F578" s="4">
        <v>19.0823477</v>
      </c>
      <c r="G578">
        <v>72.908811799999995</v>
      </c>
      <c r="H578"/>
    </row>
    <row r="579" spans="1:8">
      <c r="A579" t="s">
        <v>957</v>
      </c>
      <c r="B579" t="s">
        <v>1026</v>
      </c>
      <c r="C579" s="4">
        <v>4</v>
      </c>
      <c r="D579" s="4">
        <v>832</v>
      </c>
      <c r="E579" t="s">
        <v>1027</v>
      </c>
      <c r="F579" s="4">
        <v>19.079111900000001</v>
      </c>
      <c r="G579">
        <v>72.905678100000003</v>
      </c>
      <c r="H579"/>
    </row>
    <row r="580" spans="1:8">
      <c r="A580" t="s">
        <v>957</v>
      </c>
      <c r="B580" t="s">
        <v>1028</v>
      </c>
      <c r="C580" s="4">
        <v>3.6</v>
      </c>
      <c r="D580" s="4">
        <v>249</v>
      </c>
      <c r="E580" t="s">
        <v>1029</v>
      </c>
      <c r="F580" s="4">
        <v>19.098803400000001</v>
      </c>
      <c r="G580">
        <v>72.916628699999904</v>
      </c>
      <c r="H580"/>
    </row>
    <row r="581" spans="1:8">
      <c r="A581" t="s">
        <v>957</v>
      </c>
      <c r="B581" t="s">
        <v>1030</v>
      </c>
      <c r="C581" s="4">
        <v>4.3</v>
      </c>
      <c r="D581" s="4">
        <v>739</v>
      </c>
      <c r="E581" t="s">
        <v>1031</v>
      </c>
      <c r="F581" s="4">
        <v>19.078827400000002</v>
      </c>
      <c r="G581">
        <v>72.909940800000001</v>
      </c>
      <c r="H581"/>
    </row>
    <row r="582" spans="1:8">
      <c r="A582" t="s">
        <v>957</v>
      </c>
      <c r="B582" t="s">
        <v>123</v>
      </c>
      <c r="C582" s="4">
        <v>4.4000000000000004</v>
      </c>
      <c r="D582" s="4">
        <v>2307</v>
      </c>
      <c r="E582" t="s">
        <v>1032</v>
      </c>
      <c r="F582" s="4">
        <v>19.099654399999999</v>
      </c>
      <c r="G582">
        <v>72.916262699999905</v>
      </c>
      <c r="H582"/>
    </row>
    <row r="583" spans="1:8">
      <c r="A583" t="s">
        <v>957</v>
      </c>
      <c r="B583" t="s">
        <v>1033</v>
      </c>
      <c r="C583" s="4">
        <v>4.5999999999999996</v>
      </c>
      <c r="D583" s="4">
        <v>284</v>
      </c>
      <c r="E583" t="s">
        <v>1034</v>
      </c>
      <c r="F583" s="4">
        <v>19.093147200000001</v>
      </c>
      <c r="G583">
        <v>72.920238499999996</v>
      </c>
      <c r="H583"/>
    </row>
    <row r="584" spans="1:8">
      <c r="A584" t="s">
        <v>957</v>
      </c>
      <c r="B584" t="s">
        <v>1035</v>
      </c>
      <c r="C584" s="4">
        <v>4.4000000000000004</v>
      </c>
      <c r="D584" s="4">
        <v>3152</v>
      </c>
      <c r="E584" t="s">
        <v>1036</v>
      </c>
      <c r="F584" s="4">
        <v>19.061594199999998</v>
      </c>
      <c r="G584">
        <v>72.899740999999906</v>
      </c>
      <c r="H584"/>
    </row>
    <row r="585" spans="1:8">
      <c r="A585" t="s">
        <v>957</v>
      </c>
      <c r="B585" t="s">
        <v>1037</v>
      </c>
      <c r="C585" s="4">
        <v>3.6</v>
      </c>
      <c r="D585" s="4">
        <v>96</v>
      </c>
      <c r="E585" t="s">
        <v>1038</v>
      </c>
      <c r="F585" s="4">
        <v>19.082859200000001</v>
      </c>
      <c r="G585">
        <v>72.9070179</v>
      </c>
      <c r="H585"/>
    </row>
    <row r="586" spans="1:8">
      <c r="A586" t="s">
        <v>957</v>
      </c>
      <c r="B586" t="s">
        <v>1039</v>
      </c>
      <c r="C586" s="4">
        <v>4.5999999999999996</v>
      </c>
      <c r="D586" s="4">
        <v>504</v>
      </c>
      <c r="E586" t="s">
        <v>1040</v>
      </c>
      <c r="F586" s="4">
        <v>19.069397200000001</v>
      </c>
      <c r="G586">
        <v>72.896929599999893</v>
      </c>
      <c r="H586"/>
    </row>
    <row r="587" spans="1:8">
      <c r="A587" t="s">
        <v>957</v>
      </c>
      <c r="B587" t="s">
        <v>1041</v>
      </c>
      <c r="C587" s="4">
        <v>4.7</v>
      </c>
      <c r="D587" s="4">
        <v>66</v>
      </c>
      <c r="E587" t="s">
        <v>1042</v>
      </c>
      <c r="F587" s="4">
        <v>19.077157100000001</v>
      </c>
      <c r="G587">
        <v>72.900784399999907</v>
      </c>
      <c r="H587"/>
    </row>
    <row r="588" spans="1:8">
      <c r="A588" t="s">
        <v>957</v>
      </c>
      <c r="B588" t="s">
        <v>1043</v>
      </c>
      <c r="C588" s="4">
        <v>4.2</v>
      </c>
      <c r="D588" s="4">
        <v>1388</v>
      </c>
      <c r="E588" t="s">
        <v>1044</v>
      </c>
      <c r="F588" s="4">
        <v>19.086579799999999</v>
      </c>
      <c r="G588">
        <v>72.908104999999907</v>
      </c>
      <c r="H588"/>
    </row>
    <row r="589" spans="1:8">
      <c r="A589" t="s">
        <v>957</v>
      </c>
      <c r="B589" t="s">
        <v>1045</v>
      </c>
      <c r="C589" s="4">
        <v>3.8</v>
      </c>
      <c r="D589" s="4">
        <v>927</v>
      </c>
      <c r="E589" t="s">
        <v>1046</v>
      </c>
      <c r="F589" s="4">
        <v>19.0963089</v>
      </c>
      <c r="G589">
        <v>72.915329599999893</v>
      </c>
      <c r="H589"/>
    </row>
    <row r="590" spans="1:8">
      <c r="A590" t="s">
        <v>957</v>
      </c>
      <c r="B590" t="s">
        <v>1047</v>
      </c>
      <c r="C590" s="4">
        <v>4.3</v>
      </c>
      <c r="D590" s="4">
        <v>2219</v>
      </c>
      <c r="E590" t="s">
        <v>1048</v>
      </c>
      <c r="F590" s="4">
        <v>19.079921200000001</v>
      </c>
      <c r="G590">
        <v>72.905660900000001</v>
      </c>
      <c r="H590"/>
    </row>
    <row r="591" spans="1:8">
      <c r="A591" t="s">
        <v>957</v>
      </c>
      <c r="B591" t="s">
        <v>1049</v>
      </c>
      <c r="C591" s="4">
        <v>4.0999999999999996</v>
      </c>
      <c r="D591" s="4">
        <v>542</v>
      </c>
      <c r="E591" t="s">
        <v>1050</v>
      </c>
      <c r="F591" s="4">
        <v>19.079788300000001</v>
      </c>
      <c r="G591">
        <v>72.906141399999996</v>
      </c>
      <c r="H591"/>
    </row>
    <row r="592" spans="1:8">
      <c r="A592" t="s">
        <v>957</v>
      </c>
      <c r="B592" t="s">
        <v>1020</v>
      </c>
      <c r="C592" s="4">
        <v>4.0999999999999996</v>
      </c>
      <c r="D592" s="4">
        <v>33</v>
      </c>
      <c r="E592" t="s">
        <v>1051</v>
      </c>
      <c r="F592" s="4">
        <v>19.087069499999998</v>
      </c>
      <c r="G592">
        <v>72.904443999999998</v>
      </c>
      <c r="H592"/>
    </row>
    <row r="593" spans="1:8">
      <c r="A593" t="s">
        <v>957</v>
      </c>
      <c r="B593" t="s">
        <v>1052</v>
      </c>
      <c r="C593" s="4">
        <v>4.5</v>
      </c>
      <c r="D593" s="4">
        <v>5001</v>
      </c>
      <c r="E593" t="s">
        <v>1053</v>
      </c>
      <c r="F593" s="4">
        <v>19.085387600000001</v>
      </c>
      <c r="G593">
        <v>72.909024399999893</v>
      </c>
      <c r="H593"/>
    </row>
    <row r="594" spans="1:8">
      <c r="A594" t="s">
        <v>957</v>
      </c>
      <c r="B594" t="s">
        <v>1054</v>
      </c>
      <c r="C594" s="4">
        <v>4.3</v>
      </c>
      <c r="D594" s="4">
        <v>993</v>
      </c>
      <c r="E594" t="s">
        <v>1055</v>
      </c>
      <c r="F594" s="4">
        <v>19.099355800000001</v>
      </c>
      <c r="G594">
        <v>72.916342099999994</v>
      </c>
      <c r="H594"/>
    </row>
    <row r="595" spans="1:8">
      <c r="A595" t="s">
        <v>957</v>
      </c>
      <c r="B595" t="s">
        <v>1056</v>
      </c>
      <c r="C595" s="4">
        <v>4.0999999999999996</v>
      </c>
      <c r="D595" s="4">
        <v>1854</v>
      </c>
      <c r="E595" t="s">
        <v>1057</v>
      </c>
      <c r="F595" s="4">
        <v>19.075226499999999</v>
      </c>
      <c r="G595">
        <v>72.905197299999998</v>
      </c>
      <c r="H595"/>
    </row>
    <row r="596" spans="1:8">
      <c r="A596" t="s">
        <v>957</v>
      </c>
      <c r="B596" t="s">
        <v>1058</v>
      </c>
      <c r="C596" s="4">
        <v>4.0999999999999996</v>
      </c>
      <c r="D596" s="4">
        <v>62</v>
      </c>
      <c r="E596" t="s">
        <v>1059</v>
      </c>
      <c r="F596" s="4">
        <v>19.080446899999998</v>
      </c>
      <c r="G596">
        <v>72.904587399999997</v>
      </c>
      <c r="H596"/>
    </row>
    <row r="597" spans="1:8">
      <c r="A597" t="s">
        <v>957</v>
      </c>
      <c r="B597" t="s">
        <v>1060</v>
      </c>
      <c r="C597" s="4">
        <v>4.7</v>
      </c>
      <c r="D597" s="4">
        <v>513</v>
      </c>
      <c r="E597" t="s">
        <v>1061</v>
      </c>
      <c r="F597" s="4">
        <v>19.085251400000001</v>
      </c>
      <c r="G597">
        <v>72.912363200000001</v>
      </c>
      <c r="H597"/>
    </row>
    <row r="598" spans="1:8">
      <c r="A598" t="s">
        <v>957</v>
      </c>
      <c r="B598" t="s">
        <v>1062</v>
      </c>
      <c r="C598" s="4">
        <v>4.3</v>
      </c>
      <c r="D598" s="4">
        <v>416</v>
      </c>
      <c r="E598" t="s">
        <v>1063</v>
      </c>
      <c r="F598" s="4">
        <v>19.0839535</v>
      </c>
      <c r="G598">
        <v>72.909147300000001</v>
      </c>
      <c r="H598"/>
    </row>
    <row r="599" spans="1:8">
      <c r="A599" t="s">
        <v>957</v>
      </c>
      <c r="B599" t="s">
        <v>1064</v>
      </c>
      <c r="C599" s="4">
        <v>4.9000000000000004</v>
      </c>
      <c r="D599" s="4">
        <v>37</v>
      </c>
      <c r="E599" t="s">
        <v>1065</v>
      </c>
      <c r="F599" s="4">
        <v>19.079289299999999</v>
      </c>
      <c r="G599">
        <v>72.910098500000004</v>
      </c>
      <c r="H599"/>
    </row>
    <row r="600" spans="1:8">
      <c r="A600" t="s">
        <v>957</v>
      </c>
      <c r="B600" t="s">
        <v>1066</v>
      </c>
      <c r="C600" s="4">
        <v>4.2</v>
      </c>
      <c r="D600" s="4">
        <v>63</v>
      </c>
      <c r="E600" t="s">
        <v>1067</v>
      </c>
      <c r="F600" s="4">
        <v>19.074612599999998</v>
      </c>
      <c r="G600">
        <v>72.9131237</v>
      </c>
      <c r="H600"/>
    </row>
    <row r="601" spans="1:8">
      <c r="A601" t="s">
        <v>957</v>
      </c>
      <c r="B601" t="s">
        <v>1068</v>
      </c>
      <c r="C601" s="4">
        <v>5</v>
      </c>
      <c r="D601" s="4">
        <v>3</v>
      </c>
      <c r="E601" t="s">
        <v>1069</v>
      </c>
      <c r="F601" s="4">
        <v>19.0824569</v>
      </c>
      <c r="G601">
        <v>72.9127723</v>
      </c>
      <c r="H601"/>
    </row>
    <row r="602" spans="1:8">
      <c r="A602" t="s">
        <v>1070</v>
      </c>
      <c r="B602" t="s">
        <v>1071</v>
      </c>
      <c r="C602" s="4">
        <v>4.3</v>
      </c>
      <c r="D602" s="4">
        <v>1529</v>
      </c>
      <c r="E602" t="s">
        <v>1072</v>
      </c>
      <c r="F602" s="4">
        <v>19.180744499999999</v>
      </c>
      <c r="G602">
        <v>72.946734499999906</v>
      </c>
      <c r="H602"/>
    </row>
    <row r="603" spans="1:8">
      <c r="A603" t="s">
        <v>1070</v>
      </c>
      <c r="B603" t="s">
        <v>1073</v>
      </c>
      <c r="C603" s="4">
        <v>4</v>
      </c>
      <c r="D603" s="4">
        <v>1791</v>
      </c>
      <c r="E603" t="s">
        <v>1074</v>
      </c>
      <c r="F603" s="4">
        <v>19.172873899999999</v>
      </c>
      <c r="G603">
        <v>72.941472899999994</v>
      </c>
      <c r="H603"/>
    </row>
    <row r="604" spans="1:8">
      <c r="A604" t="s">
        <v>1070</v>
      </c>
      <c r="B604" t="s">
        <v>1075</v>
      </c>
      <c r="C604" s="4">
        <v>4.4000000000000004</v>
      </c>
      <c r="D604" s="4">
        <v>358</v>
      </c>
      <c r="E604" t="s">
        <v>1076</v>
      </c>
      <c r="F604" s="4">
        <v>19.1724341</v>
      </c>
      <c r="G604">
        <v>72.941307799999905</v>
      </c>
      <c r="H604"/>
    </row>
    <row r="605" spans="1:8">
      <c r="A605" t="s">
        <v>1070</v>
      </c>
      <c r="B605" t="s">
        <v>174</v>
      </c>
      <c r="C605" s="4">
        <v>4.3</v>
      </c>
      <c r="D605" s="4">
        <v>2549</v>
      </c>
      <c r="E605" t="s">
        <v>1077</v>
      </c>
      <c r="F605" s="4">
        <v>19.171517300000001</v>
      </c>
      <c r="G605">
        <v>72.952986899999999</v>
      </c>
      <c r="H605"/>
    </row>
    <row r="606" spans="1:8">
      <c r="A606" t="s">
        <v>1070</v>
      </c>
      <c r="B606" t="s">
        <v>48</v>
      </c>
      <c r="C606" s="4">
        <v>4.8</v>
      </c>
      <c r="D606" s="4">
        <v>1114</v>
      </c>
      <c r="E606" t="s">
        <v>703</v>
      </c>
      <c r="F606" s="4">
        <v>19.160822799999998</v>
      </c>
      <c r="G606">
        <v>72.945387199999999</v>
      </c>
      <c r="H606"/>
    </row>
    <row r="607" spans="1:8">
      <c r="A607" t="s">
        <v>1070</v>
      </c>
      <c r="B607" t="s">
        <v>1078</v>
      </c>
      <c r="C607" s="4">
        <v>4.3</v>
      </c>
      <c r="D607" s="4">
        <v>172</v>
      </c>
      <c r="E607" t="s">
        <v>1079</v>
      </c>
      <c r="F607" s="4">
        <v>19.170914</v>
      </c>
      <c r="G607">
        <v>72.943690699999905</v>
      </c>
      <c r="H607"/>
    </row>
    <row r="608" spans="1:8">
      <c r="A608" t="s">
        <v>1070</v>
      </c>
      <c r="B608" t="s">
        <v>1080</v>
      </c>
      <c r="C608" s="4">
        <v>4.5999999999999996</v>
      </c>
      <c r="D608" s="4">
        <v>354</v>
      </c>
      <c r="E608" t="s">
        <v>1081</v>
      </c>
      <c r="F608" s="4">
        <v>19.172840000000001</v>
      </c>
      <c r="G608">
        <v>72.9555194</v>
      </c>
      <c r="H608"/>
    </row>
    <row r="609" spans="1:8">
      <c r="A609" t="s">
        <v>1070</v>
      </c>
      <c r="B609" t="s">
        <v>1082</v>
      </c>
      <c r="C609" s="4">
        <v>4.3</v>
      </c>
      <c r="D609" s="4">
        <v>256</v>
      </c>
      <c r="E609" t="s">
        <v>1083</v>
      </c>
      <c r="F609" s="4">
        <v>19.175584400000002</v>
      </c>
      <c r="G609">
        <v>72.943590499999999</v>
      </c>
      <c r="H609"/>
    </row>
    <row r="610" spans="1:8">
      <c r="A610" t="s">
        <v>1070</v>
      </c>
      <c r="B610" t="s">
        <v>1084</v>
      </c>
      <c r="C610" s="4">
        <v>4</v>
      </c>
      <c r="D610" s="4">
        <v>1374</v>
      </c>
      <c r="E610" t="s">
        <v>1085</v>
      </c>
      <c r="F610" s="4">
        <v>19.174410999999999</v>
      </c>
      <c r="G610">
        <v>72.958136999999994</v>
      </c>
      <c r="H610"/>
    </row>
    <row r="611" spans="1:8">
      <c r="A611" t="s">
        <v>1070</v>
      </c>
      <c r="B611" t="s">
        <v>1086</v>
      </c>
      <c r="C611" s="4">
        <v>4.4000000000000004</v>
      </c>
      <c r="D611" s="4">
        <v>1585</v>
      </c>
      <c r="E611" t="s">
        <v>1087</v>
      </c>
      <c r="F611" s="4">
        <v>19.1755423</v>
      </c>
      <c r="G611">
        <v>72.943579299999996</v>
      </c>
      <c r="H611"/>
    </row>
    <row r="612" spans="1:8">
      <c r="A612" t="s">
        <v>1070</v>
      </c>
      <c r="B612" t="s">
        <v>1088</v>
      </c>
      <c r="C612" s="4">
        <v>4.0999999999999996</v>
      </c>
      <c r="D612" s="4">
        <v>7458</v>
      </c>
      <c r="E612" t="s">
        <v>1089</v>
      </c>
      <c r="F612" s="4">
        <v>19.161836600000001</v>
      </c>
      <c r="G612">
        <v>72.944497699999999</v>
      </c>
      <c r="H612"/>
    </row>
    <row r="613" spans="1:8">
      <c r="A613" t="s">
        <v>1070</v>
      </c>
      <c r="B613" t="s">
        <v>1090</v>
      </c>
      <c r="C613" s="4">
        <v>4.5999999999999996</v>
      </c>
      <c r="D613" s="4">
        <v>58</v>
      </c>
      <c r="E613" t="s">
        <v>1091</v>
      </c>
      <c r="F613" s="4">
        <v>19.159941</v>
      </c>
      <c r="G613">
        <v>72.945495999999906</v>
      </c>
      <c r="H613"/>
    </row>
    <row r="614" spans="1:8">
      <c r="A614" t="s">
        <v>1070</v>
      </c>
      <c r="B614" t="s">
        <v>1092</v>
      </c>
      <c r="C614" s="4">
        <v>4.4000000000000004</v>
      </c>
      <c r="D614" s="4">
        <v>266</v>
      </c>
      <c r="E614" t="s">
        <v>1093</v>
      </c>
      <c r="F614" s="4">
        <v>19.176824199999999</v>
      </c>
      <c r="G614">
        <v>72.951477499999996</v>
      </c>
      <c r="H614"/>
    </row>
    <row r="615" spans="1:8">
      <c r="A615" t="s">
        <v>1070</v>
      </c>
      <c r="B615" t="s">
        <v>1094</v>
      </c>
      <c r="C615" s="4">
        <v>4.2</v>
      </c>
      <c r="D615" s="4">
        <v>160</v>
      </c>
      <c r="E615" t="s">
        <v>1095</v>
      </c>
      <c r="F615" s="4">
        <v>19.181168499999998</v>
      </c>
      <c r="G615">
        <v>72.940707399999994</v>
      </c>
      <c r="H615"/>
    </row>
    <row r="616" spans="1:8">
      <c r="A616" t="s">
        <v>1070</v>
      </c>
      <c r="B616" t="s">
        <v>1096</v>
      </c>
      <c r="C616" s="4">
        <v>4.3</v>
      </c>
      <c r="D616" s="4">
        <v>151</v>
      </c>
      <c r="E616" t="s">
        <v>1097</v>
      </c>
      <c r="F616" s="4">
        <v>19.180487299999999</v>
      </c>
      <c r="G616">
        <v>72.940049500000001</v>
      </c>
      <c r="H616"/>
    </row>
    <row r="617" spans="1:8">
      <c r="A617" t="s">
        <v>1070</v>
      </c>
      <c r="B617" t="s">
        <v>1098</v>
      </c>
      <c r="C617" s="4">
        <v>4.5</v>
      </c>
      <c r="D617" s="4">
        <v>155</v>
      </c>
      <c r="E617" t="s">
        <v>1099</v>
      </c>
      <c r="F617" s="4">
        <v>19.180924300000001</v>
      </c>
      <c r="G617">
        <v>72.93974</v>
      </c>
      <c r="H617"/>
    </row>
    <row r="618" spans="1:8">
      <c r="A618" t="s">
        <v>1070</v>
      </c>
      <c r="B618" t="s">
        <v>288</v>
      </c>
      <c r="C618" s="4">
        <v>4.3</v>
      </c>
      <c r="D618" s="4">
        <v>1501</v>
      </c>
      <c r="E618" t="s">
        <v>1100</v>
      </c>
      <c r="F618" s="4">
        <v>19.168358999999999</v>
      </c>
      <c r="G618">
        <v>72.960910499999997</v>
      </c>
      <c r="H618"/>
    </row>
    <row r="619" spans="1:8">
      <c r="A619" t="s">
        <v>1070</v>
      </c>
      <c r="B619" t="s">
        <v>123</v>
      </c>
      <c r="C619" s="4">
        <v>4.5</v>
      </c>
      <c r="D619" s="4">
        <v>66</v>
      </c>
      <c r="E619" t="s">
        <v>1101</v>
      </c>
      <c r="F619" s="4">
        <v>19.181123599999999</v>
      </c>
      <c r="G619">
        <v>72.940634500000002</v>
      </c>
      <c r="H619"/>
    </row>
    <row r="620" spans="1:8">
      <c r="A620" t="s">
        <v>1070</v>
      </c>
      <c r="B620" t="s">
        <v>1102</v>
      </c>
      <c r="C620" s="4">
        <v>4.5999999999999996</v>
      </c>
      <c r="D620" s="4">
        <v>193</v>
      </c>
      <c r="E620" t="s">
        <v>1103</v>
      </c>
      <c r="F620" s="4">
        <v>19.170770999999998</v>
      </c>
      <c r="G620">
        <v>72.947432499999906</v>
      </c>
      <c r="H620"/>
    </row>
    <row r="621" spans="1:8">
      <c r="A621" t="s">
        <v>1070</v>
      </c>
      <c r="B621" t="s">
        <v>1104</v>
      </c>
      <c r="C621" s="4">
        <v>4.4000000000000004</v>
      </c>
      <c r="D621" s="4">
        <v>119</v>
      </c>
      <c r="E621" t="s">
        <v>1105</v>
      </c>
      <c r="F621" s="4">
        <v>19.1808397</v>
      </c>
      <c r="G621">
        <v>72.939138999999997</v>
      </c>
      <c r="H621"/>
    </row>
    <row r="622" spans="1:8">
      <c r="A622" t="s">
        <v>1070</v>
      </c>
      <c r="B622" t="s">
        <v>1106</v>
      </c>
      <c r="C622" s="4">
        <v>4.7</v>
      </c>
      <c r="D622" s="4">
        <v>167</v>
      </c>
      <c r="E622" t="s">
        <v>1107</v>
      </c>
      <c r="F622" s="4">
        <v>19.173580600000001</v>
      </c>
      <c r="G622">
        <v>72.956178999999906</v>
      </c>
      <c r="H622"/>
    </row>
    <row r="623" spans="1:8">
      <c r="A623" t="s">
        <v>1070</v>
      </c>
      <c r="B623" t="s">
        <v>1108</v>
      </c>
      <c r="C623" s="4">
        <v>4.3</v>
      </c>
      <c r="D623" s="4">
        <v>5101</v>
      </c>
      <c r="E623" t="s">
        <v>1109</v>
      </c>
      <c r="F623" s="4">
        <v>19.183812100000001</v>
      </c>
      <c r="G623">
        <v>72.951226599999998</v>
      </c>
      <c r="H623"/>
    </row>
    <row r="624" spans="1:8">
      <c r="A624" t="s">
        <v>1070</v>
      </c>
      <c r="B624" t="s">
        <v>1110</v>
      </c>
      <c r="C624" s="4">
        <v>4.2</v>
      </c>
      <c r="D624" s="4">
        <v>779</v>
      </c>
      <c r="E624" t="s">
        <v>1111</v>
      </c>
      <c r="F624" s="4">
        <v>19.1781215</v>
      </c>
      <c r="G624">
        <v>72.94426</v>
      </c>
      <c r="H624"/>
    </row>
    <row r="625" spans="1:8">
      <c r="A625" t="s">
        <v>1070</v>
      </c>
      <c r="B625" t="s">
        <v>1112</v>
      </c>
      <c r="C625" s="4">
        <v>4.7</v>
      </c>
      <c r="D625" s="4">
        <v>1000</v>
      </c>
      <c r="E625" t="s">
        <v>1113</v>
      </c>
      <c r="F625" s="4">
        <v>19.164312299999999</v>
      </c>
      <c r="G625">
        <v>72.937183699999906</v>
      </c>
      <c r="H625"/>
    </row>
    <row r="626" spans="1:8">
      <c r="A626" t="s">
        <v>1070</v>
      </c>
      <c r="B626" t="s">
        <v>1114</v>
      </c>
      <c r="C626" s="4">
        <v>4.3</v>
      </c>
      <c r="D626" s="4">
        <v>3221</v>
      </c>
      <c r="E626" t="s">
        <v>1115</v>
      </c>
      <c r="F626" s="4">
        <v>19.1714503</v>
      </c>
      <c r="G626">
        <v>72.943235599999994</v>
      </c>
      <c r="H626"/>
    </row>
    <row r="627" spans="1:8">
      <c r="A627" t="s">
        <v>1070</v>
      </c>
      <c r="B627" t="s">
        <v>1086</v>
      </c>
      <c r="C627" s="4">
        <v>4.0999999999999996</v>
      </c>
      <c r="D627" s="4">
        <v>226</v>
      </c>
      <c r="E627" t="s">
        <v>1116</v>
      </c>
      <c r="F627" s="4">
        <v>19.166946100000001</v>
      </c>
      <c r="G627">
        <v>72.960529299999905</v>
      </c>
      <c r="H627"/>
    </row>
    <row r="628" spans="1:8">
      <c r="A628" t="s">
        <v>1070</v>
      </c>
      <c r="B628" t="s">
        <v>1117</v>
      </c>
      <c r="C628" s="4">
        <v>4.0999999999999996</v>
      </c>
      <c r="D628" s="4">
        <v>324</v>
      </c>
      <c r="E628" t="s">
        <v>1118</v>
      </c>
      <c r="F628" s="4">
        <v>19.1607719</v>
      </c>
      <c r="G628">
        <v>72.945395899999994</v>
      </c>
      <c r="H628"/>
    </row>
    <row r="629" spans="1:8">
      <c r="A629" t="s">
        <v>1070</v>
      </c>
      <c r="B629" t="s">
        <v>1119</v>
      </c>
      <c r="C629" s="4">
        <v>4.2</v>
      </c>
      <c r="D629" s="4">
        <v>719</v>
      </c>
      <c r="E629" t="s">
        <v>1120</v>
      </c>
      <c r="F629" s="4">
        <v>19.170562</v>
      </c>
      <c r="G629">
        <v>72.942765199999997</v>
      </c>
      <c r="H629"/>
    </row>
    <row r="630" spans="1:8">
      <c r="A630" t="s">
        <v>1070</v>
      </c>
      <c r="B630" t="s">
        <v>1121</v>
      </c>
      <c r="C630" s="4">
        <v>4.5999999999999996</v>
      </c>
      <c r="D630" s="4">
        <v>123</v>
      </c>
      <c r="E630" t="s">
        <v>1122</v>
      </c>
      <c r="F630" s="4">
        <v>19.180570299999999</v>
      </c>
      <c r="G630">
        <v>72.9400531</v>
      </c>
      <c r="H630"/>
    </row>
    <row r="631" spans="1:8">
      <c r="A631" t="s">
        <v>1070</v>
      </c>
      <c r="B631" t="s">
        <v>1123</v>
      </c>
      <c r="C631" s="4">
        <v>4.3</v>
      </c>
      <c r="D631" s="4">
        <v>53</v>
      </c>
      <c r="E631" t="s">
        <v>1124</v>
      </c>
      <c r="F631" s="4">
        <v>19.183879099999999</v>
      </c>
      <c r="G631">
        <v>72.951723299999998</v>
      </c>
      <c r="H631"/>
    </row>
    <row r="632" spans="1:8">
      <c r="A632" t="s">
        <v>1070</v>
      </c>
      <c r="B632" t="s">
        <v>1125</v>
      </c>
      <c r="C632" s="4">
        <v>4</v>
      </c>
      <c r="D632" s="4">
        <v>1061</v>
      </c>
      <c r="E632" t="s">
        <v>1126</v>
      </c>
      <c r="F632" s="4">
        <v>19.161019599999999</v>
      </c>
      <c r="G632">
        <v>72.944760700000003</v>
      </c>
      <c r="H632"/>
    </row>
    <row r="633" spans="1:8">
      <c r="A633" t="s">
        <v>1070</v>
      </c>
      <c r="B633" t="s">
        <v>1127</v>
      </c>
      <c r="C633" s="4">
        <v>4.3</v>
      </c>
      <c r="D633" s="4">
        <v>2196</v>
      </c>
      <c r="E633" t="s">
        <v>1128</v>
      </c>
      <c r="F633" s="4">
        <v>19.175779599999998</v>
      </c>
      <c r="G633">
        <v>72.951496899999995</v>
      </c>
      <c r="H633"/>
    </row>
    <row r="634" spans="1:8">
      <c r="A634" t="s">
        <v>1070</v>
      </c>
      <c r="B634" t="s">
        <v>1129</v>
      </c>
      <c r="C634" s="4">
        <v>4.4000000000000004</v>
      </c>
      <c r="D634" s="4">
        <v>1856</v>
      </c>
      <c r="E634" t="s">
        <v>1130</v>
      </c>
      <c r="F634" s="4">
        <v>19.1719714</v>
      </c>
      <c r="G634">
        <v>72.941849399999995</v>
      </c>
      <c r="H634"/>
    </row>
    <row r="635" spans="1:8">
      <c r="A635" t="s">
        <v>1070</v>
      </c>
      <c r="B635" t="s">
        <v>1131</v>
      </c>
      <c r="C635" s="4">
        <v>3.9</v>
      </c>
      <c r="D635" s="4">
        <v>769</v>
      </c>
      <c r="E635" t="s">
        <v>1132</v>
      </c>
      <c r="F635" s="4">
        <v>19.174689900000001</v>
      </c>
      <c r="G635">
        <v>72.965934899999993</v>
      </c>
      <c r="H635"/>
    </row>
    <row r="636" spans="1:8">
      <c r="A636" t="s">
        <v>1070</v>
      </c>
      <c r="B636" t="s">
        <v>190</v>
      </c>
      <c r="C636" s="4">
        <v>4</v>
      </c>
      <c r="D636" s="4">
        <v>160</v>
      </c>
      <c r="E636" t="s">
        <v>1133</v>
      </c>
      <c r="F636" s="4">
        <v>19.160776899999998</v>
      </c>
      <c r="G636">
        <v>72.945376400000001</v>
      </c>
      <c r="H636"/>
    </row>
    <row r="637" spans="1:8">
      <c r="A637" t="s">
        <v>1070</v>
      </c>
      <c r="B637" t="s">
        <v>1134</v>
      </c>
      <c r="C637" s="4">
        <v>4.2</v>
      </c>
      <c r="D637" s="4">
        <v>1621</v>
      </c>
      <c r="E637" t="s">
        <v>1135</v>
      </c>
      <c r="F637" s="4">
        <v>19.1763105</v>
      </c>
      <c r="G637">
        <v>72.951663699999997</v>
      </c>
      <c r="H637"/>
    </row>
    <row r="638" spans="1:8">
      <c r="A638" t="s">
        <v>1070</v>
      </c>
      <c r="B638" t="s">
        <v>140</v>
      </c>
      <c r="C638" s="4">
        <v>3.9</v>
      </c>
      <c r="D638" s="4">
        <v>703</v>
      </c>
      <c r="E638" t="s">
        <v>1136</v>
      </c>
      <c r="F638" s="4">
        <v>19.167837299999999</v>
      </c>
      <c r="G638">
        <v>72.9610062</v>
      </c>
      <c r="H638"/>
    </row>
    <row r="639" spans="1:8">
      <c r="A639" t="s">
        <v>1070</v>
      </c>
      <c r="B639" t="s">
        <v>1137</v>
      </c>
      <c r="C639" s="4">
        <v>5</v>
      </c>
      <c r="D639" s="4">
        <v>12</v>
      </c>
      <c r="E639" t="s">
        <v>1138</v>
      </c>
      <c r="F639" s="4">
        <v>19.165175300000001</v>
      </c>
      <c r="G639">
        <v>72.958810599999893</v>
      </c>
      <c r="H639"/>
    </row>
    <row r="640" spans="1:8">
      <c r="A640" t="s">
        <v>1070</v>
      </c>
      <c r="B640" t="s">
        <v>1139</v>
      </c>
      <c r="C640" s="4">
        <v>4.7</v>
      </c>
      <c r="D640" s="4">
        <v>143</v>
      </c>
      <c r="E640" t="s">
        <v>1140</v>
      </c>
      <c r="F640" s="4">
        <v>19.1808403</v>
      </c>
      <c r="G640">
        <v>72.939138299999996</v>
      </c>
      <c r="H640"/>
    </row>
    <row r="641" spans="1:8">
      <c r="A641" t="s">
        <v>1070</v>
      </c>
      <c r="B641" t="s">
        <v>1141</v>
      </c>
      <c r="C641" s="4">
        <v>4.2</v>
      </c>
      <c r="D641" s="4">
        <v>3157</v>
      </c>
      <c r="E641" t="s">
        <v>1142</v>
      </c>
      <c r="F641" s="4">
        <v>19.1757122</v>
      </c>
      <c r="G641">
        <v>72.952114399999999</v>
      </c>
      <c r="H641"/>
    </row>
    <row r="642" spans="1:8">
      <c r="A642" t="s">
        <v>1070</v>
      </c>
      <c r="B642" t="s">
        <v>1143</v>
      </c>
      <c r="C642" s="4">
        <v>4.9000000000000004</v>
      </c>
      <c r="D642" s="4">
        <v>70</v>
      </c>
      <c r="E642" t="s">
        <v>1144</v>
      </c>
      <c r="F642" s="4">
        <v>19.164366999999999</v>
      </c>
      <c r="G642">
        <v>72.937244100000001</v>
      </c>
      <c r="H642"/>
    </row>
    <row r="643" spans="1:8">
      <c r="A643" t="s">
        <v>1070</v>
      </c>
      <c r="B643" t="s">
        <v>1145</v>
      </c>
      <c r="C643" s="4">
        <v>3.8</v>
      </c>
      <c r="D643" s="4">
        <v>72</v>
      </c>
      <c r="E643" t="s">
        <v>1146</v>
      </c>
      <c r="F643" s="4">
        <v>19.159556299999998</v>
      </c>
      <c r="G643">
        <v>72.944882899999996</v>
      </c>
      <c r="H643"/>
    </row>
    <row r="644" spans="1:8">
      <c r="A644" t="s">
        <v>1070</v>
      </c>
      <c r="B644" t="s">
        <v>1147</v>
      </c>
      <c r="C644" s="4">
        <v>4.3</v>
      </c>
      <c r="D644" s="4">
        <v>50</v>
      </c>
      <c r="E644" t="s">
        <v>1148</v>
      </c>
      <c r="F644" s="4">
        <v>19.170681800000001</v>
      </c>
      <c r="G644">
        <v>72.956671399999905</v>
      </c>
      <c r="H644"/>
    </row>
    <row r="645" spans="1:8">
      <c r="A645" t="s">
        <v>1070</v>
      </c>
      <c r="B645" t="s">
        <v>1149</v>
      </c>
      <c r="C645" s="4">
        <v>4.2</v>
      </c>
      <c r="D645" s="4">
        <v>848</v>
      </c>
      <c r="E645" t="s">
        <v>1150</v>
      </c>
      <c r="F645" s="4">
        <v>19.1719112</v>
      </c>
      <c r="G645">
        <v>72.941999999999993</v>
      </c>
      <c r="H645"/>
    </row>
    <row r="646" spans="1:8">
      <c r="A646" t="s">
        <v>1070</v>
      </c>
      <c r="B646" t="s">
        <v>1020</v>
      </c>
      <c r="C646" s="4">
        <v>4.7</v>
      </c>
      <c r="D646" s="4">
        <v>99</v>
      </c>
      <c r="E646" t="s">
        <v>1151</v>
      </c>
      <c r="F646" s="4">
        <v>19.1722176</v>
      </c>
      <c r="G646">
        <v>72.962598399999905</v>
      </c>
      <c r="H646"/>
    </row>
    <row r="647" spans="1:8">
      <c r="A647" t="s">
        <v>1070</v>
      </c>
      <c r="B647" t="s">
        <v>1152</v>
      </c>
      <c r="C647" s="4">
        <v>4.4000000000000004</v>
      </c>
      <c r="D647" s="4">
        <v>845</v>
      </c>
      <c r="E647" t="s">
        <v>1153</v>
      </c>
      <c r="F647" s="4">
        <v>19.1687625</v>
      </c>
      <c r="G647">
        <v>72.946007799999904</v>
      </c>
      <c r="H647"/>
    </row>
    <row r="648" spans="1:8">
      <c r="A648" t="s">
        <v>1070</v>
      </c>
      <c r="B648" t="s">
        <v>123</v>
      </c>
      <c r="C648" s="4">
        <v>4.4000000000000004</v>
      </c>
      <c r="D648" s="4">
        <v>2035</v>
      </c>
      <c r="E648" t="s">
        <v>1154</v>
      </c>
      <c r="F648" s="4">
        <v>19.161275</v>
      </c>
      <c r="G648">
        <v>72.944356999999997</v>
      </c>
      <c r="H648"/>
    </row>
    <row r="649" spans="1:8">
      <c r="A649" t="s">
        <v>1070</v>
      </c>
      <c r="B649" t="s">
        <v>1155</v>
      </c>
      <c r="C649" s="4">
        <v>4.8</v>
      </c>
      <c r="D649" s="4">
        <v>522</v>
      </c>
      <c r="E649" t="s">
        <v>1156</v>
      </c>
      <c r="F649" s="4">
        <v>19.171229199999999</v>
      </c>
      <c r="G649">
        <v>72.933519599999997</v>
      </c>
      <c r="H649"/>
    </row>
    <row r="650" spans="1:8">
      <c r="A650" t="s">
        <v>1070</v>
      </c>
      <c r="B650" t="s">
        <v>1157</v>
      </c>
      <c r="C650" s="4">
        <v>4.8</v>
      </c>
      <c r="D650" s="4">
        <v>143</v>
      </c>
      <c r="E650" t="s">
        <v>1158</v>
      </c>
      <c r="F650" s="4">
        <v>19.189578300000001</v>
      </c>
      <c r="G650">
        <v>72.945082900000003</v>
      </c>
      <c r="H650"/>
    </row>
    <row r="651" spans="1:8">
      <c r="A651" t="s">
        <v>1070</v>
      </c>
      <c r="B651" t="s">
        <v>1159</v>
      </c>
      <c r="C651" s="4">
        <v>4.5</v>
      </c>
      <c r="D651" s="4">
        <v>233</v>
      </c>
      <c r="E651" t="s">
        <v>1160</v>
      </c>
      <c r="F651" s="4">
        <v>19.1756879</v>
      </c>
      <c r="G651">
        <v>72.948129100000003</v>
      </c>
      <c r="H651"/>
    </row>
    <row r="652" spans="1:8">
      <c r="A652" t="s">
        <v>1070</v>
      </c>
      <c r="B652" t="s">
        <v>1161</v>
      </c>
      <c r="C652" s="4">
        <v>4.5</v>
      </c>
      <c r="D652" s="4">
        <v>514</v>
      </c>
      <c r="E652" t="s">
        <v>1162</v>
      </c>
      <c r="F652" s="4">
        <v>19.191727199999999</v>
      </c>
      <c r="G652">
        <v>72.954816600000001</v>
      </c>
      <c r="H652"/>
    </row>
    <row r="653" spans="1:8">
      <c r="A653" t="s">
        <v>1070</v>
      </c>
      <c r="B653" t="s">
        <v>1163</v>
      </c>
      <c r="C653" s="4">
        <v>4.0999999999999996</v>
      </c>
      <c r="D653" s="4">
        <v>2445</v>
      </c>
      <c r="E653" t="s">
        <v>1164</v>
      </c>
      <c r="F653" s="4">
        <v>19.1648526</v>
      </c>
      <c r="G653">
        <v>72.938122499999906</v>
      </c>
      <c r="H653"/>
    </row>
    <row r="654" spans="1:8">
      <c r="A654" t="s">
        <v>1070</v>
      </c>
      <c r="B654" t="s">
        <v>1165</v>
      </c>
      <c r="C654" s="4">
        <v>4.4000000000000004</v>
      </c>
      <c r="D654" s="4">
        <v>19</v>
      </c>
      <c r="E654" t="s">
        <v>1166</v>
      </c>
      <c r="F654" s="4">
        <v>19.172131400000001</v>
      </c>
      <c r="G654">
        <v>72.950681700000004</v>
      </c>
      <c r="H654"/>
    </row>
    <row r="655" spans="1:8">
      <c r="A655" t="s">
        <v>1070</v>
      </c>
      <c r="B655" t="s">
        <v>1167</v>
      </c>
      <c r="C655" s="4">
        <v>4.9000000000000004</v>
      </c>
      <c r="D655" s="4">
        <v>15</v>
      </c>
      <c r="E655" t="s">
        <v>1168</v>
      </c>
      <c r="F655" s="4">
        <v>19.1731601</v>
      </c>
      <c r="G655">
        <v>72.949538699999906</v>
      </c>
      <c r="H655"/>
    </row>
    <row r="656" spans="1:8">
      <c r="A656" t="s">
        <v>1070</v>
      </c>
      <c r="B656" t="s">
        <v>1169</v>
      </c>
      <c r="C656" s="4">
        <v>4.8</v>
      </c>
      <c r="D656" s="4">
        <v>436</v>
      </c>
      <c r="E656" t="s">
        <v>1170</v>
      </c>
      <c r="F656" s="4">
        <v>19.172881100000001</v>
      </c>
      <c r="G656">
        <v>72.9566236</v>
      </c>
      <c r="H656"/>
    </row>
    <row r="657" spans="1:8">
      <c r="A657" t="s">
        <v>1070</v>
      </c>
      <c r="B657" t="s">
        <v>1171</v>
      </c>
      <c r="C657" s="4">
        <v>3.5</v>
      </c>
      <c r="D657" s="4">
        <v>6</v>
      </c>
      <c r="E657" t="s">
        <v>1172</v>
      </c>
      <c r="F657" s="4">
        <v>19.180919899999999</v>
      </c>
      <c r="G657">
        <v>72.939210399999993</v>
      </c>
      <c r="H657"/>
    </row>
    <row r="658" spans="1:8">
      <c r="A658" t="s">
        <v>1070</v>
      </c>
      <c r="B658" t="s">
        <v>1173</v>
      </c>
      <c r="C658" s="4">
        <v>4.9000000000000004</v>
      </c>
      <c r="D658" s="4">
        <v>50</v>
      </c>
      <c r="E658" t="s">
        <v>1174</v>
      </c>
      <c r="F658" s="4">
        <v>19.175964</v>
      </c>
      <c r="G658">
        <v>72.937445199999999</v>
      </c>
      <c r="H658"/>
    </row>
    <row r="659" spans="1:8">
      <c r="A659" t="s">
        <v>1070</v>
      </c>
      <c r="B659" t="s">
        <v>1175</v>
      </c>
      <c r="C659" s="4">
        <v>5</v>
      </c>
      <c r="D659" s="4">
        <v>22</v>
      </c>
      <c r="E659" t="s">
        <v>1176</v>
      </c>
      <c r="F659" s="4">
        <v>19.175011000000001</v>
      </c>
      <c r="G659">
        <v>72.950225000000003</v>
      </c>
      <c r="H659"/>
    </row>
    <row r="660" spans="1:8">
      <c r="A660" t="s">
        <v>1070</v>
      </c>
      <c r="B660" t="s">
        <v>1177</v>
      </c>
      <c r="C660" s="4">
        <v>3.8</v>
      </c>
      <c r="D660" s="4">
        <v>1763</v>
      </c>
      <c r="E660" t="s">
        <v>1178</v>
      </c>
      <c r="F660" s="4">
        <v>19.177381400000002</v>
      </c>
      <c r="G660">
        <v>72.951298899999998</v>
      </c>
      <c r="H660"/>
    </row>
    <row r="661" spans="1:8">
      <c r="A661" t="s">
        <v>1070</v>
      </c>
      <c r="B661" t="s">
        <v>1179</v>
      </c>
      <c r="C661" s="4">
        <v>4.0999999999999996</v>
      </c>
      <c r="D661" s="4">
        <v>1187</v>
      </c>
      <c r="E661" t="s">
        <v>1180</v>
      </c>
      <c r="F661" s="4">
        <v>19.176058600000001</v>
      </c>
      <c r="G661">
        <v>72.950677200000001</v>
      </c>
      <c r="H661"/>
    </row>
    <row r="662" spans="1:8">
      <c r="A662" t="s">
        <v>1181</v>
      </c>
      <c r="B662" t="s">
        <v>1182</v>
      </c>
      <c r="C662" s="4">
        <v>4.4000000000000004</v>
      </c>
      <c r="D662" s="4">
        <v>2370</v>
      </c>
      <c r="E662" t="s">
        <v>1183</v>
      </c>
      <c r="F662" s="4">
        <v>19.084952300000001</v>
      </c>
      <c r="G662">
        <v>73.007646100000002</v>
      </c>
      <c r="H662"/>
    </row>
    <row r="663" spans="1:8">
      <c r="A663" t="s">
        <v>1181</v>
      </c>
      <c r="B663" t="s">
        <v>1184</v>
      </c>
      <c r="C663" s="4">
        <v>4.4000000000000004</v>
      </c>
      <c r="D663" s="4">
        <v>1246</v>
      </c>
      <c r="E663" t="s">
        <v>1185</v>
      </c>
      <c r="F663" s="4">
        <v>19.091699200000001</v>
      </c>
      <c r="G663">
        <v>73.005358000000001</v>
      </c>
      <c r="H663"/>
    </row>
    <row r="664" spans="1:8">
      <c r="A664" t="s">
        <v>1181</v>
      </c>
      <c r="B664" t="s">
        <v>1186</v>
      </c>
      <c r="C664" s="4">
        <v>4.2</v>
      </c>
      <c r="D664" s="4">
        <v>846</v>
      </c>
      <c r="E664" t="s">
        <v>1187</v>
      </c>
      <c r="F664" s="4">
        <v>19.089621699999999</v>
      </c>
      <c r="G664">
        <v>73.007448099999905</v>
      </c>
      <c r="H664"/>
    </row>
    <row r="665" spans="1:8">
      <c r="A665" t="s">
        <v>1181</v>
      </c>
      <c r="B665" t="s">
        <v>1188</v>
      </c>
      <c r="C665" s="4">
        <v>4.0999999999999996</v>
      </c>
      <c r="D665" s="4">
        <v>658</v>
      </c>
      <c r="E665" t="s">
        <v>1189</v>
      </c>
      <c r="F665" s="4">
        <v>19.0845637</v>
      </c>
      <c r="G665">
        <v>73.007719399999999</v>
      </c>
      <c r="H665"/>
    </row>
    <row r="666" spans="1:8">
      <c r="A666" t="s">
        <v>1181</v>
      </c>
      <c r="B666" t="s">
        <v>1190</v>
      </c>
      <c r="C666" s="4">
        <v>4.4000000000000004</v>
      </c>
      <c r="D666" s="4">
        <v>523</v>
      </c>
      <c r="E666" t="s">
        <v>1191</v>
      </c>
      <c r="F666" s="4">
        <v>19.056582800000001</v>
      </c>
      <c r="G666">
        <v>73.0032037</v>
      </c>
      <c r="H666"/>
    </row>
    <row r="667" spans="1:8">
      <c r="A667" t="s">
        <v>1181</v>
      </c>
      <c r="B667" t="s">
        <v>1192</v>
      </c>
      <c r="C667" s="4">
        <v>3.9</v>
      </c>
      <c r="D667" s="4">
        <v>95</v>
      </c>
      <c r="E667" t="s">
        <v>1193</v>
      </c>
      <c r="F667" s="4">
        <v>19.086806800000002</v>
      </c>
      <c r="G667">
        <v>73.008460499999998</v>
      </c>
      <c r="H667"/>
    </row>
    <row r="668" spans="1:8">
      <c r="A668" t="s">
        <v>1181</v>
      </c>
      <c r="B668" t="s">
        <v>1194</v>
      </c>
      <c r="C668" s="4">
        <v>4</v>
      </c>
      <c r="D668" s="4">
        <v>1724</v>
      </c>
      <c r="E668" t="s">
        <v>1195</v>
      </c>
      <c r="F668" s="4">
        <v>19.070995700000001</v>
      </c>
      <c r="G668">
        <v>73.0093478</v>
      </c>
      <c r="H668"/>
    </row>
    <row r="669" spans="1:8">
      <c r="A669" t="s">
        <v>1181</v>
      </c>
      <c r="B669" t="s">
        <v>1196</v>
      </c>
      <c r="C669" s="4">
        <v>4.5</v>
      </c>
      <c r="D669" s="4">
        <v>257</v>
      </c>
      <c r="E669" t="s">
        <v>1197</v>
      </c>
      <c r="F669" s="4">
        <v>19.074182</v>
      </c>
      <c r="G669">
        <v>72.998292199999995</v>
      </c>
      <c r="H669"/>
    </row>
    <row r="670" spans="1:8">
      <c r="A670" t="s">
        <v>1181</v>
      </c>
      <c r="B670" t="s">
        <v>1198</v>
      </c>
      <c r="C670" s="4">
        <v>4.0999999999999996</v>
      </c>
      <c r="D670" s="4">
        <v>2331</v>
      </c>
      <c r="E670" t="s">
        <v>1199</v>
      </c>
      <c r="F670" s="4">
        <v>19.0676557</v>
      </c>
      <c r="G670">
        <v>72.992965999999996</v>
      </c>
      <c r="H670"/>
    </row>
    <row r="671" spans="1:8">
      <c r="A671" t="s">
        <v>1181</v>
      </c>
      <c r="B671" t="s">
        <v>48</v>
      </c>
      <c r="C671" s="4">
        <v>4.9000000000000004</v>
      </c>
      <c r="D671" s="4">
        <v>82</v>
      </c>
      <c r="E671" t="s">
        <v>1200</v>
      </c>
      <c r="F671" s="4">
        <v>19.065485800000001</v>
      </c>
      <c r="G671">
        <v>73.000705799999906</v>
      </c>
      <c r="H671"/>
    </row>
    <row r="672" spans="1:8">
      <c r="A672" t="s">
        <v>1181</v>
      </c>
      <c r="B672" t="s">
        <v>123</v>
      </c>
      <c r="C672" s="4">
        <v>4.5999999999999996</v>
      </c>
      <c r="D672" s="4">
        <v>582</v>
      </c>
      <c r="E672" t="s">
        <v>1201</v>
      </c>
      <c r="F672" s="4">
        <v>19.072171000000001</v>
      </c>
      <c r="G672">
        <v>72.9978014</v>
      </c>
      <c r="H672"/>
    </row>
    <row r="673" spans="1:8">
      <c r="A673" t="s">
        <v>1181</v>
      </c>
      <c r="B673" t="s">
        <v>1202</v>
      </c>
      <c r="C673" s="4">
        <v>4.5</v>
      </c>
      <c r="D673" s="4">
        <v>739</v>
      </c>
      <c r="E673" t="s">
        <v>1203</v>
      </c>
      <c r="F673" s="4">
        <v>19.055643400000001</v>
      </c>
      <c r="G673">
        <v>73.015022399999907</v>
      </c>
      <c r="H673"/>
    </row>
    <row r="674" spans="1:8">
      <c r="A674" t="s">
        <v>1181</v>
      </c>
      <c r="B674" t="s">
        <v>1204</v>
      </c>
      <c r="C674" s="4">
        <v>4.7</v>
      </c>
      <c r="D674" s="4">
        <v>442</v>
      </c>
      <c r="E674" t="s">
        <v>1205</v>
      </c>
      <c r="F674" s="4">
        <v>19.065708999999998</v>
      </c>
      <c r="G674">
        <v>73.001230899999996</v>
      </c>
      <c r="H674"/>
    </row>
    <row r="675" spans="1:8">
      <c r="A675" t="s">
        <v>1181</v>
      </c>
      <c r="B675" t="s">
        <v>1206</v>
      </c>
      <c r="C675" s="4">
        <v>4.5</v>
      </c>
      <c r="D675" s="4">
        <v>1296</v>
      </c>
      <c r="E675" t="s">
        <v>1207</v>
      </c>
      <c r="F675" s="4">
        <v>19.0662366</v>
      </c>
      <c r="G675">
        <v>72.999246299999996</v>
      </c>
      <c r="H675"/>
    </row>
    <row r="676" spans="1:8">
      <c r="A676" t="s">
        <v>1181</v>
      </c>
      <c r="B676" t="s">
        <v>123</v>
      </c>
      <c r="C676" s="4">
        <v>4.3</v>
      </c>
      <c r="D676" s="4">
        <v>4193</v>
      </c>
      <c r="E676" t="s">
        <v>1208</v>
      </c>
      <c r="F676" s="4">
        <v>19.065691399999999</v>
      </c>
      <c r="G676">
        <v>72.999819299999999</v>
      </c>
      <c r="H676"/>
    </row>
    <row r="677" spans="1:8">
      <c r="A677" t="s">
        <v>1181</v>
      </c>
      <c r="B677" t="s">
        <v>1209</v>
      </c>
      <c r="C677" s="4">
        <v>4.0999999999999996</v>
      </c>
      <c r="D677" s="4">
        <v>2550</v>
      </c>
      <c r="E677" t="s">
        <v>1210</v>
      </c>
      <c r="F677" s="4">
        <v>19.065827800000001</v>
      </c>
      <c r="G677">
        <v>73.001049699999996</v>
      </c>
      <c r="H677"/>
    </row>
    <row r="678" spans="1:8">
      <c r="A678" t="s">
        <v>1181</v>
      </c>
      <c r="B678" t="s">
        <v>1211</v>
      </c>
      <c r="C678" s="4">
        <v>4.8</v>
      </c>
      <c r="D678" s="4">
        <v>113</v>
      </c>
      <c r="E678" t="s">
        <v>1212</v>
      </c>
      <c r="F678" s="4">
        <v>19.065326800000001</v>
      </c>
      <c r="G678">
        <v>73.002129099999905</v>
      </c>
      <c r="H678"/>
    </row>
    <row r="679" spans="1:8">
      <c r="A679" t="s">
        <v>1181</v>
      </c>
      <c r="B679" t="s">
        <v>1213</v>
      </c>
      <c r="C679" s="4">
        <v>4.3</v>
      </c>
      <c r="D679" s="4">
        <v>3080</v>
      </c>
      <c r="E679" t="s">
        <v>1214</v>
      </c>
      <c r="F679" s="4">
        <v>19.066978200000001</v>
      </c>
      <c r="G679">
        <v>72.999138899999906</v>
      </c>
      <c r="H679"/>
    </row>
    <row r="680" spans="1:8">
      <c r="A680" t="s">
        <v>1181</v>
      </c>
      <c r="B680" t="s">
        <v>1215</v>
      </c>
      <c r="C680" s="4">
        <v>4.8</v>
      </c>
      <c r="D680" s="4">
        <v>19</v>
      </c>
      <c r="E680" t="s">
        <v>1216</v>
      </c>
      <c r="F680" s="4">
        <v>19.074826300000002</v>
      </c>
      <c r="G680">
        <v>72.997605499999906</v>
      </c>
      <c r="H680"/>
    </row>
    <row r="681" spans="1:8">
      <c r="A681" t="s">
        <v>1181</v>
      </c>
      <c r="B681" t="s">
        <v>1217</v>
      </c>
      <c r="C681" s="4">
        <v>4.5</v>
      </c>
      <c r="D681" s="4">
        <v>10</v>
      </c>
      <c r="E681" t="s">
        <v>1218</v>
      </c>
      <c r="F681" s="4">
        <v>19.066336</v>
      </c>
      <c r="G681">
        <v>72.998512399999996</v>
      </c>
      <c r="H681"/>
    </row>
    <row r="682" spans="1:8">
      <c r="A682" t="s">
        <v>1181</v>
      </c>
      <c r="B682" t="s">
        <v>1219</v>
      </c>
      <c r="C682" s="4">
        <v>4</v>
      </c>
      <c r="D682" s="4">
        <v>1567</v>
      </c>
      <c r="E682" t="s">
        <v>1220</v>
      </c>
      <c r="F682" s="4">
        <v>19.083051600000001</v>
      </c>
      <c r="G682">
        <v>73.005971700000003</v>
      </c>
      <c r="H682"/>
    </row>
    <row r="683" spans="1:8">
      <c r="A683" t="s">
        <v>1181</v>
      </c>
      <c r="B683" t="s">
        <v>1221</v>
      </c>
      <c r="C683" s="4">
        <v>4.0999999999999996</v>
      </c>
      <c r="D683" s="4">
        <v>3862</v>
      </c>
      <c r="E683" t="s">
        <v>1222</v>
      </c>
      <c r="F683" s="4">
        <v>19.065547599999999</v>
      </c>
      <c r="G683">
        <v>73.001178699999997</v>
      </c>
      <c r="H683"/>
    </row>
    <row r="684" spans="1:8">
      <c r="A684" t="s">
        <v>1181</v>
      </c>
      <c r="B684" t="s">
        <v>1223</v>
      </c>
      <c r="C684" s="4">
        <v>3.8</v>
      </c>
      <c r="D684" s="4">
        <v>835</v>
      </c>
      <c r="E684" t="s">
        <v>1224</v>
      </c>
      <c r="F684" s="4">
        <v>19.086683600000001</v>
      </c>
      <c r="G684">
        <v>72.999505799999994</v>
      </c>
      <c r="H684"/>
    </row>
    <row r="685" spans="1:8">
      <c r="A685" t="s">
        <v>1181</v>
      </c>
      <c r="B685" t="s">
        <v>1225</v>
      </c>
      <c r="C685" s="4">
        <v>4.4000000000000004</v>
      </c>
      <c r="D685" s="4">
        <v>4769</v>
      </c>
      <c r="E685" t="s">
        <v>1226</v>
      </c>
      <c r="F685" s="4">
        <v>19.073132900000001</v>
      </c>
      <c r="G685">
        <v>72.998255700000001</v>
      </c>
      <c r="H685"/>
    </row>
    <row r="686" spans="1:8">
      <c r="A686" t="s">
        <v>1181</v>
      </c>
      <c r="B686" t="s">
        <v>1227</v>
      </c>
      <c r="C686" s="4">
        <v>4.0999999999999996</v>
      </c>
      <c r="D686" s="4">
        <v>1133</v>
      </c>
      <c r="E686" t="s">
        <v>1228</v>
      </c>
      <c r="F686" s="4">
        <v>19.083490000000001</v>
      </c>
      <c r="G686">
        <v>73.006404699999905</v>
      </c>
      <c r="H686"/>
    </row>
    <row r="687" spans="1:8">
      <c r="A687" t="s">
        <v>1181</v>
      </c>
      <c r="B687" t="s">
        <v>1229</v>
      </c>
      <c r="C687" s="4">
        <v>4.9000000000000004</v>
      </c>
      <c r="D687" s="4">
        <v>112</v>
      </c>
      <c r="E687" t="s">
        <v>1230</v>
      </c>
      <c r="F687" s="4">
        <v>19.0893196</v>
      </c>
      <c r="G687">
        <v>73.014051999999893</v>
      </c>
      <c r="H687"/>
    </row>
    <row r="688" spans="1:8">
      <c r="A688" t="s">
        <v>1181</v>
      </c>
      <c r="B688" t="s">
        <v>1231</v>
      </c>
      <c r="C688" s="4">
        <v>4.0999999999999996</v>
      </c>
      <c r="D688" s="4">
        <v>920</v>
      </c>
      <c r="E688" t="s">
        <v>1232</v>
      </c>
      <c r="F688" s="4">
        <v>19.065710500000002</v>
      </c>
      <c r="G688">
        <v>73.000793099999996</v>
      </c>
      <c r="H688"/>
    </row>
    <row r="689" spans="1:8">
      <c r="A689" t="s">
        <v>1181</v>
      </c>
      <c r="B689" t="s">
        <v>1233</v>
      </c>
      <c r="C689" s="4">
        <v>4.2</v>
      </c>
      <c r="D689" s="4">
        <v>1040</v>
      </c>
      <c r="E689" t="s">
        <v>1234</v>
      </c>
      <c r="F689" s="4">
        <v>19.066102399999998</v>
      </c>
      <c r="G689">
        <v>73.000553299999893</v>
      </c>
      <c r="H689"/>
    </row>
    <row r="690" spans="1:8">
      <c r="A690" t="s">
        <v>1181</v>
      </c>
      <c r="B690" t="s">
        <v>1235</v>
      </c>
      <c r="C690" s="4">
        <v>4.0999999999999996</v>
      </c>
      <c r="D690" s="4">
        <v>6337</v>
      </c>
      <c r="E690" t="s">
        <v>1236</v>
      </c>
      <c r="F690" s="4">
        <v>19.082450900000001</v>
      </c>
      <c r="G690">
        <v>73.005690999999999</v>
      </c>
      <c r="H690"/>
    </row>
    <row r="691" spans="1:8">
      <c r="A691" t="s">
        <v>1181</v>
      </c>
      <c r="B691" t="s">
        <v>1237</v>
      </c>
      <c r="C691" s="4">
        <v>4.3</v>
      </c>
      <c r="D691" s="4">
        <v>189</v>
      </c>
      <c r="E691" t="s">
        <v>1238</v>
      </c>
      <c r="F691" s="4">
        <v>19.082727500000001</v>
      </c>
      <c r="G691">
        <v>73.006421099999997</v>
      </c>
      <c r="H691"/>
    </row>
    <row r="692" spans="1:8">
      <c r="A692" t="s">
        <v>1181</v>
      </c>
      <c r="B692" t="s">
        <v>140</v>
      </c>
      <c r="C692" s="4">
        <v>4.3</v>
      </c>
      <c r="D692" s="4">
        <v>1169</v>
      </c>
      <c r="E692" t="s">
        <v>1239</v>
      </c>
      <c r="F692" s="4">
        <v>19.0973389</v>
      </c>
      <c r="G692">
        <v>73.005842399999906</v>
      </c>
      <c r="H692"/>
    </row>
    <row r="693" spans="1:8">
      <c r="A693" t="s">
        <v>1181</v>
      </c>
      <c r="B693" t="s">
        <v>1240</v>
      </c>
      <c r="C693" s="4">
        <v>4.3</v>
      </c>
      <c r="D693" s="4">
        <v>5040</v>
      </c>
      <c r="E693" t="s">
        <v>1241</v>
      </c>
      <c r="F693" s="4">
        <v>19.066737199999999</v>
      </c>
      <c r="G693">
        <v>72.992912099999998</v>
      </c>
      <c r="H693"/>
    </row>
    <row r="694" spans="1:8">
      <c r="A694" t="s">
        <v>1181</v>
      </c>
      <c r="B694" t="s">
        <v>1242</v>
      </c>
      <c r="C694" s="4">
        <v>4.8</v>
      </c>
      <c r="D694" s="4">
        <v>39</v>
      </c>
      <c r="E694" t="s">
        <v>1243</v>
      </c>
      <c r="F694" s="4">
        <v>19.078833700000001</v>
      </c>
      <c r="G694">
        <v>73.013362799999996</v>
      </c>
      <c r="H694"/>
    </row>
    <row r="695" spans="1:8">
      <c r="A695" t="s">
        <v>1181</v>
      </c>
      <c r="B695" t="s">
        <v>1244</v>
      </c>
      <c r="C695" s="4">
        <v>4</v>
      </c>
      <c r="D695" s="4">
        <v>2532</v>
      </c>
      <c r="E695" t="s">
        <v>1245</v>
      </c>
      <c r="F695" s="4">
        <v>19.065773499999999</v>
      </c>
      <c r="G695">
        <v>73.000738599999906</v>
      </c>
      <c r="H695"/>
    </row>
    <row r="696" spans="1:8">
      <c r="A696" t="s">
        <v>1181</v>
      </c>
      <c r="B696" t="s">
        <v>1246</v>
      </c>
      <c r="C696" s="4">
        <v>4.4000000000000004</v>
      </c>
      <c r="D696" s="4">
        <v>383</v>
      </c>
      <c r="E696" t="s">
        <v>1247</v>
      </c>
      <c r="F696" s="4">
        <v>19.065708999999998</v>
      </c>
      <c r="G696">
        <v>73.001230899999996</v>
      </c>
      <c r="H696"/>
    </row>
    <row r="697" spans="1:8">
      <c r="A697" t="s">
        <v>1181</v>
      </c>
      <c r="B697" t="s">
        <v>1248</v>
      </c>
      <c r="C697" s="4">
        <v>4.5</v>
      </c>
      <c r="D697" s="4">
        <v>208</v>
      </c>
      <c r="E697" t="s">
        <v>1249</v>
      </c>
      <c r="F697" s="4">
        <v>19.087420900000001</v>
      </c>
      <c r="G697">
        <v>73.007493099999905</v>
      </c>
      <c r="H697"/>
    </row>
    <row r="698" spans="1:8">
      <c r="A698" t="s">
        <v>1181</v>
      </c>
      <c r="B698" t="s">
        <v>1250</v>
      </c>
      <c r="C698" s="4">
        <v>4.5999999999999996</v>
      </c>
      <c r="D698" s="4">
        <v>163</v>
      </c>
      <c r="E698" t="s">
        <v>1251</v>
      </c>
      <c r="F698" s="4">
        <v>19.0629895</v>
      </c>
      <c r="G698">
        <v>73.005710399999998</v>
      </c>
      <c r="H698"/>
    </row>
    <row r="699" spans="1:8">
      <c r="A699" t="s">
        <v>1181</v>
      </c>
      <c r="B699" t="s">
        <v>1252</v>
      </c>
      <c r="C699" s="4">
        <v>4.5</v>
      </c>
      <c r="D699" s="4">
        <v>250</v>
      </c>
      <c r="E699" t="s">
        <v>1253</v>
      </c>
      <c r="F699" s="4">
        <v>19.08229</v>
      </c>
      <c r="G699">
        <v>73.005936899999995</v>
      </c>
      <c r="H699"/>
    </row>
    <row r="700" spans="1:8">
      <c r="A700" t="s">
        <v>1181</v>
      </c>
      <c r="B700" t="s">
        <v>1254</v>
      </c>
      <c r="C700" s="4">
        <v>4.5</v>
      </c>
      <c r="D700" s="4">
        <v>1577</v>
      </c>
      <c r="E700" t="s">
        <v>1255</v>
      </c>
      <c r="F700" s="4">
        <v>19.091576700000001</v>
      </c>
      <c r="G700">
        <v>73.005654300000003</v>
      </c>
      <c r="H700"/>
    </row>
    <row r="701" spans="1:8">
      <c r="A701" t="s">
        <v>1181</v>
      </c>
      <c r="B701" t="s">
        <v>1256</v>
      </c>
      <c r="C701" s="4">
        <v>3</v>
      </c>
      <c r="D701" s="4">
        <v>13</v>
      </c>
      <c r="E701" t="s">
        <v>1257</v>
      </c>
      <c r="F701" s="4">
        <v>19.065766499999999</v>
      </c>
      <c r="G701">
        <v>73.000945199999904</v>
      </c>
      <c r="H701"/>
    </row>
    <row r="702" spans="1:8">
      <c r="A702" t="s">
        <v>1181</v>
      </c>
      <c r="B702" t="s">
        <v>1258</v>
      </c>
      <c r="C702" s="4">
        <v>4.2</v>
      </c>
      <c r="D702" s="4">
        <v>5593</v>
      </c>
      <c r="E702" t="s">
        <v>1259</v>
      </c>
      <c r="F702" s="4">
        <v>19.073940700000001</v>
      </c>
      <c r="G702">
        <v>72.999619099999904</v>
      </c>
      <c r="H702"/>
    </row>
    <row r="703" spans="1:8">
      <c r="A703" t="s">
        <v>1181</v>
      </c>
      <c r="B703" t="s">
        <v>1260</v>
      </c>
      <c r="C703" s="4">
        <v>3.9</v>
      </c>
      <c r="D703" s="4">
        <v>4911</v>
      </c>
      <c r="E703" t="s">
        <v>1261</v>
      </c>
      <c r="F703" s="4">
        <v>19.075427099999999</v>
      </c>
      <c r="G703">
        <v>72.985011799999995</v>
      </c>
      <c r="H703"/>
    </row>
    <row r="704" spans="1:8">
      <c r="A704" t="s">
        <v>1181</v>
      </c>
      <c r="B704" t="s">
        <v>1262</v>
      </c>
      <c r="C704" s="4">
        <v>4.3</v>
      </c>
      <c r="D704" s="4">
        <v>75</v>
      </c>
      <c r="E704" t="s">
        <v>1263</v>
      </c>
      <c r="F704" s="4">
        <v>19.0539673</v>
      </c>
      <c r="G704">
        <v>73.006282599999906</v>
      </c>
      <c r="H704"/>
    </row>
    <row r="705" spans="1:8">
      <c r="A705" t="s">
        <v>1181</v>
      </c>
      <c r="B705" t="s">
        <v>1264</v>
      </c>
      <c r="C705" s="4">
        <v>4.3</v>
      </c>
      <c r="D705" s="4">
        <v>1618</v>
      </c>
      <c r="E705" t="s">
        <v>1265</v>
      </c>
      <c r="F705" s="4">
        <v>19.0835328</v>
      </c>
      <c r="G705">
        <v>73.0063873</v>
      </c>
      <c r="H705"/>
    </row>
    <row r="706" spans="1:8">
      <c r="A706" t="s">
        <v>1181</v>
      </c>
      <c r="B706" t="s">
        <v>1266</v>
      </c>
      <c r="C706" s="4">
        <v>4.4000000000000004</v>
      </c>
      <c r="D706" s="4">
        <v>117</v>
      </c>
      <c r="E706" t="s">
        <v>1267</v>
      </c>
      <c r="F706" s="4">
        <v>19.100381500000001</v>
      </c>
      <c r="G706">
        <v>73.009225299999997</v>
      </c>
      <c r="H706"/>
    </row>
    <row r="707" spans="1:8">
      <c r="A707" t="s">
        <v>1181</v>
      </c>
      <c r="B707" t="s">
        <v>1268</v>
      </c>
      <c r="C707" s="4">
        <v>4.3</v>
      </c>
      <c r="D707" s="4">
        <v>123</v>
      </c>
      <c r="E707" t="s">
        <v>1269</v>
      </c>
      <c r="F707" s="4">
        <v>19.057032299999999</v>
      </c>
      <c r="G707">
        <v>73.016008099999993</v>
      </c>
      <c r="H707"/>
    </row>
    <row r="708" spans="1:8">
      <c r="A708" t="s">
        <v>1181</v>
      </c>
      <c r="B708" t="s">
        <v>1270</v>
      </c>
      <c r="C708" s="4">
        <v>4.5999999999999996</v>
      </c>
      <c r="D708" s="4">
        <v>10</v>
      </c>
      <c r="E708" t="s">
        <v>1271</v>
      </c>
      <c r="F708" s="4">
        <v>19.0658025</v>
      </c>
      <c r="G708">
        <v>72.998540300000002</v>
      </c>
      <c r="H708"/>
    </row>
    <row r="709" spans="1:8">
      <c r="A709" t="s">
        <v>1181</v>
      </c>
      <c r="B709" t="s">
        <v>1272</v>
      </c>
      <c r="C709" s="4">
        <v>4.7</v>
      </c>
      <c r="D709" s="4">
        <v>6</v>
      </c>
      <c r="E709" t="s">
        <v>1273</v>
      </c>
      <c r="F709" s="4">
        <v>19.075148299999999</v>
      </c>
      <c r="G709">
        <v>73.0079183</v>
      </c>
      <c r="H709"/>
    </row>
    <row r="710" spans="1:8">
      <c r="A710" t="s">
        <v>1181</v>
      </c>
      <c r="B710" t="s">
        <v>1274</v>
      </c>
      <c r="C710" s="4">
        <v>4</v>
      </c>
      <c r="D710" s="4">
        <v>1</v>
      </c>
      <c r="E710" t="s">
        <v>1275</v>
      </c>
      <c r="F710" s="4">
        <v>19.080896500000001</v>
      </c>
      <c r="G710">
        <v>73.000470300000003</v>
      </c>
      <c r="H710"/>
    </row>
    <row r="711" spans="1:8">
      <c r="A711" t="s">
        <v>1181</v>
      </c>
      <c r="B711" t="s">
        <v>1276</v>
      </c>
      <c r="C711" s="4">
        <v>4.4000000000000004</v>
      </c>
      <c r="D711" s="4">
        <v>4544</v>
      </c>
      <c r="E711" t="s">
        <v>1277</v>
      </c>
      <c r="F711" s="4">
        <v>19.0827299</v>
      </c>
      <c r="G711">
        <v>73.006397100000001</v>
      </c>
      <c r="H711"/>
    </row>
    <row r="712" spans="1:8">
      <c r="A712" t="s">
        <v>1181</v>
      </c>
      <c r="B712" t="s">
        <v>144</v>
      </c>
      <c r="C712" s="4">
        <v>3.7</v>
      </c>
      <c r="D712" s="4">
        <v>149</v>
      </c>
      <c r="E712" t="s">
        <v>1278</v>
      </c>
      <c r="F712" s="4">
        <v>19.065738799999998</v>
      </c>
      <c r="G712">
        <v>73.000942699999996</v>
      </c>
      <c r="H712"/>
    </row>
    <row r="713" spans="1:8">
      <c r="A713" t="s">
        <v>1181</v>
      </c>
      <c r="B713" t="s">
        <v>1279</v>
      </c>
      <c r="C713" s="4">
        <v>4.2</v>
      </c>
      <c r="D713" s="4">
        <v>6536</v>
      </c>
      <c r="E713" t="s">
        <v>1280</v>
      </c>
      <c r="F713" s="4">
        <v>19.067298000000001</v>
      </c>
      <c r="G713">
        <v>72.999228700000003</v>
      </c>
      <c r="H713"/>
    </row>
    <row r="714" spans="1:8">
      <c r="A714" t="s">
        <v>1181</v>
      </c>
      <c r="B714" t="s">
        <v>1281</v>
      </c>
      <c r="C714" s="4">
        <v>4.0999999999999996</v>
      </c>
      <c r="D714" s="4">
        <v>356</v>
      </c>
      <c r="E714" t="s">
        <v>1282</v>
      </c>
      <c r="F714" s="4">
        <v>19.065708999999998</v>
      </c>
      <c r="G714">
        <v>73.001230899999996</v>
      </c>
      <c r="H714"/>
    </row>
    <row r="715" spans="1:8">
      <c r="A715" t="s">
        <v>1181</v>
      </c>
      <c r="B715" t="s">
        <v>1283</v>
      </c>
      <c r="C715" s="4">
        <v>4.3</v>
      </c>
      <c r="D715" s="4">
        <v>1180</v>
      </c>
      <c r="E715" t="s">
        <v>1284</v>
      </c>
      <c r="F715" s="4">
        <v>19.015790599999999</v>
      </c>
      <c r="G715">
        <v>73.041221499999907</v>
      </c>
      <c r="H715"/>
    </row>
    <row r="716" spans="1:8">
      <c r="A716" t="s">
        <v>1181</v>
      </c>
      <c r="B716" t="s">
        <v>1285</v>
      </c>
      <c r="C716" s="4">
        <v>3.8</v>
      </c>
      <c r="D716" s="4">
        <v>348</v>
      </c>
      <c r="E716" t="s">
        <v>1286</v>
      </c>
      <c r="F716" s="4">
        <v>19.064215699999998</v>
      </c>
      <c r="G716">
        <v>73.010543099999893</v>
      </c>
      <c r="H716"/>
    </row>
    <row r="717" spans="1:8">
      <c r="A717" t="s">
        <v>1181</v>
      </c>
      <c r="B717" t="s">
        <v>48</v>
      </c>
      <c r="C717" s="4">
        <v>4.9000000000000004</v>
      </c>
      <c r="D717" s="4">
        <v>33</v>
      </c>
      <c r="E717" t="s">
        <v>1287</v>
      </c>
      <c r="F717" s="4">
        <v>19.085107099999998</v>
      </c>
      <c r="G717">
        <v>73.007780799999907</v>
      </c>
      <c r="H717"/>
    </row>
    <row r="718" spans="1:8">
      <c r="A718" t="s">
        <v>1181</v>
      </c>
      <c r="B718" t="s">
        <v>1288</v>
      </c>
      <c r="C718" s="4">
        <v>4.3</v>
      </c>
      <c r="D718" s="4">
        <v>209</v>
      </c>
      <c r="E718" t="s">
        <v>1289</v>
      </c>
      <c r="F718" s="4">
        <v>19.103729900000001</v>
      </c>
      <c r="G718">
        <v>73.001069900000005</v>
      </c>
      <c r="H718"/>
    </row>
    <row r="719" spans="1:8">
      <c r="A719" t="s">
        <v>1181</v>
      </c>
      <c r="B719" t="s">
        <v>1290</v>
      </c>
      <c r="C719" s="4">
        <v>4.5</v>
      </c>
      <c r="D719" s="4">
        <v>14</v>
      </c>
      <c r="E719" t="s">
        <v>1291</v>
      </c>
      <c r="F719" s="4">
        <v>19.079420299999999</v>
      </c>
      <c r="G719">
        <v>73.0053743</v>
      </c>
      <c r="H719"/>
    </row>
    <row r="720" spans="1:8">
      <c r="A720" t="s">
        <v>1181</v>
      </c>
      <c r="B720" t="s">
        <v>1292</v>
      </c>
      <c r="C720" s="4">
        <v>4.3</v>
      </c>
      <c r="D720" s="4">
        <v>12</v>
      </c>
      <c r="E720" t="s">
        <v>1293</v>
      </c>
      <c r="F720" s="4">
        <v>19.0664221</v>
      </c>
      <c r="G720">
        <v>73.008458699999906</v>
      </c>
      <c r="H720"/>
    </row>
    <row r="721" spans="1:8">
      <c r="A721" t="s">
        <v>1181</v>
      </c>
      <c r="B721" t="s">
        <v>1294</v>
      </c>
      <c r="C721" s="4">
        <v>4.2</v>
      </c>
      <c r="D721" s="4">
        <v>1791</v>
      </c>
      <c r="E721" t="s">
        <v>1232</v>
      </c>
      <c r="F721" s="4">
        <v>19.0657973</v>
      </c>
      <c r="G721">
        <v>73.000631999999996</v>
      </c>
      <c r="H721"/>
    </row>
    <row r="722" spans="1:8">
      <c r="A722" t="s">
        <v>1295</v>
      </c>
      <c r="B722" t="s">
        <v>1296</v>
      </c>
      <c r="C722" s="4">
        <v>4.0999999999999996</v>
      </c>
      <c r="D722" s="4">
        <v>1368</v>
      </c>
      <c r="E722" t="s">
        <v>1297</v>
      </c>
      <c r="F722" s="4">
        <v>19.042125899999998</v>
      </c>
      <c r="G722">
        <v>73.024180799999996</v>
      </c>
      <c r="H722"/>
    </row>
    <row r="723" spans="1:8">
      <c r="A723" t="s">
        <v>1295</v>
      </c>
      <c r="B723" t="s">
        <v>1298</v>
      </c>
      <c r="C723" s="4">
        <v>4.5999999999999996</v>
      </c>
      <c r="D723" s="4">
        <v>263</v>
      </c>
      <c r="E723" t="s">
        <v>1299</v>
      </c>
      <c r="F723" s="4">
        <v>19.040775499999999</v>
      </c>
      <c r="G723">
        <v>73.020984999999996</v>
      </c>
      <c r="H723"/>
    </row>
    <row r="724" spans="1:8">
      <c r="A724" t="s">
        <v>1295</v>
      </c>
      <c r="B724" t="s">
        <v>1300</v>
      </c>
      <c r="C724" s="4">
        <v>4.9000000000000004</v>
      </c>
      <c r="D724" s="4">
        <v>192</v>
      </c>
      <c r="E724" t="s">
        <v>1301</v>
      </c>
      <c r="F724" s="4">
        <v>19.035841699999999</v>
      </c>
      <c r="G724">
        <v>73.024197200000003</v>
      </c>
      <c r="H724"/>
    </row>
    <row r="725" spans="1:8">
      <c r="A725" t="s">
        <v>1295</v>
      </c>
      <c r="B725" t="s">
        <v>1302</v>
      </c>
      <c r="C725" s="4">
        <v>4.2</v>
      </c>
      <c r="D725" s="4">
        <v>28</v>
      </c>
      <c r="E725" t="s">
        <v>1303</v>
      </c>
      <c r="F725" s="4">
        <v>19.043312499999999</v>
      </c>
      <c r="G725">
        <v>73.0270625</v>
      </c>
      <c r="H725"/>
    </row>
    <row r="726" spans="1:8">
      <c r="A726" t="s">
        <v>1295</v>
      </c>
      <c r="B726" t="s">
        <v>1304</v>
      </c>
      <c r="C726" s="4">
        <v>5</v>
      </c>
      <c r="D726" s="4">
        <v>139</v>
      </c>
      <c r="E726" t="s">
        <v>1305</v>
      </c>
      <c r="F726" s="4">
        <v>19.025829999999999</v>
      </c>
      <c r="G726">
        <v>73.021027000000004</v>
      </c>
      <c r="H726"/>
    </row>
    <row r="727" spans="1:8">
      <c r="A727" t="s">
        <v>1295</v>
      </c>
      <c r="B727" t="s">
        <v>1306</v>
      </c>
      <c r="C727" s="4">
        <v>4.5</v>
      </c>
      <c r="D727" s="4">
        <v>113</v>
      </c>
      <c r="E727" t="s">
        <v>1307</v>
      </c>
      <c r="F727" s="4">
        <v>19.043808500000001</v>
      </c>
      <c r="G727">
        <v>73.009150899999995</v>
      </c>
      <c r="H727"/>
    </row>
    <row r="728" spans="1:8">
      <c r="A728" t="s">
        <v>1295</v>
      </c>
      <c r="B728" t="s">
        <v>1308</v>
      </c>
      <c r="C728" s="4">
        <v>4.8</v>
      </c>
      <c r="D728" s="4">
        <v>237</v>
      </c>
      <c r="E728" t="s">
        <v>1309</v>
      </c>
      <c r="F728" s="4">
        <v>19.0217691</v>
      </c>
      <c r="G728">
        <v>73.015452999999994</v>
      </c>
      <c r="H728"/>
    </row>
    <row r="729" spans="1:8">
      <c r="A729" t="s">
        <v>1295</v>
      </c>
      <c r="B729" t="s">
        <v>1190</v>
      </c>
      <c r="C729" s="4">
        <v>4.4000000000000004</v>
      </c>
      <c r="D729" s="4">
        <v>523</v>
      </c>
      <c r="E729" t="s">
        <v>1191</v>
      </c>
      <c r="F729" s="4">
        <v>19.056582800000001</v>
      </c>
      <c r="G729">
        <v>73.0032037</v>
      </c>
      <c r="H729"/>
    </row>
    <row r="730" spans="1:8">
      <c r="A730" t="s">
        <v>1295</v>
      </c>
      <c r="B730" t="s">
        <v>1310</v>
      </c>
      <c r="C730" s="4">
        <v>4.8</v>
      </c>
      <c r="D730" s="4">
        <v>79</v>
      </c>
      <c r="E730" t="s">
        <v>1311</v>
      </c>
      <c r="F730" s="4">
        <v>19.0329871</v>
      </c>
      <c r="G730">
        <v>73.012118700000002</v>
      </c>
      <c r="H730"/>
    </row>
    <row r="731" spans="1:8">
      <c r="A731" t="s">
        <v>1295</v>
      </c>
      <c r="B731" t="s">
        <v>1312</v>
      </c>
      <c r="C731" s="4">
        <v>4.8</v>
      </c>
      <c r="D731" s="4">
        <v>134</v>
      </c>
      <c r="E731" t="s">
        <v>1313</v>
      </c>
      <c r="F731" s="4">
        <v>19.022916299999999</v>
      </c>
      <c r="G731">
        <v>73.021074799999994</v>
      </c>
      <c r="H731"/>
    </row>
    <row r="732" spans="1:8">
      <c r="A732" t="s">
        <v>1295</v>
      </c>
      <c r="B732" t="s">
        <v>1314</v>
      </c>
      <c r="C732" s="4">
        <v>4.5999999999999996</v>
      </c>
      <c r="D732" s="4">
        <v>124</v>
      </c>
      <c r="E732" t="s">
        <v>1315</v>
      </c>
      <c r="F732" s="4">
        <v>19.024753499999999</v>
      </c>
      <c r="G732">
        <v>73.022224499999993</v>
      </c>
      <c r="H732"/>
    </row>
    <row r="733" spans="1:8">
      <c r="A733" t="s">
        <v>1295</v>
      </c>
      <c r="B733" t="s">
        <v>1316</v>
      </c>
      <c r="C733" s="4">
        <v>4</v>
      </c>
      <c r="D733" s="4">
        <v>127</v>
      </c>
      <c r="E733" t="s">
        <v>1317</v>
      </c>
      <c r="F733" s="4">
        <v>19.037030900000001</v>
      </c>
      <c r="G733">
        <v>73.018918599999907</v>
      </c>
      <c r="H733"/>
    </row>
    <row r="734" spans="1:8">
      <c r="A734" t="s">
        <v>1295</v>
      </c>
      <c r="B734" t="s">
        <v>1318</v>
      </c>
      <c r="C734" s="4">
        <v>4.8</v>
      </c>
      <c r="D734" s="4">
        <v>1395</v>
      </c>
      <c r="E734" t="s">
        <v>1319</v>
      </c>
      <c r="F734" s="4">
        <v>19.006477</v>
      </c>
      <c r="G734">
        <v>73.033076399999999</v>
      </c>
      <c r="H734"/>
    </row>
    <row r="735" spans="1:8">
      <c r="A735" t="s">
        <v>1295</v>
      </c>
      <c r="B735" t="s">
        <v>1202</v>
      </c>
      <c r="C735" s="4">
        <v>4.5</v>
      </c>
      <c r="D735" s="4">
        <v>739</v>
      </c>
      <c r="E735" t="s">
        <v>1203</v>
      </c>
      <c r="F735" s="4">
        <v>19.055643400000001</v>
      </c>
      <c r="G735">
        <v>73.015022399999907</v>
      </c>
      <c r="H735"/>
    </row>
    <row r="736" spans="1:8">
      <c r="A736" t="s">
        <v>1295</v>
      </c>
      <c r="B736" t="s">
        <v>1320</v>
      </c>
      <c r="C736" s="4">
        <v>4.7</v>
      </c>
      <c r="D736" s="4">
        <v>35</v>
      </c>
      <c r="E736" t="s">
        <v>1321</v>
      </c>
      <c r="F736" s="4">
        <v>19.031068699999999</v>
      </c>
      <c r="G736">
        <v>73.027243499999997</v>
      </c>
      <c r="H736"/>
    </row>
    <row r="737" spans="1:8">
      <c r="A737" t="s">
        <v>1295</v>
      </c>
      <c r="B737" t="s">
        <v>1322</v>
      </c>
      <c r="C737" s="4">
        <v>4.2</v>
      </c>
      <c r="D737" s="4">
        <v>1160</v>
      </c>
      <c r="E737" t="s">
        <v>1323</v>
      </c>
      <c r="F737" s="4">
        <v>19.029653</v>
      </c>
      <c r="G737">
        <v>73.023086399999997</v>
      </c>
      <c r="H737"/>
    </row>
    <row r="738" spans="1:8">
      <c r="A738" t="s">
        <v>1295</v>
      </c>
      <c r="B738" t="s">
        <v>1324</v>
      </c>
      <c r="C738" s="4">
        <v>4.8</v>
      </c>
      <c r="D738" s="4">
        <v>20</v>
      </c>
      <c r="E738" t="s">
        <v>1325</v>
      </c>
      <c r="F738" s="4">
        <v>19.0339052</v>
      </c>
      <c r="G738">
        <v>73.026971000000003</v>
      </c>
      <c r="H738"/>
    </row>
    <row r="739" spans="1:8">
      <c r="A739" t="s">
        <v>1295</v>
      </c>
      <c r="B739" t="s">
        <v>1326</v>
      </c>
      <c r="C739" s="4">
        <v>4.9000000000000004</v>
      </c>
      <c r="D739" s="4">
        <v>104</v>
      </c>
      <c r="E739" t="s">
        <v>1327</v>
      </c>
      <c r="F739" s="4">
        <v>19.0237658</v>
      </c>
      <c r="G739">
        <v>73.019487900000001</v>
      </c>
      <c r="H739"/>
    </row>
    <row r="740" spans="1:8">
      <c r="A740" t="s">
        <v>1295</v>
      </c>
      <c r="B740" t="s">
        <v>1328</v>
      </c>
      <c r="C740" s="4">
        <v>4.5999999999999996</v>
      </c>
      <c r="D740" s="4">
        <v>241</v>
      </c>
      <c r="E740" t="s">
        <v>1329</v>
      </c>
      <c r="F740" s="4">
        <v>19.019092499999999</v>
      </c>
      <c r="G740">
        <v>73.015524599999907</v>
      </c>
      <c r="H740"/>
    </row>
    <row r="741" spans="1:8">
      <c r="A741" t="s">
        <v>1295</v>
      </c>
      <c r="B741" t="s">
        <v>528</v>
      </c>
      <c r="C741" s="4">
        <v>4</v>
      </c>
      <c r="D741" s="4">
        <v>384</v>
      </c>
      <c r="E741" t="s">
        <v>1330</v>
      </c>
      <c r="F741" s="4">
        <v>19.0211857</v>
      </c>
      <c r="G741">
        <v>73.019555299999993</v>
      </c>
      <c r="H741"/>
    </row>
    <row r="742" spans="1:8">
      <c r="A742" t="s">
        <v>1295</v>
      </c>
      <c r="B742" t="s">
        <v>1331</v>
      </c>
      <c r="C742" s="4">
        <v>4.5999999999999996</v>
      </c>
      <c r="D742" s="4">
        <v>152</v>
      </c>
      <c r="E742" t="s">
        <v>1303</v>
      </c>
      <c r="F742" s="4">
        <v>19.043336199999999</v>
      </c>
      <c r="G742">
        <v>73.027075600000003</v>
      </c>
      <c r="H742"/>
    </row>
    <row r="743" spans="1:8">
      <c r="A743" t="s">
        <v>1295</v>
      </c>
      <c r="B743" t="s">
        <v>1332</v>
      </c>
      <c r="C743" s="4">
        <v>4.4000000000000004</v>
      </c>
      <c r="D743" s="4">
        <v>54</v>
      </c>
      <c r="E743" t="s">
        <v>1333</v>
      </c>
      <c r="F743" s="4">
        <v>19.048749600000001</v>
      </c>
      <c r="G743">
        <v>73.020482700000002</v>
      </c>
      <c r="H743"/>
    </row>
    <row r="744" spans="1:8">
      <c r="A744" t="s">
        <v>1295</v>
      </c>
      <c r="B744" t="s">
        <v>1334</v>
      </c>
      <c r="C744" s="4">
        <v>4.4000000000000004</v>
      </c>
      <c r="D744" s="4">
        <v>96</v>
      </c>
      <c r="E744" t="s">
        <v>1335</v>
      </c>
      <c r="F744" s="4">
        <v>19.023695</v>
      </c>
      <c r="G744">
        <v>73.0317656</v>
      </c>
      <c r="H744"/>
    </row>
    <row r="745" spans="1:8">
      <c r="A745" t="s">
        <v>1295</v>
      </c>
      <c r="B745" t="s">
        <v>1336</v>
      </c>
      <c r="C745" s="4">
        <v>4.2</v>
      </c>
      <c r="D745" s="4">
        <v>2630</v>
      </c>
      <c r="E745" t="s">
        <v>1337</v>
      </c>
      <c r="F745" s="4">
        <v>19.057972100000001</v>
      </c>
      <c r="G745">
        <v>73.0021244</v>
      </c>
      <c r="H745"/>
    </row>
    <row r="746" spans="1:8">
      <c r="A746" t="s">
        <v>1295</v>
      </c>
      <c r="B746" t="s">
        <v>1338</v>
      </c>
      <c r="C746" s="4">
        <v>4.4000000000000004</v>
      </c>
      <c r="D746" s="4">
        <v>1068</v>
      </c>
      <c r="E746" t="s">
        <v>1339</v>
      </c>
      <c r="F746" s="4">
        <v>19.007045699999999</v>
      </c>
      <c r="G746">
        <v>73.033661699999996</v>
      </c>
      <c r="H746"/>
    </row>
    <row r="747" spans="1:8">
      <c r="A747" t="s">
        <v>1295</v>
      </c>
      <c r="B747" t="s">
        <v>1340</v>
      </c>
      <c r="C747" s="4">
        <v>4.4000000000000004</v>
      </c>
      <c r="D747" s="4">
        <v>208</v>
      </c>
      <c r="E747" t="s">
        <v>1341</v>
      </c>
      <c r="F747" s="4">
        <v>19.010544700000001</v>
      </c>
      <c r="G747">
        <v>73.011974100000003</v>
      </c>
      <c r="H747"/>
    </row>
    <row r="748" spans="1:8">
      <c r="A748" t="s">
        <v>1295</v>
      </c>
      <c r="B748" t="s">
        <v>1342</v>
      </c>
      <c r="C748" s="4">
        <v>4.2</v>
      </c>
      <c r="D748" s="4">
        <v>322</v>
      </c>
      <c r="E748" t="s">
        <v>1343</v>
      </c>
      <c r="F748" s="4">
        <v>19.0331084</v>
      </c>
      <c r="G748">
        <v>73.014905499999998</v>
      </c>
      <c r="H748"/>
    </row>
    <row r="749" spans="1:8">
      <c r="A749" t="s">
        <v>1295</v>
      </c>
      <c r="B749" t="s">
        <v>1344</v>
      </c>
      <c r="C749" s="4">
        <v>4.9000000000000004</v>
      </c>
      <c r="D749" s="4">
        <v>201</v>
      </c>
      <c r="E749" t="s">
        <v>1345</v>
      </c>
      <c r="F749" s="4">
        <v>19.0112536</v>
      </c>
      <c r="G749">
        <v>73.012016299999999</v>
      </c>
      <c r="H749"/>
    </row>
    <row r="750" spans="1:8">
      <c r="A750" t="s">
        <v>1295</v>
      </c>
      <c r="B750" t="s">
        <v>1346</v>
      </c>
      <c r="C750" s="4">
        <v>4.2</v>
      </c>
      <c r="D750" s="4">
        <v>1599</v>
      </c>
      <c r="E750" t="s">
        <v>1347</v>
      </c>
      <c r="F750" s="4">
        <v>19.010225200000001</v>
      </c>
      <c r="G750">
        <v>73.012336500000004</v>
      </c>
      <c r="H750"/>
    </row>
    <row r="751" spans="1:8">
      <c r="A751" t="s">
        <v>1295</v>
      </c>
      <c r="B751" t="s">
        <v>1348</v>
      </c>
      <c r="C751" s="4">
        <v>3.7</v>
      </c>
      <c r="D751" s="4">
        <v>340</v>
      </c>
      <c r="E751" t="s">
        <v>1349</v>
      </c>
      <c r="F751" s="4">
        <v>19.033962899999999</v>
      </c>
      <c r="G751">
        <v>73.018720899999906</v>
      </c>
      <c r="H751"/>
    </row>
    <row r="752" spans="1:8">
      <c r="A752" t="s">
        <v>1295</v>
      </c>
      <c r="B752" t="s">
        <v>1350</v>
      </c>
      <c r="C752" s="4">
        <v>4.4000000000000004</v>
      </c>
      <c r="D752" s="4">
        <v>37</v>
      </c>
      <c r="E752" t="s">
        <v>1351</v>
      </c>
      <c r="F752" s="4">
        <v>19.032525</v>
      </c>
      <c r="G752">
        <v>73.016647399999997</v>
      </c>
      <c r="H752"/>
    </row>
    <row r="753" spans="1:8">
      <c r="A753" t="s">
        <v>1295</v>
      </c>
      <c r="B753" t="s">
        <v>1352</v>
      </c>
      <c r="C753" s="4">
        <v>4.4000000000000004</v>
      </c>
      <c r="D753" s="4">
        <v>565</v>
      </c>
      <c r="E753" t="s">
        <v>1353</v>
      </c>
      <c r="F753" s="4">
        <v>19.007391200000001</v>
      </c>
      <c r="G753">
        <v>73.034680999999907</v>
      </c>
      <c r="H753"/>
    </row>
    <row r="754" spans="1:8">
      <c r="A754" t="s">
        <v>1295</v>
      </c>
      <c r="B754" t="s">
        <v>1354</v>
      </c>
      <c r="C754" s="4">
        <v>4.2</v>
      </c>
      <c r="D754" s="4">
        <v>2443</v>
      </c>
      <c r="E754" t="s">
        <v>1355</v>
      </c>
      <c r="F754" s="4">
        <v>19.009949500000001</v>
      </c>
      <c r="G754">
        <v>73.0326412</v>
      </c>
      <c r="H754"/>
    </row>
    <row r="755" spans="1:8">
      <c r="A755" t="s">
        <v>1295</v>
      </c>
      <c r="B755" t="s">
        <v>1356</v>
      </c>
      <c r="C755" s="4">
        <v>4.4000000000000004</v>
      </c>
      <c r="D755" s="4">
        <v>487</v>
      </c>
      <c r="E755" t="s">
        <v>1357</v>
      </c>
      <c r="F755" s="4">
        <v>19.0077094</v>
      </c>
      <c r="G755">
        <v>73.035687999999993</v>
      </c>
      <c r="H755"/>
    </row>
    <row r="756" spans="1:8">
      <c r="A756" t="s">
        <v>1295</v>
      </c>
      <c r="B756" t="s">
        <v>1358</v>
      </c>
      <c r="C756" s="4">
        <v>4.3</v>
      </c>
      <c r="D756" s="4">
        <v>488</v>
      </c>
      <c r="E756" t="s">
        <v>1359</v>
      </c>
      <c r="F756" s="4">
        <v>19.0205099</v>
      </c>
      <c r="G756">
        <v>73.0174935</v>
      </c>
      <c r="H756"/>
    </row>
    <row r="757" spans="1:8">
      <c r="A757" t="s">
        <v>1295</v>
      </c>
      <c r="B757" t="s">
        <v>123</v>
      </c>
      <c r="C757" s="4">
        <v>4.9000000000000004</v>
      </c>
      <c r="D757" s="4">
        <v>89</v>
      </c>
      <c r="E757" t="s">
        <v>1360</v>
      </c>
      <c r="F757" s="4">
        <v>19.043410099999999</v>
      </c>
      <c r="G757">
        <v>73.008622000000003</v>
      </c>
      <c r="H757"/>
    </row>
    <row r="758" spans="1:8">
      <c r="A758" t="s">
        <v>1295</v>
      </c>
      <c r="B758" t="s">
        <v>1361</v>
      </c>
      <c r="C758" s="4">
        <v>3.9</v>
      </c>
      <c r="D758" s="4">
        <v>1120</v>
      </c>
      <c r="E758" t="s">
        <v>1362</v>
      </c>
      <c r="F758" s="4">
        <v>19.022217600000001</v>
      </c>
      <c r="G758">
        <v>73.017619400000001</v>
      </c>
      <c r="H758"/>
    </row>
    <row r="759" spans="1:8">
      <c r="A759" t="s">
        <v>1295</v>
      </c>
      <c r="B759" t="s">
        <v>1363</v>
      </c>
      <c r="C759" s="4">
        <v>4.3</v>
      </c>
      <c r="D759" s="4">
        <v>130</v>
      </c>
      <c r="E759" t="s">
        <v>1364</v>
      </c>
      <c r="F759" s="4">
        <v>19.0214441</v>
      </c>
      <c r="G759">
        <v>73.018523700000003</v>
      </c>
      <c r="H759"/>
    </row>
    <row r="760" spans="1:8">
      <c r="A760" t="s">
        <v>1295</v>
      </c>
      <c r="B760" t="s">
        <v>1365</v>
      </c>
      <c r="C760" s="4">
        <v>4.3</v>
      </c>
      <c r="D760" s="4">
        <v>114</v>
      </c>
      <c r="E760" t="s">
        <v>1366</v>
      </c>
      <c r="F760" s="4">
        <v>19.021365100000001</v>
      </c>
      <c r="G760">
        <v>73.021175399999905</v>
      </c>
      <c r="H760"/>
    </row>
    <row r="761" spans="1:8">
      <c r="A761" t="s">
        <v>1295</v>
      </c>
      <c r="B761" t="s">
        <v>1367</v>
      </c>
      <c r="C761" s="4">
        <v>4.8</v>
      </c>
      <c r="D761" s="4">
        <v>5</v>
      </c>
      <c r="E761" t="s">
        <v>1368</v>
      </c>
      <c r="F761" s="4">
        <v>19.032508</v>
      </c>
      <c r="G761">
        <v>73.0167632</v>
      </c>
      <c r="H761"/>
    </row>
    <row r="762" spans="1:8">
      <c r="A762" t="s">
        <v>1295</v>
      </c>
      <c r="B762" t="s">
        <v>1283</v>
      </c>
      <c r="C762" s="4">
        <v>4.3</v>
      </c>
      <c r="D762" s="4">
        <v>1180</v>
      </c>
      <c r="E762" t="s">
        <v>1284</v>
      </c>
      <c r="F762" s="4">
        <v>19.015790599999999</v>
      </c>
      <c r="G762">
        <v>73.041221499999907</v>
      </c>
      <c r="H762"/>
    </row>
    <row r="763" spans="1:8">
      <c r="A763" t="s">
        <v>1295</v>
      </c>
      <c r="B763" t="s">
        <v>1369</v>
      </c>
      <c r="C763" s="4">
        <v>4.8</v>
      </c>
      <c r="D763" s="4">
        <v>122</v>
      </c>
      <c r="E763" t="s">
        <v>1370</v>
      </c>
      <c r="F763" s="4">
        <v>19.052326499999999</v>
      </c>
      <c r="G763">
        <v>73.016473399999995</v>
      </c>
      <c r="H763"/>
    </row>
    <row r="764" spans="1:8">
      <c r="A764" t="s">
        <v>1295</v>
      </c>
      <c r="B764" t="s">
        <v>1371</v>
      </c>
      <c r="C764" s="4">
        <v>4.7</v>
      </c>
      <c r="D764" s="4">
        <v>132</v>
      </c>
      <c r="E764" t="s">
        <v>1372</v>
      </c>
      <c r="F764" s="4">
        <v>19.023726700000001</v>
      </c>
      <c r="G764">
        <v>73.0235074</v>
      </c>
      <c r="H764"/>
    </row>
    <row r="765" spans="1:8">
      <c r="A765" t="s">
        <v>1295</v>
      </c>
      <c r="B765" t="s">
        <v>1134</v>
      </c>
      <c r="C765" s="4">
        <v>4.2</v>
      </c>
      <c r="D765" s="4">
        <v>1216</v>
      </c>
      <c r="E765" t="s">
        <v>1373</v>
      </c>
      <c r="F765" s="4">
        <v>19.0391689</v>
      </c>
      <c r="G765">
        <v>73.020130399999999</v>
      </c>
      <c r="H765"/>
    </row>
    <row r="766" spans="1:8">
      <c r="A766" t="s">
        <v>1295</v>
      </c>
      <c r="B766" t="s">
        <v>48</v>
      </c>
      <c r="C766" s="4">
        <v>4.8</v>
      </c>
      <c r="D766" s="4">
        <v>330</v>
      </c>
      <c r="E766" t="s">
        <v>1374</v>
      </c>
      <c r="F766" s="4">
        <v>19.011971599999999</v>
      </c>
      <c r="G766">
        <v>73.035754400000002</v>
      </c>
      <c r="H766"/>
    </row>
    <row r="767" spans="1:8">
      <c r="A767" t="s">
        <v>1295</v>
      </c>
      <c r="B767" t="s">
        <v>1182</v>
      </c>
      <c r="C767" s="4">
        <v>4.5</v>
      </c>
      <c r="D767" s="4">
        <v>171</v>
      </c>
      <c r="E767" t="s">
        <v>1375</v>
      </c>
      <c r="F767" s="4">
        <v>19.009855900000002</v>
      </c>
      <c r="G767">
        <v>73.033355999999998</v>
      </c>
      <c r="H767"/>
    </row>
    <row r="768" spans="1:8">
      <c r="A768" t="s">
        <v>1295</v>
      </c>
      <c r="B768" t="s">
        <v>1376</v>
      </c>
      <c r="C768" s="4">
        <v>4.4000000000000004</v>
      </c>
      <c r="D768" s="4">
        <v>34</v>
      </c>
      <c r="E768" t="s">
        <v>1377</v>
      </c>
      <c r="F768" s="4">
        <v>19.024813300000002</v>
      </c>
      <c r="G768">
        <v>73.021537899999998</v>
      </c>
      <c r="H768"/>
    </row>
    <row r="769" spans="1:8">
      <c r="A769" t="s">
        <v>1295</v>
      </c>
      <c r="B769" t="s">
        <v>123</v>
      </c>
      <c r="C769" s="4">
        <v>4.4000000000000004</v>
      </c>
      <c r="D769" s="4">
        <v>4259</v>
      </c>
      <c r="E769" t="s">
        <v>1378</v>
      </c>
      <c r="F769" s="4">
        <v>19.021294000000001</v>
      </c>
      <c r="G769">
        <v>73.018042999999906</v>
      </c>
      <c r="H769"/>
    </row>
    <row r="770" spans="1:8">
      <c r="A770" t="s">
        <v>1295</v>
      </c>
      <c r="B770" t="s">
        <v>1250</v>
      </c>
      <c r="C770" s="4">
        <v>4.5999999999999996</v>
      </c>
      <c r="D770" s="4">
        <v>163</v>
      </c>
      <c r="E770" t="s">
        <v>1251</v>
      </c>
      <c r="F770" s="4">
        <v>19.0629895</v>
      </c>
      <c r="G770">
        <v>73.005710399999998</v>
      </c>
      <c r="H770"/>
    </row>
    <row r="771" spans="1:8">
      <c r="A771" t="s">
        <v>1295</v>
      </c>
      <c r="B771" t="s">
        <v>1379</v>
      </c>
      <c r="C771" s="4">
        <v>3.6</v>
      </c>
      <c r="D771" s="4">
        <v>168</v>
      </c>
      <c r="E771" t="s">
        <v>1380</v>
      </c>
      <c r="F771" s="4">
        <v>19.021276</v>
      </c>
      <c r="G771">
        <v>73.019064599999993</v>
      </c>
      <c r="H771"/>
    </row>
    <row r="772" spans="1:8">
      <c r="A772" t="s">
        <v>1295</v>
      </c>
      <c r="B772" t="s">
        <v>48</v>
      </c>
      <c r="C772" s="4">
        <v>4.8</v>
      </c>
      <c r="D772" s="4">
        <v>44</v>
      </c>
      <c r="E772" t="s">
        <v>1381</v>
      </c>
      <c r="F772" s="4">
        <v>19.010467299999998</v>
      </c>
      <c r="G772">
        <v>73.012030100000004</v>
      </c>
      <c r="H772"/>
    </row>
    <row r="773" spans="1:8">
      <c r="A773" t="s">
        <v>1295</v>
      </c>
      <c r="B773" t="s">
        <v>1382</v>
      </c>
      <c r="C773" s="4">
        <v>4.2</v>
      </c>
      <c r="D773" s="4">
        <v>539</v>
      </c>
      <c r="E773" t="s">
        <v>1383</v>
      </c>
      <c r="F773" s="4">
        <v>19.023741900000001</v>
      </c>
      <c r="G773">
        <v>73.031774799999994</v>
      </c>
      <c r="H773"/>
    </row>
    <row r="774" spans="1:8">
      <c r="A774" t="s">
        <v>1295</v>
      </c>
      <c r="B774" t="s">
        <v>1384</v>
      </c>
      <c r="C774" s="4">
        <v>4.2</v>
      </c>
      <c r="D774" s="4">
        <v>464</v>
      </c>
      <c r="E774" t="s">
        <v>1385</v>
      </c>
      <c r="F774" s="4">
        <v>19.0211355</v>
      </c>
      <c r="G774">
        <v>73.019169099999999</v>
      </c>
      <c r="H774"/>
    </row>
    <row r="775" spans="1:8">
      <c r="A775" t="s">
        <v>1295</v>
      </c>
      <c r="B775" t="s">
        <v>1386</v>
      </c>
      <c r="C775" s="4">
        <v>4.5</v>
      </c>
      <c r="D775" s="4">
        <v>692</v>
      </c>
      <c r="E775" t="s">
        <v>1387</v>
      </c>
      <c r="F775" s="4">
        <v>19.008059299999999</v>
      </c>
      <c r="G775">
        <v>73.035542499999906</v>
      </c>
      <c r="H775"/>
    </row>
    <row r="776" spans="1:8">
      <c r="A776" t="s">
        <v>1295</v>
      </c>
      <c r="B776" t="s">
        <v>1388</v>
      </c>
      <c r="C776" s="4">
        <v>4.5999999999999996</v>
      </c>
      <c r="D776" s="4">
        <v>7</v>
      </c>
      <c r="E776" t="s">
        <v>1389</v>
      </c>
      <c r="F776" s="4">
        <v>19.020203299999999</v>
      </c>
      <c r="G776">
        <v>73.029364000000001</v>
      </c>
      <c r="H776"/>
    </row>
    <row r="777" spans="1:8">
      <c r="A777" t="s">
        <v>1295</v>
      </c>
      <c r="B777" t="s">
        <v>1390</v>
      </c>
      <c r="C777" s="4">
        <v>4.8</v>
      </c>
      <c r="D777" s="4">
        <v>66</v>
      </c>
      <c r="E777" t="s">
        <v>1391</v>
      </c>
      <c r="F777" s="4">
        <v>19.020493200000001</v>
      </c>
      <c r="G777">
        <v>73.017490699999996</v>
      </c>
      <c r="H777"/>
    </row>
    <row r="778" spans="1:8">
      <c r="A778" t="s">
        <v>1295</v>
      </c>
      <c r="B778" t="s">
        <v>1392</v>
      </c>
      <c r="C778" s="4">
        <v>4.8</v>
      </c>
      <c r="D778" s="4">
        <v>4</v>
      </c>
      <c r="E778" t="s">
        <v>1393</v>
      </c>
      <c r="F778" s="4">
        <v>19.032343300000001</v>
      </c>
      <c r="G778">
        <v>73.016746999999995</v>
      </c>
      <c r="H778"/>
    </row>
    <row r="779" spans="1:8">
      <c r="A779" t="s">
        <v>1295</v>
      </c>
      <c r="B779" t="s">
        <v>1394</v>
      </c>
      <c r="C779" s="4">
        <v>4.4000000000000004</v>
      </c>
      <c r="D779" s="4">
        <v>7</v>
      </c>
      <c r="E779" t="s">
        <v>1395</v>
      </c>
      <c r="F779" s="4">
        <v>19.024648500000001</v>
      </c>
      <c r="G779">
        <v>73.022199299999997</v>
      </c>
      <c r="H779"/>
    </row>
    <row r="780" spans="1:8">
      <c r="A780" t="s">
        <v>1295</v>
      </c>
      <c r="B780" t="s">
        <v>1396</v>
      </c>
      <c r="C780" s="4">
        <v>4.5999999999999996</v>
      </c>
      <c r="D780" s="4">
        <v>739</v>
      </c>
      <c r="E780" t="s">
        <v>1397</v>
      </c>
      <c r="F780" s="4">
        <v>19.0226994</v>
      </c>
      <c r="G780">
        <v>73.018271400000003</v>
      </c>
      <c r="H780"/>
    </row>
    <row r="781" spans="1:8">
      <c r="A781" t="s">
        <v>1295</v>
      </c>
      <c r="B781" t="s">
        <v>1398</v>
      </c>
      <c r="C781" s="4">
        <v>4.0999999999999996</v>
      </c>
      <c r="D781" s="4">
        <v>1273</v>
      </c>
      <c r="E781" t="s">
        <v>1399</v>
      </c>
      <c r="F781" s="4">
        <v>19.0337949</v>
      </c>
      <c r="G781">
        <v>73.063767099999893</v>
      </c>
      <c r="H781"/>
    </row>
    <row r="782" spans="1:8">
      <c r="A782" t="s">
        <v>1400</v>
      </c>
      <c r="B782" t="s">
        <v>1401</v>
      </c>
      <c r="C782" s="4">
        <v>4.3</v>
      </c>
      <c r="D782" s="4">
        <v>851</v>
      </c>
      <c r="E782" t="s">
        <v>1402</v>
      </c>
      <c r="F782" s="4">
        <v>19.0046845</v>
      </c>
      <c r="G782">
        <v>73.123357999999996</v>
      </c>
      <c r="H782"/>
    </row>
    <row r="783" spans="1:8">
      <c r="A783" t="s">
        <v>1400</v>
      </c>
      <c r="B783" t="s">
        <v>1403</v>
      </c>
      <c r="C783" s="4">
        <v>4.0999999999999996</v>
      </c>
      <c r="D783" s="4">
        <v>730</v>
      </c>
      <c r="E783" t="s">
        <v>1404</v>
      </c>
      <c r="F783" s="4">
        <v>18.991242700000001</v>
      </c>
      <c r="G783">
        <v>73.1241196</v>
      </c>
      <c r="H783"/>
    </row>
    <row r="784" spans="1:8">
      <c r="A784" t="s">
        <v>1400</v>
      </c>
      <c r="B784" t="s">
        <v>1405</v>
      </c>
      <c r="C784" s="4">
        <v>4.2</v>
      </c>
      <c r="D784" s="4">
        <v>194</v>
      </c>
      <c r="E784" t="s">
        <v>1406</v>
      </c>
      <c r="F784" s="4">
        <v>19.005620499999999</v>
      </c>
      <c r="G784">
        <v>73.119294299999893</v>
      </c>
      <c r="H784"/>
    </row>
    <row r="785" spans="1:8">
      <c r="A785" t="s">
        <v>1400</v>
      </c>
      <c r="B785" t="s">
        <v>1407</v>
      </c>
      <c r="C785" s="4">
        <v>4.8</v>
      </c>
      <c r="D785" s="4">
        <v>183</v>
      </c>
      <c r="E785" t="s">
        <v>1408</v>
      </c>
      <c r="F785" s="4">
        <v>19.012565800000001</v>
      </c>
      <c r="G785">
        <v>73.092007899999999</v>
      </c>
      <c r="H785"/>
    </row>
    <row r="786" spans="1:8">
      <c r="A786" t="s">
        <v>1400</v>
      </c>
      <c r="B786" t="s">
        <v>1409</v>
      </c>
      <c r="C786" s="4">
        <v>3.9</v>
      </c>
      <c r="D786" s="4">
        <v>172</v>
      </c>
      <c r="E786" t="s">
        <v>1410</v>
      </c>
      <c r="F786" s="4">
        <v>18.993385700000001</v>
      </c>
      <c r="G786">
        <v>73.114075700000001</v>
      </c>
      <c r="H786"/>
    </row>
    <row r="787" spans="1:8">
      <c r="A787" t="s">
        <v>1400</v>
      </c>
      <c r="B787" t="s">
        <v>1411</v>
      </c>
      <c r="C787" s="4">
        <v>4.2</v>
      </c>
      <c r="D787" s="4">
        <v>95</v>
      </c>
      <c r="E787" t="s">
        <v>1412</v>
      </c>
      <c r="F787" s="4">
        <v>18.997335199999998</v>
      </c>
      <c r="G787">
        <v>73.121928199999999</v>
      </c>
      <c r="H787"/>
    </row>
    <row r="788" spans="1:8">
      <c r="A788" t="s">
        <v>1400</v>
      </c>
      <c r="B788" t="s">
        <v>1413</v>
      </c>
      <c r="C788" s="4">
        <v>4.5999999999999996</v>
      </c>
      <c r="D788" s="4">
        <v>181</v>
      </c>
      <c r="E788" t="s">
        <v>1414</v>
      </c>
      <c r="F788" s="4">
        <v>19.008202099999998</v>
      </c>
      <c r="G788">
        <v>73.109537399999994</v>
      </c>
      <c r="H788"/>
    </row>
    <row r="789" spans="1:8">
      <c r="A789" t="s">
        <v>1400</v>
      </c>
      <c r="B789" t="s">
        <v>1415</v>
      </c>
      <c r="C789" s="4">
        <v>4.0999999999999996</v>
      </c>
      <c r="D789" s="4">
        <v>1301</v>
      </c>
      <c r="E789" t="s">
        <v>1416</v>
      </c>
      <c r="F789" s="4">
        <v>19.0054993</v>
      </c>
      <c r="G789">
        <v>73.119350400000002</v>
      </c>
      <c r="H789"/>
    </row>
    <row r="790" spans="1:8">
      <c r="A790" t="s">
        <v>1400</v>
      </c>
      <c r="B790" t="s">
        <v>1417</v>
      </c>
      <c r="C790" s="4">
        <v>4.3</v>
      </c>
      <c r="D790" s="4">
        <v>1167</v>
      </c>
      <c r="E790" t="s">
        <v>1418</v>
      </c>
      <c r="F790" s="4">
        <v>18.990948199999998</v>
      </c>
      <c r="G790">
        <v>73.126230800000002</v>
      </c>
      <c r="H790"/>
    </row>
    <row r="791" spans="1:8">
      <c r="A791" t="s">
        <v>1400</v>
      </c>
      <c r="B791" t="s">
        <v>1419</v>
      </c>
      <c r="C791" s="4">
        <v>4.4000000000000004</v>
      </c>
      <c r="D791" s="4">
        <v>287</v>
      </c>
      <c r="E791" t="s">
        <v>1420</v>
      </c>
      <c r="F791" s="4">
        <v>18.9914849</v>
      </c>
      <c r="G791">
        <v>73.123441599999893</v>
      </c>
      <c r="H791"/>
    </row>
    <row r="792" spans="1:8">
      <c r="A792" t="s">
        <v>1400</v>
      </c>
      <c r="B792" t="s">
        <v>1421</v>
      </c>
      <c r="C792" s="4">
        <v>4.9000000000000004</v>
      </c>
      <c r="D792" s="4">
        <v>108</v>
      </c>
      <c r="E792" t="s">
        <v>1422</v>
      </c>
      <c r="F792" s="4">
        <v>19.003719400000001</v>
      </c>
      <c r="G792">
        <v>73.1115803</v>
      </c>
      <c r="H792"/>
    </row>
    <row r="793" spans="1:8">
      <c r="A793" t="s">
        <v>1400</v>
      </c>
      <c r="B793" t="s">
        <v>1423</v>
      </c>
      <c r="C793" s="4">
        <v>4.8</v>
      </c>
      <c r="D793" s="4">
        <v>55</v>
      </c>
      <c r="E793" t="s">
        <v>1424</v>
      </c>
      <c r="F793" s="4">
        <v>19.001841500000001</v>
      </c>
      <c r="G793">
        <v>73.117569899999907</v>
      </c>
      <c r="H793"/>
    </row>
    <row r="794" spans="1:8">
      <c r="A794" t="s">
        <v>1400</v>
      </c>
      <c r="B794" t="s">
        <v>1425</v>
      </c>
      <c r="C794" s="4">
        <v>3.9</v>
      </c>
      <c r="D794" s="4">
        <v>496</v>
      </c>
      <c r="E794" t="s">
        <v>1426</v>
      </c>
      <c r="F794" s="4">
        <v>19.001585899999998</v>
      </c>
      <c r="G794">
        <v>73.111657600000001</v>
      </c>
      <c r="H794"/>
    </row>
    <row r="795" spans="1:8">
      <c r="A795" t="s">
        <v>1400</v>
      </c>
      <c r="B795" t="s">
        <v>1427</v>
      </c>
      <c r="C795" s="4">
        <v>4.3</v>
      </c>
      <c r="D795" s="4">
        <v>182</v>
      </c>
      <c r="E795" t="s">
        <v>1428</v>
      </c>
      <c r="F795" s="4">
        <v>19.040529899999999</v>
      </c>
      <c r="G795">
        <v>73.095887199999893</v>
      </c>
      <c r="H795"/>
    </row>
    <row r="796" spans="1:8">
      <c r="A796" t="s">
        <v>1400</v>
      </c>
      <c r="B796" t="s">
        <v>1429</v>
      </c>
      <c r="C796" s="4">
        <v>4.5</v>
      </c>
      <c r="D796" s="4">
        <v>98</v>
      </c>
      <c r="E796" t="s">
        <v>1430</v>
      </c>
      <c r="F796" s="4">
        <v>19.005751799999999</v>
      </c>
      <c r="G796">
        <v>73.111167899999998</v>
      </c>
      <c r="H796"/>
    </row>
    <row r="797" spans="1:8">
      <c r="A797" t="s">
        <v>1400</v>
      </c>
      <c r="B797" t="s">
        <v>1431</v>
      </c>
      <c r="C797" s="4">
        <v>4.5</v>
      </c>
      <c r="D797" s="4">
        <v>15</v>
      </c>
      <c r="E797" t="s">
        <v>1432</v>
      </c>
      <c r="F797" s="4">
        <v>19.008147000000001</v>
      </c>
      <c r="G797">
        <v>73.109281199999998</v>
      </c>
      <c r="H797"/>
    </row>
    <row r="798" spans="1:8">
      <c r="A798" t="s">
        <v>1400</v>
      </c>
      <c r="B798" t="s">
        <v>1433</v>
      </c>
      <c r="C798" s="4">
        <v>4.5999999999999996</v>
      </c>
      <c r="D798" s="4">
        <v>41</v>
      </c>
      <c r="E798" t="s">
        <v>1434</v>
      </c>
      <c r="F798" s="4">
        <v>18.993264199999999</v>
      </c>
      <c r="G798">
        <v>73.115628099999995</v>
      </c>
      <c r="H798"/>
    </row>
    <row r="799" spans="1:8">
      <c r="A799" t="s">
        <v>1400</v>
      </c>
      <c r="B799" t="s">
        <v>1435</v>
      </c>
      <c r="C799" s="4">
        <v>4.4000000000000004</v>
      </c>
      <c r="D799" s="4">
        <v>69</v>
      </c>
      <c r="E799" t="s">
        <v>1436</v>
      </c>
      <c r="F799" s="4">
        <v>19.044628599999999</v>
      </c>
      <c r="G799">
        <v>73.1300004</v>
      </c>
      <c r="H799"/>
    </row>
    <row r="800" spans="1:8">
      <c r="A800" t="s">
        <v>1400</v>
      </c>
      <c r="B800" t="s">
        <v>1437</v>
      </c>
      <c r="C800" s="4">
        <v>4</v>
      </c>
      <c r="D800" s="4">
        <v>491</v>
      </c>
      <c r="E800" t="s">
        <v>1438</v>
      </c>
      <c r="F800" s="4">
        <v>19.008025499999999</v>
      </c>
      <c r="G800">
        <v>73.109344100000001</v>
      </c>
      <c r="H800"/>
    </row>
    <row r="801" spans="1:8">
      <c r="A801" t="s">
        <v>1400</v>
      </c>
      <c r="B801" t="s">
        <v>1439</v>
      </c>
      <c r="C801" s="4">
        <v>3.9</v>
      </c>
      <c r="D801" s="4">
        <v>288</v>
      </c>
      <c r="E801" t="s">
        <v>1440</v>
      </c>
      <c r="F801" s="4">
        <v>19.008016399999999</v>
      </c>
      <c r="G801">
        <v>73.109343499999994</v>
      </c>
      <c r="H801"/>
    </row>
    <row r="802" spans="1:8">
      <c r="A802" t="s">
        <v>1400</v>
      </c>
      <c r="B802" t="s">
        <v>1441</v>
      </c>
      <c r="C802" s="4">
        <v>3.9</v>
      </c>
      <c r="D802" s="4">
        <v>402</v>
      </c>
      <c r="E802" t="s">
        <v>1442</v>
      </c>
      <c r="F802" s="4">
        <v>18.993548100000002</v>
      </c>
      <c r="G802">
        <v>73.114695599999905</v>
      </c>
      <c r="H802"/>
    </row>
    <row r="803" spans="1:8">
      <c r="A803" t="s">
        <v>1400</v>
      </c>
      <c r="B803" t="s">
        <v>1443</v>
      </c>
      <c r="C803" s="4">
        <v>4.9000000000000004</v>
      </c>
      <c r="D803" s="4">
        <v>16</v>
      </c>
      <c r="E803" t="s">
        <v>1444</v>
      </c>
      <c r="F803" s="4">
        <v>18.996887300000001</v>
      </c>
      <c r="G803">
        <v>73.1175961</v>
      </c>
      <c r="H803"/>
    </row>
    <row r="804" spans="1:8">
      <c r="A804" t="s">
        <v>1400</v>
      </c>
      <c r="B804" t="s">
        <v>1445</v>
      </c>
      <c r="C804" s="4">
        <v>4.5</v>
      </c>
      <c r="D804" s="4">
        <v>84</v>
      </c>
      <c r="E804" t="s">
        <v>1446</v>
      </c>
      <c r="F804" s="4">
        <v>18.990200999999999</v>
      </c>
      <c r="G804">
        <v>73.127096600000002</v>
      </c>
      <c r="H804"/>
    </row>
    <row r="805" spans="1:8">
      <c r="A805" t="s">
        <v>1400</v>
      </c>
      <c r="B805" t="s">
        <v>1447</v>
      </c>
      <c r="C805" s="4">
        <v>4.5999999999999996</v>
      </c>
      <c r="D805" s="4">
        <v>29</v>
      </c>
      <c r="E805" t="s">
        <v>1448</v>
      </c>
      <c r="F805" s="4">
        <v>19.003156100000002</v>
      </c>
      <c r="G805">
        <v>73.111871499999907</v>
      </c>
      <c r="H805"/>
    </row>
    <row r="806" spans="1:8">
      <c r="A806" t="s">
        <v>1400</v>
      </c>
      <c r="B806" t="s">
        <v>1449</v>
      </c>
      <c r="C806" s="4">
        <v>4.9000000000000004</v>
      </c>
      <c r="D806" s="4">
        <v>24</v>
      </c>
      <c r="E806" t="s">
        <v>1450</v>
      </c>
      <c r="F806" s="4">
        <v>18.991533</v>
      </c>
      <c r="G806">
        <v>73.110828999999995</v>
      </c>
      <c r="H806"/>
    </row>
    <row r="807" spans="1:8">
      <c r="A807" t="s">
        <v>1400</v>
      </c>
      <c r="B807" t="s">
        <v>1451</v>
      </c>
      <c r="C807" s="4">
        <v>5</v>
      </c>
      <c r="D807" s="4">
        <v>50</v>
      </c>
      <c r="E807" t="s">
        <v>1452</v>
      </c>
      <c r="F807" s="4">
        <v>19.003935899999998</v>
      </c>
      <c r="G807">
        <v>73.116609199999999</v>
      </c>
      <c r="H807"/>
    </row>
    <row r="808" spans="1:8">
      <c r="A808" t="s">
        <v>1400</v>
      </c>
      <c r="B808" t="s">
        <v>1453</v>
      </c>
      <c r="C808" s="4">
        <v>5</v>
      </c>
      <c r="D808" s="4">
        <v>29</v>
      </c>
      <c r="E808" t="s">
        <v>1454</v>
      </c>
      <c r="F808" s="4">
        <v>18.999312700000001</v>
      </c>
      <c r="G808">
        <v>73.117944199999997</v>
      </c>
      <c r="H808"/>
    </row>
    <row r="809" spans="1:8">
      <c r="A809" t="s">
        <v>1400</v>
      </c>
      <c r="B809" t="s">
        <v>1437</v>
      </c>
      <c r="C809" s="4">
        <v>4.0999999999999996</v>
      </c>
      <c r="D809" s="4">
        <v>602</v>
      </c>
      <c r="E809" t="s">
        <v>1455</v>
      </c>
      <c r="F809" s="4">
        <v>19.020493299999998</v>
      </c>
      <c r="G809">
        <v>73.091391599999994</v>
      </c>
      <c r="H809"/>
    </row>
    <row r="810" spans="1:8">
      <c r="A810" t="s">
        <v>1400</v>
      </c>
      <c r="B810" t="s">
        <v>1456</v>
      </c>
      <c r="C810" s="4">
        <v>4</v>
      </c>
      <c r="D810" s="4">
        <v>782</v>
      </c>
      <c r="E810" t="s">
        <v>1457</v>
      </c>
      <c r="F810" s="4">
        <v>18.989127</v>
      </c>
      <c r="G810">
        <v>73.127335799999997</v>
      </c>
      <c r="H810"/>
    </row>
    <row r="811" spans="1:8">
      <c r="A811" t="s">
        <v>1400</v>
      </c>
      <c r="B811" t="s">
        <v>123</v>
      </c>
      <c r="C811" s="4">
        <v>4.7</v>
      </c>
      <c r="D811" s="4">
        <v>929</v>
      </c>
      <c r="E811" t="s">
        <v>1458</v>
      </c>
      <c r="F811" s="4">
        <v>18.9933552</v>
      </c>
      <c r="G811">
        <v>73.115659399999998</v>
      </c>
      <c r="H811"/>
    </row>
    <row r="812" spans="1:8">
      <c r="A812" t="s">
        <v>1400</v>
      </c>
      <c r="B812" t="s">
        <v>1459</v>
      </c>
      <c r="C812" s="4">
        <v>4.8</v>
      </c>
      <c r="D812" s="4">
        <v>131</v>
      </c>
      <c r="E812" t="s">
        <v>1460</v>
      </c>
      <c r="F812" s="4">
        <v>19.009671699999998</v>
      </c>
      <c r="G812">
        <v>73.099554900000001</v>
      </c>
      <c r="H812"/>
    </row>
    <row r="813" spans="1:8">
      <c r="A813" t="s">
        <v>1400</v>
      </c>
      <c r="B813" t="s">
        <v>1461</v>
      </c>
      <c r="C813" s="4">
        <v>4.5999999999999996</v>
      </c>
      <c r="D813" s="4">
        <v>118</v>
      </c>
      <c r="E813" t="s">
        <v>1462</v>
      </c>
      <c r="F813" s="4">
        <v>19.009954700000002</v>
      </c>
      <c r="G813">
        <v>73.099405399999995</v>
      </c>
      <c r="H813"/>
    </row>
    <row r="814" spans="1:8">
      <c r="A814" t="s">
        <v>1400</v>
      </c>
      <c r="B814" t="s">
        <v>1318</v>
      </c>
      <c r="C814" s="4">
        <v>4.8</v>
      </c>
      <c r="D814" s="4">
        <v>1395</v>
      </c>
      <c r="E814" t="s">
        <v>1319</v>
      </c>
      <c r="F814" s="4">
        <v>19.006477</v>
      </c>
      <c r="G814">
        <v>73.033076399999999</v>
      </c>
      <c r="H814"/>
    </row>
    <row r="815" spans="1:8">
      <c r="A815" t="s">
        <v>1400</v>
      </c>
      <c r="B815" t="s">
        <v>1417</v>
      </c>
      <c r="C815" s="4">
        <v>4.4000000000000004</v>
      </c>
      <c r="D815" s="4">
        <v>58</v>
      </c>
      <c r="E815" t="s">
        <v>1463</v>
      </c>
      <c r="F815" s="4">
        <v>18.997271399999999</v>
      </c>
      <c r="G815">
        <v>73.108659799999998</v>
      </c>
      <c r="H815"/>
    </row>
    <row r="816" spans="1:8">
      <c r="A816" t="s">
        <v>1400</v>
      </c>
      <c r="B816" t="s">
        <v>1464</v>
      </c>
      <c r="C816" s="4">
        <v>5</v>
      </c>
      <c r="D816" s="4">
        <v>14</v>
      </c>
      <c r="E816" t="s">
        <v>1465</v>
      </c>
      <c r="F816" s="4">
        <v>19.003395300000001</v>
      </c>
      <c r="G816">
        <v>73.111907500000001</v>
      </c>
      <c r="H816"/>
    </row>
    <row r="817" spans="1:8">
      <c r="A817" t="s">
        <v>1400</v>
      </c>
      <c r="B817" t="s">
        <v>1466</v>
      </c>
      <c r="C817" s="4">
        <v>4.5999999999999996</v>
      </c>
      <c r="D817" s="4">
        <v>38</v>
      </c>
      <c r="E817" t="s">
        <v>1467</v>
      </c>
      <c r="F817" s="4">
        <v>19.035999199999999</v>
      </c>
      <c r="G817">
        <v>73.090154999999996</v>
      </c>
      <c r="H817"/>
    </row>
    <row r="818" spans="1:8">
      <c r="A818" t="s">
        <v>1400</v>
      </c>
      <c r="B818" t="s">
        <v>1468</v>
      </c>
      <c r="C818" s="4">
        <v>4</v>
      </c>
      <c r="D818" s="4">
        <v>1396</v>
      </c>
      <c r="E818" t="s">
        <v>1469</v>
      </c>
      <c r="F818" s="4">
        <v>18.999866600000001</v>
      </c>
      <c r="G818">
        <v>73.127952999999906</v>
      </c>
      <c r="H818"/>
    </row>
    <row r="819" spans="1:8">
      <c r="A819" t="s">
        <v>1400</v>
      </c>
      <c r="B819" t="s">
        <v>1470</v>
      </c>
      <c r="C819" s="4">
        <v>5</v>
      </c>
      <c r="D819" s="4">
        <v>26</v>
      </c>
      <c r="E819" t="s">
        <v>1471</v>
      </c>
      <c r="F819" s="4">
        <v>18.986701</v>
      </c>
      <c r="G819">
        <v>73.093838599999998</v>
      </c>
      <c r="H819"/>
    </row>
    <row r="820" spans="1:8">
      <c r="A820" t="s">
        <v>1400</v>
      </c>
      <c r="B820" t="s">
        <v>1472</v>
      </c>
      <c r="C820" s="4">
        <v>4.0999999999999996</v>
      </c>
      <c r="D820" s="4">
        <v>113</v>
      </c>
      <c r="E820" t="s">
        <v>1473</v>
      </c>
      <c r="F820" s="4">
        <v>19.0191649</v>
      </c>
      <c r="G820">
        <v>73.091880199999906</v>
      </c>
      <c r="H820"/>
    </row>
    <row r="821" spans="1:8">
      <c r="A821" t="s">
        <v>1400</v>
      </c>
      <c r="B821" t="s">
        <v>1474</v>
      </c>
      <c r="C821" s="4">
        <v>4.9000000000000004</v>
      </c>
      <c r="D821" s="4">
        <v>38</v>
      </c>
      <c r="E821" t="s">
        <v>1475</v>
      </c>
      <c r="F821" s="4">
        <v>18.987435300000001</v>
      </c>
      <c r="G821">
        <v>73.112692999999993</v>
      </c>
      <c r="H821"/>
    </row>
    <row r="822" spans="1:8">
      <c r="A822" t="s">
        <v>1400</v>
      </c>
      <c r="B822" t="s">
        <v>1476</v>
      </c>
      <c r="C822" s="4">
        <v>4.3</v>
      </c>
      <c r="D822" s="4">
        <v>127</v>
      </c>
      <c r="E822" t="s">
        <v>1477</v>
      </c>
      <c r="F822" s="4">
        <v>18.9790554</v>
      </c>
      <c r="G822">
        <v>73.097232399999996</v>
      </c>
      <c r="H822"/>
    </row>
    <row r="823" spans="1:8">
      <c r="A823" t="s">
        <v>1400</v>
      </c>
      <c r="B823" t="s">
        <v>1478</v>
      </c>
      <c r="C823" s="4">
        <v>4.5999999999999996</v>
      </c>
      <c r="D823" s="4">
        <v>211</v>
      </c>
      <c r="E823" t="s">
        <v>1479</v>
      </c>
      <c r="F823" s="4">
        <v>19.045988000000001</v>
      </c>
      <c r="G823">
        <v>73.128586299999995</v>
      </c>
      <c r="H823"/>
    </row>
    <row r="824" spans="1:8">
      <c r="A824" t="s">
        <v>1400</v>
      </c>
      <c r="B824" t="s">
        <v>1480</v>
      </c>
      <c r="C824" s="4">
        <v>4.5999999999999996</v>
      </c>
      <c r="D824" s="4">
        <v>27</v>
      </c>
      <c r="E824" t="s">
        <v>1481</v>
      </c>
      <c r="F824" s="4">
        <v>19.0363796</v>
      </c>
      <c r="G824">
        <v>73.092307199999993</v>
      </c>
      <c r="H824"/>
    </row>
    <row r="825" spans="1:8">
      <c r="A825" t="s">
        <v>1400</v>
      </c>
      <c r="B825" t="s">
        <v>1482</v>
      </c>
      <c r="C825" s="4">
        <v>4.2</v>
      </c>
      <c r="D825" s="4">
        <v>5</v>
      </c>
      <c r="E825" t="s">
        <v>1483</v>
      </c>
      <c r="F825" s="4">
        <v>18.991697299999998</v>
      </c>
      <c r="G825">
        <v>73.109494799999993</v>
      </c>
      <c r="H825"/>
    </row>
    <row r="826" spans="1:8">
      <c r="A826" t="s">
        <v>1400</v>
      </c>
      <c r="B826" t="s">
        <v>1484</v>
      </c>
      <c r="C826" s="4">
        <v>4.9000000000000004</v>
      </c>
      <c r="D826" s="4">
        <v>93</v>
      </c>
      <c r="E826" t="s">
        <v>1485</v>
      </c>
      <c r="F826" s="4">
        <v>19.000768399999998</v>
      </c>
      <c r="G826">
        <v>73.134175499999998</v>
      </c>
      <c r="H826"/>
    </row>
    <row r="827" spans="1:8">
      <c r="A827" t="s">
        <v>1400</v>
      </c>
      <c r="B827" t="s">
        <v>1486</v>
      </c>
      <c r="C827" s="4">
        <v>4.9000000000000004</v>
      </c>
      <c r="D827" s="4">
        <v>25</v>
      </c>
      <c r="E827" t="s">
        <v>1487</v>
      </c>
      <c r="F827" s="4">
        <v>19.011319100000001</v>
      </c>
      <c r="G827">
        <v>73.117857099999995</v>
      </c>
      <c r="H827"/>
    </row>
    <row r="828" spans="1:8">
      <c r="A828" t="s">
        <v>1400</v>
      </c>
      <c r="B828" t="s">
        <v>1488</v>
      </c>
      <c r="C828" s="4">
        <v>4.9000000000000004</v>
      </c>
      <c r="D828" s="4">
        <v>30</v>
      </c>
      <c r="E828" t="s">
        <v>1489</v>
      </c>
      <c r="F828" s="4">
        <v>18.9884682</v>
      </c>
      <c r="G828">
        <v>73.127944299999996</v>
      </c>
      <c r="H828"/>
    </row>
    <row r="829" spans="1:8">
      <c r="A829" t="s">
        <v>1400</v>
      </c>
      <c r="B829" t="s">
        <v>1490</v>
      </c>
      <c r="C829" s="4">
        <v>4.0999999999999996</v>
      </c>
      <c r="D829" s="4">
        <v>3839</v>
      </c>
      <c r="E829" t="s">
        <v>1491</v>
      </c>
      <c r="F829" s="4">
        <v>18.992989999999999</v>
      </c>
      <c r="G829">
        <v>73.115874199999993</v>
      </c>
      <c r="H829"/>
    </row>
    <row r="830" spans="1:8">
      <c r="A830" t="s">
        <v>1400</v>
      </c>
      <c r="B830" t="s">
        <v>1492</v>
      </c>
      <c r="C830" s="4">
        <v>4.4000000000000004</v>
      </c>
      <c r="D830" s="4">
        <v>48</v>
      </c>
      <c r="E830" t="s">
        <v>1493</v>
      </c>
      <c r="F830" s="4">
        <v>18.9829191</v>
      </c>
      <c r="G830">
        <v>73.098695300000003</v>
      </c>
      <c r="H830"/>
    </row>
    <row r="831" spans="1:8">
      <c r="A831" t="s">
        <v>1400</v>
      </c>
      <c r="B831" t="s">
        <v>1494</v>
      </c>
      <c r="C831" s="4">
        <v>4.3</v>
      </c>
      <c r="D831" s="4">
        <v>28</v>
      </c>
      <c r="E831" t="s">
        <v>1495</v>
      </c>
      <c r="F831" s="4">
        <v>18.977092599999999</v>
      </c>
      <c r="G831">
        <v>73.100992699999907</v>
      </c>
      <c r="H831"/>
    </row>
    <row r="832" spans="1:8">
      <c r="A832" t="s">
        <v>1400</v>
      </c>
      <c r="B832" t="s">
        <v>1496</v>
      </c>
      <c r="C832" s="4">
        <v>4.9000000000000004</v>
      </c>
      <c r="D832" s="4">
        <v>15</v>
      </c>
      <c r="E832" t="s">
        <v>1497</v>
      </c>
      <c r="F832" s="4">
        <v>19.005118100000001</v>
      </c>
      <c r="G832">
        <v>73.114607300000003</v>
      </c>
      <c r="H832"/>
    </row>
    <row r="833" spans="1:8">
      <c r="A833" t="s">
        <v>1400</v>
      </c>
      <c r="B833" t="s">
        <v>1354</v>
      </c>
      <c r="C833" s="4">
        <v>4.2</v>
      </c>
      <c r="D833" s="4">
        <v>2443</v>
      </c>
      <c r="E833" t="s">
        <v>1355</v>
      </c>
      <c r="F833" s="4">
        <v>19.009949500000001</v>
      </c>
      <c r="G833">
        <v>73.0326412</v>
      </c>
      <c r="H833"/>
    </row>
    <row r="834" spans="1:8">
      <c r="A834" t="s">
        <v>1400</v>
      </c>
      <c r="B834" t="s">
        <v>1498</v>
      </c>
      <c r="C834" s="4">
        <v>3.8</v>
      </c>
      <c r="D834" s="4">
        <v>215</v>
      </c>
      <c r="E834" t="s">
        <v>1499</v>
      </c>
      <c r="F834" s="4">
        <v>18.988357700000002</v>
      </c>
      <c r="G834">
        <v>73.127979299999893</v>
      </c>
      <c r="H834"/>
    </row>
    <row r="835" spans="1:8">
      <c r="A835" t="s">
        <v>1400</v>
      </c>
      <c r="B835" t="s">
        <v>1500</v>
      </c>
      <c r="C835" s="4">
        <v>3.4</v>
      </c>
      <c r="D835" s="4">
        <v>5</v>
      </c>
      <c r="E835" t="s">
        <v>1501</v>
      </c>
      <c r="F835" s="4">
        <v>19.0058902</v>
      </c>
      <c r="G835">
        <v>73.110370399999994</v>
      </c>
      <c r="H835"/>
    </row>
    <row r="836" spans="1:8">
      <c r="A836" t="s">
        <v>1400</v>
      </c>
      <c r="B836" t="s">
        <v>1502</v>
      </c>
      <c r="C836" s="4">
        <v>4.0999999999999996</v>
      </c>
      <c r="D836" s="4">
        <v>502</v>
      </c>
      <c r="E836" t="s">
        <v>1503</v>
      </c>
      <c r="F836" s="4">
        <v>18.9876456</v>
      </c>
      <c r="G836">
        <v>73.114994600000003</v>
      </c>
      <c r="H836"/>
    </row>
    <row r="837" spans="1:8">
      <c r="A837" t="s">
        <v>1400</v>
      </c>
      <c r="B837" t="s">
        <v>1504</v>
      </c>
      <c r="C837" s="4">
        <v>4.5999999999999996</v>
      </c>
      <c r="D837" s="4">
        <v>18</v>
      </c>
      <c r="E837" t="s">
        <v>1505</v>
      </c>
      <c r="F837" s="4">
        <v>18.967628399999999</v>
      </c>
      <c r="G837">
        <v>73.117081799999994</v>
      </c>
      <c r="H837"/>
    </row>
    <row r="838" spans="1:8">
      <c r="A838" t="s">
        <v>1400</v>
      </c>
      <c r="B838" t="s">
        <v>1506</v>
      </c>
      <c r="C838" s="4">
        <v>4.5</v>
      </c>
      <c r="D838" s="4">
        <v>55</v>
      </c>
      <c r="E838" t="s">
        <v>1507</v>
      </c>
      <c r="F838" s="4">
        <v>18.9900941</v>
      </c>
      <c r="G838">
        <v>73.112465999999998</v>
      </c>
      <c r="H838"/>
    </row>
    <row r="839" spans="1:8">
      <c r="A839" t="s">
        <v>1400</v>
      </c>
      <c r="B839" t="s">
        <v>1508</v>
      </c>
      <c r="C839" s="4">
        <v>4</v>
      </c>
      <c r="D839" s="4">
        <v>8</v>
      </c>
      <c r="E839" t="s">
        <v>1509</v>
      </c>
      <c r="F839" s="4">
        <v>18.9770927</v>
      </c>
      <c r="G839">
        <v>73.100992499999904</v>
      </c>
      <c r="H839"/>
    </row>
    <row r="840" spans="1:8">
      <c r="A840" t="s">
        <v>1400</v>
      </c>
      <c r="B840" t="s">
        <v>1510</v>
      </c>
      <c r="C840" s="4">
        <v>4.3</v>
      </c>
      <c r="D840" s="4">
        <v>310</v>
      </c>
      <c r="E840" t="s">
        <v>1511</v>
      </c>
      <c r="F840" s="4">
        <v>18.985402400000002</v>
      </c>
      <c r="G840">
        <v>73.1095136</v>
      </c>
      <c r="H840"/>
    </row>
    <row r="841" spans="1:8">
      <c r="A841" t="s">
        <v>1400</v>
      </c>
      <c r="B841" t="s">
        <v>1512</v>
      </c>
      <c r="C841" s="4">
        <v>4</v>
      </c>
      <c r="D841" s="4">
        <v>2010</v>
      </c>
      <c r="E841" t="s">
        <v>1513</v>
      </c>
      <c r="F841" s="4">
        <v>18.992104999999999</v>
      </c>
      <c r="G841">
        <v>73.115236799999906</v>
      </c>
      <c r="H841"/>
    </row>
    <row r="842" spans="1:8">
      <c r="A842" t="s">
        <v>1514</v>
      </c>
      <c r="B842" t="s">
        <v>1515</v>
      </c>
      <c r="C842" s="4">
        <v>4.5999999999999996</v>
      </c>
      <c r="D842" s="4">
        <v>643</v>
      </c>
      <c r="E842" t="s">
        <v>1516</v>
      </c>
      <c r="F842" s="4">
        <v>19.0298105</v>
      </c>
      <c r="G842">
        <v>73.065200199999893</v>
      </c>
      <c r="H842"/>
    </row>
    <row r="843" spans="1:8">
      <c r="A843" t="s">
        <v>1514</v>
      </c>
      <c r="B843" t="s">
        <v>1517</v>
      </c>
      <c r="C843" s="4">
        <v>4.3</v>
      </c>
      <c r="D843" s="4">
        <v>4161</v>
      </c>
      <c r="E843" t="s">
        <v>1518</v>
      </c>
      <c r="F843" s="4">
        <v>19.032056399999998</v>
      </c>
      <c r="G843">
        <v>73.066987099999906</v>
      </c>
      <c r="H843"/>
    </row>
    <row r="844" spans="1:8">
      <c r="A844" t="s">
        <v>1514</v>
      </c>
      <c r="B844" t="s">
        <v>1519</v>
      </c>
      <c r="C844" s="4">
        <v>4.5999999999999996</v>
      </c>
      <c r="D844" s="4">
        <v>1201</v>
      </c>
      <c r="E844" t="s">
        <v>1520</v>
      </c>
      <c r="F844" s="4">
        <v>19.0292849</v>
      </c>
      <c r="G844">
        <v>73.065797099999997</v>
      </c>
      <c r="H844"/>
    </row>
    <row r="845" spans="1:8">
      <c r="A845" t="s">
        <v>1514</v>
      </c>
      <c r="B845" t="s">
        <v>1521</v>
      </c>
      <c r="C845" s="4">
        <v>4.3</v>
      </c>
      <c r="D845" s="4">
        <v>1632</v>
      </c>
      <c r="E845" t="s">
        <v>1522</v>
      </c>
      <c r="F845" s="4">
        <v>19.029783900000002</v>
      </c>
      <c r="G845">
        <v>73.065389400000001</v>
      </c>
      <c r="H845"/>
    </row>
    <row r="846" spans="1:8">
      <c r="A846" t="s">
        <v>1514</v>
      </c>
      <c r="B846" t="s">
        <v>1523</v>
      </c>
      <c r="C846" s="4">
        <v>4.7</v>
      </c>
      <c r="D846" s="4">
        <v>667</v>
      </c>
      <c r="E846" t="s">
        <v>1524</v>
      </c>
      <c r="F846" s="4">
        <v>19.054744899999999</v>
      </c>
      <c r="G846">
        <v>73.067894299999907</v>
      </c>
      <c r="H846"/>
    </row>
    <row r="847" spans="1:8">
      <c r="A847" t="s">
        <v>1514</v>
      </c>
      <c r="B847" t="s">
        <v>1525</v>
      </c>
      <c r="C847" s="4">
        <v>4.7</v>
      </c>
      <c r="D847" s="4">
        <v>398</v>
      </c>
      <c r="E847" t="s">
        <v>1526</v>
      </c>
      <c r="F847" s="4">
        <v>19.069331099999999</v>
      </c>
      <c r="G847">
        <v>73.077723800000001</v>
      </c>
      <c r="H847"/>
    </row>
    <row r="848" spans="1:8">
      <c r="A848" t="s">
        <v>1514</v>
      </c>
      <c r="B848" t="s">
        <v>1398</v>
      </c>
      <c r="C848" s="4">
        <v>4.0999999999999996</v>
      </c>
      <c r="D848" s="4">
        <v>1273</v>
      </c>
      <c r="E848" t="s">
        <v>1399</v>
      </c>
      <c r="F848" s="4">
        <v>19.0337949</v>
      </c>
      <c r="G848">
        <v>73.063767099999893</v>
      </c>
      <c r="H848"/>
    </row>
    <row r="849" spans="1:8">
      <c r="A849" t="s">
        <v>1514</v>
      </c>
      <c r="B849" t="s">
        <v>1527</v>
      </c>
      <c r="C849" s="4">
        <v>4.7</v>
      </c>
      <c r="D849" s="4">
        <v>284</v>
      </c>
      <c r="E849" t="s">
        <v>1528</v>
      </c>
      <c r="F849" s="4">
        <v>19.045189199999999</v>
      </c>
      <c r="G849">
        <v>73.063368199999999</v>
      </c>
      <c r="H849"/>
    </row>
    <row r="850" spans="1:8">
      <c r="A850" t="s">
        <v>1514</v>
      </c>
      <c r="B850" t="s">
        <v>1529</v>
      </c>
      <c r="C850" s="4">
        <v>4.5999999999999996</v>
      </c>
      <c r="D850" s="4">
        <v>339</v>
      </c>
      <c r="E850" t="s">
        <v>1530</v>
      </c>
      <c r="F850" s="4">
        <v>19.048718000000001</v>
      </c>
      <c r="G850">
        <v>73.075754500000002</v>
      </c>
      <c r="H850"/>
    </row>
    <row r="851" spans="1:8">
      <c r="A851" t="s">
        <v>1514</v>
      </c>
      <c r="B851" t="s">
        <v>1531</v>
      </c>
      <c r="C851" s="4">
        <v>4</v>
      </c>
      <c r="D851" s="4">
        <v>504</v>
      </c>
      <c r="E851" t="s">
        <v>1532</v>
      </c>
      <c r="F851" s="4">
        <v>19.047885300000001</v>
      </c>
      <c r="G851">
        <v>73.068530199999998</v>
      </c>
      <c r="H851"/>
    </row>
    <row r="852" spans="1:8">
      <c r="A852" t="s">
        <v>1514</v>
      </c>
      <c r="B852" t="s">
        <v>1533</v>
      </c>
      <c r="C852" s="4">
        <v>4.5999999999999996</v>
      </c>
      <c r="D852" s="4">
        <v>194</v>
      </c>
      <c r="E852" t="s">
        <v>1534</v>
      </c>
      <c r="F852" s="4">
        <v>19.033505000000002</v>
      </c>
      <c r="G852">
        <v>73.065545999999998</v>
      </c>
      <c r="H852"/>
    </row>
    <row r="853" spans="1:8">
      <c r="A853" t="s">
        <v>1514</v>
      </c>
      <c r="B853" t="s">
        <v>1535</v>
      </c>
      <c r="C853" s="4">
        <v>4.4000000000000004</v>
      </c>
      <c r="D853" s="4">
        <v>73</v>
      </c>
      <c r="E853" t="s">
        <v>1536</v>
      </c>
      <c r="F853" s="4">
        <v>19.032056399999998</v>
      </c>
      <c r="G853">
        <v>73.066987099999906</v>
      </c>
      <c r="H853"/>
    </row>
    <row r="854" spans="1:8">
      <c r="A854" t="s">
        <v>1514</v>
      </c>
      <c r="B854" t="s">
        <v>1537</v>
      </c>
      <c r="C854" s="4">
        <v>4.5999999999999996</v>
      </c>
      <c r="D854" s="4">
        <v>260</v>
      </c>
      <c r="E854" t="s">
        <v>1538</v>
      </c>
      <c r="F854" s="4">
        <v>19.030774099999999</v>
      </c>
      <c r="G854">
        <v>73.066622899999999</v>
      </c>
      <c r="H854"/>
    </row>
    <row r="855" spans="1:8">
      <c r="A855" t="s">
        <v>1514</v>
      </c>
      <c r="B855" t="s">
        <v>1539</v>
      </c>
      <c r="C855" s="4">
        <v>4.7</v>
      </c>
      <c r="D855" s="4">
        <v>112</v>
      </c>
      <c r="E855" t="s">
        <v>1540</v>
      </c>
      <c r="F855" s="4">
        <v>19.029751300000001</v>
      </c>
      <c r="G855">
        <v>73.063547900000003</v>
      </c>
      <c r="H855"/>
    </row>
    <row r="856" spans="1:8">
      <c r="A856" t="s">
        <v>1514</v>
      </c>
      <c r="B856" t="s">
        <v>1541</v>
      </c>
      <c r="C856" s="4">
        <v>4.7</v>
      </c>
      <c r="D856" s="4">
        <v>189</v>
      </c>
      <c r="E856" t="s">
        <v>1542</v>
      </c>
      <c r="F856" s="4">
        <v>19.052885799999999</v>
      </c>
      <c r="G856">
        <v>73.066831800000003</v>
      </c>
      <c r="H856"/>
    </row>
    <row r="857" spans="1:8">
      <c r="A857" t="s">
        <v>1514</v>
      </c>
      <c r="B857" t="s">
        <v>1543</v>
      </c>
      <c r="C857" s="4">
        <v>4.9000000000000004</v>
      </c>
      <c r="D857" s="4">
        <v>121</v>
      </c>
      <c r="E857" t="s">
        <v>1544</v>
      </c>
      <c r="F857" s="4">
        <v>19.029661900000001</v>
      </c>
      <c r="G857">
        <v>73.063317299999994</v>
      </c>
      <c r="H857"/>
    </row>
    <row r="858" spans="1:8">
      <c r="A858" t="s">
        <v>1514</v>
      </c>
      <c r="B858" t="s">
        <v>1545</v>
      </c>
      <c r="C858" s="4">
        <v>4.9000000000000004</v>
      </c>
      <c r="D858" s="4">
        <v>42</v>
      </c>
      <c r="E858" t="s">
        <v>1546</v>
      </c>
      <c r="F858" s="4">
        <v>19.033672899999999</v>
      </c>
      <c r="G858">
        <v>73.069488800000002</v>
      </c>
      <c r="H858"/>
    </row>
    <row r="859" spans="1:8">
      <c r="A859" t="s">
        <v>1514</v>
      </c>
      <c r="B859" t="s">
        <v>1547</v>
      </c>
      <c r="C859" s="4">
        <v>4</v>
      </c>
      <c r="D859" s="4">
        <v>243</v>
      </c>
      <c r="E859" t="s">
        <v>1548</v>
      </c>
      <c r="F859" s="4">
        <v>19.049991899999998</v>
      </c>
      <c r="G859">
        <v>73.064977200000001</v>
      </c>
      <c r="H859"/>
    </row>
    <row r="860" spans="1:8">
      <c r="A860" t="s">
        <v>1514</v>
      </c>
      <c r="B860" t="s">
        <v>1338</v>
      </c>
      <c r="C860" s="4">
        <v>4.4000000000000004</v>
      </c>
      <c r="D860" s="4">
        <v>1068</v>
      </c>
      <c r="E860" t="s">
        <v>1339</v>
      </c>
      <c r="F860" s="4">
        <v>19.007045699999999</v>
      </c>
      <c r="G860">
        <v>73.033661699999996</v>
      </c>
      <c r="H860"/>
    </row>
    <row r="861" spans="1:8">
      <c r="A861" t="s">
        <v>1514</v>
      </c>
      <c r="B861" t="s">
        <v>1352</v>
      </c>
      <c r="C861" s="4">
        <v>4.4000000000000004</v>
      </c>
      <c r="D861" s="4">
        <v>565</v>
      </c>
      <c r="E861" t="s">
        <v>1353</v>
      </c>
      <c r="F861" s="4">
        <v>19.007391200000001</v>
      </c>
      <c r="G861">
        <v>73.034680999999907</v>
      </c>
      <c r="H861"/>
    </row>
    <row r="862" spans="1:8">
      <c r="A862" t="s">
        <v>1514</v>
      </c>
      <c r="B862" t="s">
        <v>1549</v>
      </c>
      <c r="C862" s="4">
        <v>4.3</v>
      </c>
      <c r="D862" s="4">
        <v>936</v>
      </c>
      <c r="E862" t="s">
        <v>1550</v>
      </c>
      <c r="F862" s="4">
        <v>19.035401499999999</v>
      </c>
      <c r="G862">
        <v>73.067321399999997</v>
      </c>
      <c r="H862"/>
    </row>
    <row r="863" spans="1:8">
      <c r="A863" t="s">
        <v>1514</v>
      </c>
      <c r="B863" t="s">
        <v>1551</v>
      </c>
      <c r="C863" s="4">
        <v>4.3</v>
      </c>
      <c r="D863" s="4">
        <v>68</v>
      </c>
      <c r="E863" t="s">
        <v>1552</v>
      </c>
      <c r="F863" s="4">
        <v>19.0550818</v>
      </c>
      <c r="G863">
        <v>73.067111199999999</v>
      </c>
      <c r="H863"/>
    </row>
    <row r="864" spans="1:8">
      <c r="A864" t="s">
        <v>1514</v>
      </c>
      <c r="B864" t="s">
        <v>1356</v>
      </c>
      <c r="C864" s="4">
        <v>4.4000000000000004</v>
      </c>
      <c r="D864" s="4">
        <v>487</v>
      </c>
      <c r="E864" t="s">
        <v>1357</v>
      </c>
      <c r="F864" s="4">
        <v>19.0077094</v>
      </c>
      <c r="G864">
        <v>73.035687999999993</v>
      </c>
      <c r="H864"/>
    </row>
    <row r="865" spans="1:8">
      <c r="A865" t="s">
        <v>1514</v>
      </c>
      <c r="B865" t="s">
        <v>1553</v>
      </c>
      <c r="C865" s="4">
        <v>4.4000000000000004</v>
      </c>
      <c r="D865" s="4">
        <v>39</v>
      </c>
      <c r="E865" t="s">
        <v>1554</v>
      </c>
      <c r="F865" s="4">
        <v>19.029829500000002</v>
      </c>
      <c r="G865">
        <v>73.065351699999994</v>
      </c>
      <c r="H865"/>
    </row>
    <row r="866" spans="1:8">
      <c r="A866" t="s">
        <v>1514</v>
      </c>
      <c r="B866" t="s">
        <v>1283</v>
      </c>
      <c r="C866" s="4">
        <v>4.3</v>
      </c>
      <c r="D866" s="4">
        <v>1180</v>
      </c>
      <c r="E866" t="s">
        <v>1284</v>
      </c>
      <c r="F866" s="4">
        <v>19.015790599999999</v>
      </c>
      <c r="G866">
        <v>73.041221499999907</v>
      </c>
      <c r="H866"/>
    </row>
    <row r="867" spans="1:8">
      <c r="A867" t="s">
        <v>1514</v>
      </c>
      <c r="B867" t="s">
        <v>1555</v>
      </c>
      <c r="C867" s="4">
        <v>4</v>
      </c>
      <c r="D867" s="4">
        <v>821</v>
      </c>
      <c r="E867" t="s">
        <v>1556</v>
      </c>
      <c r="F867" s="4">
        <v>19.028469300000001</v>
      </c>
      <c r="G867">
        <v>73.059371099999893</v>
      </c>
      <c r="H867"/>
    </row>
    <row r="868" spans="1:8">
      <c r="A868" t="s">
        <v>1514</v>
      </c>
      <c r="B868" t="s">
        <v>1557</v>
      </c>
      <c r="C868" s="4">
        <v>4.2</v>
      </c>
      <c r="D868" s="4">
        <v>1194</v>
      </c>
      <c r="E868" t="s">
        <v>1558</v>
      </c>
      <c r="F868" s="4">
        <v>19.033762200000002</v>
      </c>
      <c r="G868">
        <v>73.063755399999906</v>
      </c>
      <c r="H868"/>
    </row>
    <row r="869" spans="1:8">
      <c r="A869" t="s">
        <v>1514</v>
      </c>
      <c r="B869" t="s">
        <v>140</v>
      </c>
      <c r="C869" s="4">
        <v>4.0999999999999996</v>
      </c>
      <c r="D869" s="4">
        <v>1008</v>
      </c>
      <c r="E869" t="s">
        <v>1559</v>
      </c>
      <c r="F869" s="4">
        <v>19.030655200000002</v>
      </c>
      <c r="G869">
        <v>73.064812899999893</v>
      </c>
      <c r="H869"/>
    </row>
    <row r="870" spans="1:8">
      <c r="A870" t="s">
        <v>1514</v>
      </c>
      <c r="B870" t="s">
        <v>1560</v>
      </c>
      <c r="C870" s="4">
        <v>4.3</v>
      </c>
      <c r="D870" s="4">
        <v>65</v>
      </c>
      <c r="E870" t="s">
        <v>1561</v>
      </c>
      <c r="F870" s="4">
        <v>19.033505000000002</v>
      </c>
      <c r="G870">
        <v>73.065545999999998</v>
      </c>
      <c r="H870"/>
    </row>
    <row r="871" spans="1:8">
      <c r="A871" t="s">
        <v>1514</v>
      </c>
      <c r="B871" t="s">
        <v>1459</v>
      </c>
      <c r="C871" s="4">
        <v>4.8</v>
      </c>
      <c r="D871" s="4">
        <v>131</v>
      </c>
      <c r="E871" t="s">
        <v>1460</v>
      </c>
      <c r="F871" s="4">
        <v>19.009671699999998</v>
      </c>
      <c r="G871">
        <v>73.099554900000001</v>
      </c>
      <c r="H871"/>
    </row>
    <row r="872" spans="1:8">
      <c r="A872" t="s">
        <v>1514</v>
      </c>
      <c r="B872" t="s">
        <v>1562</v>
      </c>
      <c r="C872" s="4">
        <v>4.5999999999999996</v>
      </c>
      <c r="D872" s="4">
        <v>53</v>
      </c>
      <c r="E872" t="s">
        <v>1563</v>
      </c>
      <c r="F872" s="4">
        <v>19.044675900000001</v>
      </c>
      <c r="G872">
        <v>73.063241500000004</v>
      </c>
      <c r="H872"/>
    </row>
    <row r="873" spans="1:8">
      <c r="A873" t="s">
        <v>1514</v>
      </c>
      <c r="B873" t="s">
        <v>1346</v>
      </c>
      <c r="C873" s="4">
        <v>4.2</v>
      </c>
      <c r="D873" s="4">
        <v>1599</v>
      </c>
      <c r="E873" t="s">
        <v>1347</v>
      </c>
      <c r="F873" s="4">
        <v>19.010225200000001</v>
      </c>
      <c r="G873">
        <v>73.012336500000004</v>
      </c>
      <c r="H873"/>
    </row>
    <row r="874" spans="1:8">
      <c r="A874" t="s">
        <v>1514</v>
      </c>
      <c r="B874" t="s">
        <v>1564</v>
      </c>
      <c r="C874" s="4">
        <v>4.5999999999999996</v>
      </c>
      <c r="D874" s="4">
        <v>56</v>
      </c>
      <c r="E874" t="s">
        <v>1565</v>
      </c>
      <c r="F874" s="4">
        <v>19.0693126</v>
      </c>
      <c r="G874">
        <v>73.076232500000003</v>
      </c>
      <c r="H874"/>
    </row>
    <row r="875" spans="1:8">
      <c r="A875" t="s">
        <v>1514</v>
      </c>
      <c r="B875" t="s">
        <v>1566</v>
      </c>
      <c r="C875" s="4">
        <v>4.7</v>
      </c>
      <c r="D875" s="4">
        <v>19</v>
      </c>
      <c r="E875" t="s">
        <v>1567</v>
      </c>
      <c r="F875" s="4">
        <v>19.045449399999999</v>
      </c>
      <c r="G875">
        <v>73.0810168</v>
      </c>
      <c r="H875"/>
    </row>
    <row r="876" spans="1:8">
      <c r="A876" t="s">
        <v>1514</v>
      </c>
      <c r="B876" t="s">
        <v>1035</v>
      </c>
      <c r="C876" s="4">
        <v>4.4000000000000004</v>
      </c>
      <c r="D876" s="4">
        <v>3152</v>
      </c>
      <c r="E876" t="s">
        <v>1036</v>
      </c>
      <c r="F876" s="4">
        <v>19.061594199999998</v>
      </c>
      <c r="G876">
        <v>72.899740999999906</v>
      </c>
      <c r="H876"/>
    </row>
    <row r="877" spans="1:8">
      <c r="A877" t="s">
        <v>1514</v>
      </c>
      <c r="B877" t="s">
        <v>1386</v>
      </c>
      <c r="C877" s="4">
        <v>4.4000000000000004</v>
      </c>
      <c r="D877" s="4">
        <v>78</v>
      </c>
      <c r="E877" t="s">
        <v>1568</v>
      </c>
      <c r="F877" s="4">
        <v>19.0298105</v>
      </c>
      <c r="G877">
        <v>73.065200199999893</v>
      </c>
      <c r="H877"/>
    </row>
    <row r="878" spans="1:8">
      <c r="A878" t="s">
        <v>1514</v>
      </c>
      <c r="B878" t="s">
        <v>1569</v>
      </c>
      <c r="C878" s="4">
        <v>3.2</v>
      </c>
      <c r="D878" s="4">
        <v>1702</v>
      </c>
      <c r="E878" t="s">
        <v>1570</v>
      </c>
      <c r="F878" s="4">
        <v>19.035737399999999</v>
      </c>
      <c r="G878">
        <v>73.063070499999995</v>
      </c>
      <c r="H878"/>
    </row>
    <row r="879" spans="1:8">
      <c r="A879" t="s">
        <v>1514</v>
      </c>
      <c r="B879" t="s">
        <v>1571</v>
      </c>
      <c r="C879" s="4">
        <v>4.9000000000000004</v>
      </c>
      <c r="D879" s="4">
        <v>13</v>
      </c>
      <c r="E879" t="s">
        <v>1572</v>
      </c>
      <c r="F879" s="4">
        <v>19.0324454</v>
      </c>
      <c r="G879">
        <v>73.060091200000002</v>
      </c>
      <c r="H879"/>
    </row>
    <row r="880" spans="1:8">
      <c r="A880" t="s">
        <v>1514</v>
      </c>
      <c r="B880" t="s">
        <v>48</v>
      </c>
      <c r="C880" s="4">
        <v>4.9000000000000004</v>
      </c>
      <c r="D880" s="4">
        <v>420</v>
      </c>
      <c r="E880" t="s">
        <v>850</v>
      </c>
      <c r="F880" s="4">
        <v>19.0718611</v>
      </c>
      <c r="G880">
        <v>72.876555600000003</v>
      </c>
      <c r="H880"/>
    </row>
    <row r="881" spans="1:8">
      <c r="A881" t="s">
        <v>1514</v>
      </c>
      <c r="B881" t="s">
        <v>1334</v>
      </c>
      <c r="C881" s="4">
        <v>4.4000000000000004</v>
      </c>
      <c r="D881" s="4">
        <v>96</v>
      </c>
      <c r="E881" t="s">
        <v>1335</v>
      </c>
      <c r="F881" s="4">
        <v>19.023695</v>
      </c>
      <c r="G881">
        <v>73.0317656</v>
      </c>
      <c r="H881"/>
    </row>
    <row r="882" spans="1:8">
      <c r="A882" t="s">
        <v>1514</v>
      </c>
      <c r="B882" t="s">
        <v>356</v>
      </c>
      <c r="C882" s="4">
        <v>4.7</v>
      </c>
      <c r="D882" s="4">
        <v>232</v>
      </c>
      <c r="E882" t="s">
        <v>1573</v>
      </c>
      <c r="F882" s="4">
        <v>19.034163499999998</v>
      </c>
      <c r="G882">
        <v>73.062940699999999</v>
      </c>
      <c r="H882"/>
    </row>
    <row r="883" spans="1:8">
      <c r="A883" t="s">
        <v>1514</v>
      </c>
      <c r="B883" t="s">
        <v>1574</v>
      </c>
      <c r="C883" s="4">
        <v>4.7</v>
      </c>
      <c r="D883" s="4">
        <v>61</v>
      </c>
      <c r="E883" t="s">
        <v>1575</v>
      </c>
      <c r="F883" s="4">
        <v>19.036231799999999</v>
      </c>
      <c r="G883">
        <v>73.077604600000001</v>
      </c>
      <c r="H883"/>
    </row>
    <row r="884" spans="1:8">
      <c r="A884" t="s">
        <v>1514</v>
      </c>
      <c r="B884" t="s">
        <v>1354</v>
      </c>
      <c r="C884" s="4">
        <v>4.2</v>
      </c>
      <c r="D884" s="4">
        <v>2443</v>
      </c>
      <c r="E884" t="s">
        <v>1355</v>
      </c>
      <c r="F884" s="4">
        <v>19.009949500000001</v>
      </c>
      <c r="G884">
        <v>73.0326412</v>
      </c>
      <c r="H884"/>
    </row>
    <row r="885" spans="1:8">
      <c r="A885" t="s">
        <v>1514</v>
      </c>
      <c r="B885" t="s">
        <v>1576</v>
      </c>
      <c r="C885" s="4">
        <v>4.5</v>
      </c>
      <c r="D885" s="4">
        <v>378</v>
      </c>
      <c r="E885" t="s">
        <v>1577</v>
      </c>
      <c r="F885" s="4">
        <v>19.042507100000002</v>
      </c>
      <c r="G885">
        <v>73.064024699999905</v>
      </c>
      <c r="H885"/>
    </row>
    <row r="886" spans="1:8">
      <c r="A886" t="s">
        <v>1514</v>
      </c>
      <c r="B886" t="s">
        <v>1578</v>
      </c>
      <c r="C886" s="4">
        <v>4.5999999999999996</v>
      </c>
      <c r="D886" s="4">
        <v>102</v>
      </c>
      <c r="E886" t="s">
        <v>1579</v>
      </c>
      <c r="F886" s="4">
        <v>19.0297926</v>
      </c>
      <c r="G886">
        <v>73.059505000000001</v>
      </c>
      <c r="H886"/>
    </row>
    <row r="887" spans="1:8">
      <c r="A887" t="s">
        <v>1514</v>
      </c>
      <c r="B887" t="s">
        <v>1580</v>
      </c>
      <c r="C887" s="4">
        <v>4.5999999999999996</v>
      </c>
      <c r="D887" s="4">
        <v>10</v>
      </c>
      <c r="E887" t="s">
        <v>1581</v>
      </c>
      <c r="F887" s="4">
        <v>19.029670500000002</v>
      </c>
      <c r="G887">
        <v>73.060358100000002</v>
      </c>
      <c r="H887"/>
    </row>
    <row r="888" spans="1:8">
      <c r="A888" t="s">
        <v>1514</v>
      </c>
      <c r="B888" t="s">
        <v>1134</v>
      </c>
      <c r="C888" s="4">
        <v>4.2</v>
      </c>
      <c r="D888" s="4">
        <v>1331</v>
      </c>
      <c r="E888" t="s">
        <v>1582</v>
      </c>
      <c r="F888" s="4">
        <v>19.032081000000002</v>
      </c>
      <c r="G888">
        <v>73.0669532</v>
      </c>
      <c r="H888"/>
    </row>
    <row r="889" spans="1:8">
      <c r="A889" t="s">
        <v>1514</v>
      </c>
      <c r="B889" t="s">
        <v>1583</v>
      </c>
      <c r="C889" s="4">
        <v>4.7</v>
      </c>
      <c r="D889" s="4">
        <v>311</v>
      </c>
      <c r="E889" t="s">
        <v>1584</v>
      </c>
      <c r="F889" s="4">
        <v>19.049526400000001</v>
      </c>
      <c r="G889">
        <v>73.075468200000003</v>
      </c>
      <c r="H889"/>
    </row>
    <row r="890" spans="1:8">
      <c r="A890" t="s">
        <v>1514</v>
      </c>
      <c r="B890" t="s">
        <v>1585</v>
      </c>
      <c r="C890" s="4">
        <v>4.2</v>
      </c>
      <c r="D890" s="4">
        <v>200</v>
      </c>
      <c r="E890" t="s">
        <v>1586</v>
      </c>
      <c r="F890" s="4">
        <v>19.017197100000001</v>
      </c>
      <c r="G890">
        <v>73.044353000000001</v>
      </c>
      <c r="H890"/>
    </row>
    <row r="891" spans="1:8">
      <c r="A891" t="s">
        <v>1514</v>
      </c>
      <c r="B891" t="s">
        <v>1587</v>
      </c>
      <c r="C891" s="4">
        <v>4.5999999999999996</v>
      </c>
      <c r="D891" s="4">
        <v>106</v>
      </c>
      <c r="E891" t="s">
        <v>1588</v>
      </c>
      <c r="F891" s="4">
        <v>19.039453999999999</v>
      </c>
      <c r="G891">
        <v>73.071453399999996</v>
      </c>
      <c r="H891"/>
    </row>
    <row r="892" spans="1:8">
      <c r="A892" t="s">
        <v>1514</v>
      </c>
      <c r="B892" t="s">
        <v>1589</v>
      </c>
      <c r="C892" s="4">
        <v>4.2</v>
      </c>
      <c r="D892" s="4">
        <v>6</v>
      </c>
      <c r="E892" t="s">
        <v>1590</v>
      </c>
      <c r="F892" s="4">
        <v>19.036698900000001</v>
      </c>
      <c r="G892">
        <v>73.063908999999995</v>
      </c>
      <c r="H892"/>
    </row>
    <row r="893" spans="1:8">
      <c r="A893" t="s">
        <v>1514</v>
      </c>
      <c r="B893" t="s">
        <v>1591</v>
      </c>
      <c r="C893" s="4">
        <v>4.7</v>
      </c>
      <c r="D893" s="4">
        <v>58</v>
      </c>
      <c r="E893" t="s">
        <v>1592</v>
      </c>
      <c r="F893" s="4">
        <v>19.033724899999999</v>
      </c>
      <c r="G893">
        <v>73.063721099999995</v>
      </c>
      <c r="H893"/>
    </row>
    <row r="894" spans="1:8">
      <c r="A894" t="s">
        <v>1514</v>
      </c>
      <c r="B894" t="s">
        <v>1593</v>
      </c>
      <c r="C894" s="4">
        <v>4.0999999999999996</v>
      </c>
      <c r="D894" s="4">
        <v>808</v>
      </c>
      <c r="E894" t="s">
        <v>1594</v>
      </c>
      <c r="F894" s="4">
        <v>19.027446900000001</v>
      </c>
      <c r="G894">
        <v>73.057933899999995</v>
      </c>
      <c r="H894"/>
    </row>
    <row r="895" spans="1:8">
      <c r="A895" t="s">
        <v>1514</v>
      </c>
      <c r="B895" t="s">
        <v>1302</v>
      </c>
      <c r="C895" s="4">
        <v>4.2</v>
      </c>
      <c r="D895" s="4">
        <v>28</v>
      </c>
      <c r="E895" t="s">
        <v>1303</v>
      </c>
      <c r="F895" s="4">
        <v>19.043312499999999</v>
      </c>
      <c r="G895">
        <v>73.0270625</v>
      </c>
      <c r="H895"/>
    </row>
    <row r="896" spans="1:8">
      <c r="A896" t="s">
        <v>1514</v>
      </c>
      <c r="B896" t="s">
        <v>1595</v>
      </c>
      <c r="C896" s="4">
        <v>4.0999999999999996</v>
      </c>
      <c r="D896" s="4">
        <v>24</v>
      </c>
      <c r="E896" t="s">
        <v>1596</v>
      </c>
      <c r="F896" s="4">
        <v>19.0696099</v>
      </c>
      <c r="G896">
        <v>73.075875699999997</v>
      </c>
      <c r="H896"/>
    </row>
    <row r="897" spans="1:8">
      <c r="A897" t="s">
        <v>1514</v>
      </c>
      <c r="B897" t="s">
        <v>1597</v>
      </c>
      <c r="C897" s="4">
        <v>4.2</v>
      </c>
      <c r="D897" s="4">
        <v>935</v>
      </c>
      <c r="E897" t="s">
        <v>1598</v>
      </c>
      <c r="F897" s="4">
        <v>19.040275999999999</v>
      </c>
      <c r="G897">
        <v>73.076477499999996</v>
      </c>
      <c r="H897"/>
    </row>
    <row r="898" spans="1:8">
      <c r="A898" t="s">
        <v>1514</v>
      </c>
      <c r="B898" t="s">
        <v>1599</v>
      </c>
      <c r="C898" s="4">
        <v>4.0999999999999996</v>
      </c>
      <c r="D898" s="4">
        <v>513</v>
      </c>
      <c r="E898" t="s">
        <v>1600</v>
      </c>
      <c r="F898" s="4">
        <v>19.052339199999999</v>
      </c>
      <c r="G898">
        <v>73.070701099999994</v>
      </c>
      <c r="H898"/>
    </row>
    <row r="899" spans="1:8">
      <c r="A899" t="s">
        <v>1514</v>
      </c>
      <c r="B899" t="s">
        <v>1601</v>
      </c>
      <c r="C899" s="4">
        <v>4</v>
      </c>
      <c r="D899" s="4">
        <v>4460</v>
      </c>
      <c r="E899" t="s">
        <v>1602</v>
      </c>
      <c r="F899" s="4">
        <v>19.044977599999999</v>
      </c>
      <c r="G899">
        <v>73.0643891</v>
      </c>
      <c r="H899"/>
    </row>
    <row r="900" spans="1:8">
      <c r="A900" t="s">
        <v>1514</v>
      </c>
      <c r="B900" t="s">
        <v>1603</v>
      </c>
      <c r="C900" s="4">
        <v>5</v>
      </c>
      <c r="D900" s="4">
        <v>13</v>
      </c>
      <c r="E900" t="s">
        <v>1604</v>
      </c>
      <c r="F900" s="4">
        <v>19.032331500000002</v>
      </c>
      <c r="G900">
        <v>73.067851199999893</v>
      </c>
      <c r="H900"/>
    </row>
    <row r="901" spans="1:8">
      <c r="A901" t="s">
        <v>1514</v>
      </c>
      <c r="B901" t="s">
        <v>1605</v>
      </c>
      <c r="C901" s="4">
        <v>5</v>
      </c>
      <c r="D901" s="4">
        <v>29</v>
      </c>
      <c r="E901" t="s">
        <v>1606</v>
      </c>
      <c r="F901" s="4">
        <v>19.064930100000002</v>
      </c>
      <c r="G901">
        <v>73.077763199999893</v>
      </c>
      <c r="H901"/>
    </row>
    <row r="902" spans="1:8">
      <c r="A902" t="s">
        <v>1607</v>
      </c>
      <c r="B902" t="s">
        <v>1608</v>
      </c>
      <c r="C902" s="4">
        <v>4.4000000000000004</v>
      </c>
      <c r="D902" s="4">
        <v>3106</v>
      </c>
      <c r="E902" t="s">
        <v>1609</v>
      </c>
      <c r="F902" s="4">
        <v>19.041910000000001</v>
      </c>
      <c r="G902">
        <v>72.861122799999904</v>
      </c>
      <c r="H902"/>
    </row>
    <row r="903" spans="1:8">
      <c r="A903" t="s">
        <v>1607</v>
      </c>
      <c r="B903" t="s">
        <v>48</v>
      </c>
      <c r="C903" s="4">
        <v>4.7</v>
      </c>
      <c r="D903" s="4">
        <v>1415</v>
      </c>
      <c r="E903" t="s">
        <v>243</v>
      </c>
      <c r="F903" s="4">
        <v>19.0408896</v>
      </c>
      <c r="G903">
        <v>72.846201800000003</v>
      </c>
      <c r="H903"/>
    </row>
    <row r="904" spans="1:8">
      <c r="A904" t="s">
        <v>1607</v>
      </c>
      <c r="B904" t="s">
        <v>1610</v>
      </c>
      <c r="C904" s="4">
        <v>4.4000000000000004</v>
      </c>
      <c r="D904" s="4">
        <v>76</v>
      </c>
      <c r="E904" t="s">
        <v>1611</v>
      </c>
      <c r="F904" s="4">
        <v>19.041802000000001</v>
      </c>
      <c r="G904">
        <v>72.856489699999997</v>
      </c>
      <c r="H904"/>
    </row>
    <row r="905" spans="1:8">
      <c r="A905" t="s">
        <v>1607</v>
      </c>
      <c r="B905" t="s">
        <v>434</v>
      </c>
      <c r="C905" s="4">
        <v>4.5</v>
      </c>
      <c r="D905" s="4">
        <v>543</v>
      </c>
      <c r="E905" t="s">
        <v>435</v>
      </c>
      <c r="F905" s="4">
        <v>19.0524466</v>
      </c>
      <c r="G905">
        <v>72.828589800000003</v>
      </c>
      <c r="H905"/>
    </row>
    <row r="906" spans="1:8">
      <c r="A906" t="s">
        <v>1607</v>
      </c>
      <c r="B906" t="s">
        <v>1612</v>
      </c>
      <c r="C906" s="4">
        <v>3.9</v>
      </c>
      <c r="D906" s="4">
        <v>759</v>
      </c>
      <c r="E906" t="s">
        <v>1613</v>
      </c>
      <c r="F906" s="4">
        <v>19.046613900000001</v>
      </c>
      <c r="G906">
        <v>72.860266499999994</v>
      </c>
      <c r="H906"/>
    </row>
    <row r="907" spans="1:8">
      <c r="A907" t="s">
        <v>1607</v>
      </c>
      <c r="B907" t="s">
        <v>1614</v>
      </c>
      <c r="C907" s="4">
        <v>4.4000000000000004</v>
      </c>
      <c r="D907" s="4">
        <v>20</v>
      </c>
      <c r="E907" t="s">
        <v>1615</v>
      </c>
      <c r="F907" s="4">
        <v>19.0410942</v>
      </c>
      <c r="G907">
        <v>72.852332099999998</v>
      </c>
      <c r="H907"/>
    </row>
    <row r="908" spans="1:8">
      <c r="A908" t="s">
        <v>1607</v>
      </c>
      <c r="B908" t="s">
        <v>238</v>
      </c>
      <c r="C908" s="4">
        <v>4.4000000000000004</v>
      </c>
      <c r="D908" s="4">
        <v>24600</v>
      </c>
      <c r="E908" t="s">
        <v>239</v>
      </c>
      <c r="F908" s="4">
        <v>19.027620299999999</v>
      </c>
      <c r="G908">
        <v>72.855041499999999</v>
      </c>
      <c r="H908"/>
    </row>
    <row r="909" spans="1:8">
      <c r="A909" t="s">
        <v>1607</v>
      </c>
      <c r="B909" t="s">
        <v>1616</v>
      </c>
      <c r="C909" s="4">
        <v>4</v>
      </c>
      <c r="D909" s="4">
        <v>295</v>
      </c>
      <c r="E909" t="s">
        <v>1617</v>
      </c>
      <c r="F909" s="4">
        <v>19.043622899999999</v>
      </c>
      <c r="G909">
        <v>72.848143999999905</v>
      </c>
      <c r="H909"/>
    </row>
    <row r="910" spans="1:8">
      <c r="A910" t="s">
        <v>1607</v>
      </c>
      <c r="B910" t="s">
        <v>1618</v>
      </c>
      <c r="C910" s="4">
        <v>4.9000000000000004</v>
      </c>
      <c r="D910" s="4">
        <v>33</v>
      </c>
      <c r="E910" t="s">
        <v>1619</v>
      </c>
      <c r="F910" s="4">
        <v>19.043898200000001</v>
      </c>
      <c r="G910">
        <v>72.857706199999996</v>
      </c>
      <c r="H910"/>
    </row>
    <row r="911" spans="1:8">
      <c r="A911" t="s">
        <v>1607</v>
      </c>
      <c r="B911" t="s">
        <v>250</v>
      </c>
      <c r="C911" s="4">
        <v>4.2</v>
      </c>
      <c r="D911" s="4">
        <v>4162</v>
      </c>
      <c r="E911" t="s">
        <v>251</v>
      </c>
      <c r="F911" s="4">
        <v>19.031528699999999</v>
      </c>
      <c r="G911">
        <v>72.838803900000002</v>
      </c>
      <c r="H911"/>
    </row>
    <row r="912" spans="1:8">
      <c r="A912" t="s">
        <v>1607</v>
      </c>
      <c r="B912" t="s">
        <v>1620</v>
      </c>
      <c r="C912" s="4">
        <v>3.9</v>
      </c>
      <c r="D912" s="4">
        <v>936</v>
      </c>
      <c r="E912" t="s">
        <v>1621</v>
      </c>
      <c r="F912" s="4">
        <v>19.045112499999998</v>
      </c>
      <c r="G912">
        <v>72.858642199999906</v>
      </c>
      <c r="H912"/>
    </row>
    <row r="913" spans="1:8">
      <c r="A913" t="s">
        <v>1607</v>
      </c>
      <c r="B913" t="s">
        <v>1622</v>
      </c>
      <c r="C913" s="4">
        <v>3.8</v>
      </c>
      <c r="D913" s="4">
        <v>366</v>
      </c>
      <c r="E913" t="s">
        <v>1623</v>
      </c>
      <c r="F913" s="4">
        <v>19.0415204</v>
      </c>
      <c r="G913">
        <v>72.8557457</v>
      </c>
      <c r="H913"/>
    </row>
    <row r="914" spans="1:8">
      <c r="A914" t="s">
        <v>1607</v>
      </c>
      <c r="B914" t="s">
        <v>1624</v>
      </c>
      <c r="C914" s="4">
        <v>4.0999999999999996</v>
      </c>
      <c r="D914" s="4">
        <v>1096</v>
      </c>
      <c r="E914" t="s">
        <v>1625</v>
      </c>
      <c r="F914" s="4">
        <v>19.042049800000001</v>
      </c>
      <c r="G914">
        <v>72.856475699999905</v>
      </c>
      <c r="H914"/>
    </row>
    <row r="915" spans="1:8">
      <c r="A915" t="s">
        <v>1607</v>
      </c>
      <c r="B915" t="s">
        <v>1626</v>
      </c>
      <c r="C915" s="4">
        <v>4.3</v>
      </c>
      <c r="D915" s="4">
        <v>18</v>
      </c>
      <c r="E915" t="s">
        <v>1627</v>
      </c>
      <c r="F915" s="4">
        <v>19.047924600000002</v>
      </c>
      <c r="G915">
        <v>72.863352599999999</v>
      </c>
      <c r="H915"/>
    </row>
    <row r="916" spans="1:8">
      <c r="A916" t="s">
        <v>1607</v>
      </c>
      <c r="B916" t="s">
        <v>293</v>
      </c>
      <c r="C916" s="4">
        <v>4.3</v>
      </c>
      <c r="D916" s="4">
        <v>1817</v>
      </c>
      <c r="E916" t="s">
        <v>294</v>
      </c>
      <c r="F916" s="4">
        <v>19.0272942</v>
      </c>
      <c r="G916">
        <v>72.854620299999993</v>
      </c>
      <c r="H916"/>
    </row>
    <row r="917" spans="1:8">
      <c r="A917" t="s">
        <v>1607</v>
      </c>
      <c r="B917" t="s">
        <v>1628</v>
      </c>
      <c r="C917" s="4">
        <v>3.8</v>
      </c>
      <c r="D917" s="4">
        <v>1008</v>
      </c>
      <c r="E917" t="s">
        <v>1629</v>
      </c>
      <c r="F917" s="4">
        <v>19.047019800000001</v>
      </c>
      <c r="G917">
        <v>72.852325800000003</v>
      </c>
      <c r="H917"/>
    </row>
    <row r="918" spans="1:8">
      <c r="A918" t="s">
        <v>1607</v>
      </c>
      <c r="B918" t="s">
        <v>1630</v>
      </c>
      <c r="C918" s="4">
        <v>4.3</v>
      </c>
      <c r="D918" s="4">
        <v>54</v>
      </c>
      <c r="E918" t="s">
        <v>1631</v>
      </c>
      <c r="F918" s="4">
        <v>19.0381578</v>
      </c>
      <c r="G918">
        <v>72.853323099999997</v>
      </c>
      <c r="H918"/>
    </row>
    <row r="919" spans="1:8">
      <c r="A919" t="s">
        <v>1607</v>
      </c>
      <c r="B919" t="s">
        <v>416</v>
      </c>
      <c r="C919" s="4">
        <v>4.4000000000000004</v>
      </c>
      <c r="D919" s="4">
        <v>1445</v>
      </c>
      <c r="E919" t="s">
        <v>417</v>
      </c>
      <c r="F919" s="4">
        <v>19.059071400000001</v>
      </c>
      <c r="G919">
        <v>72.834037999999893</v>
      </c>
      <c r="H919"/>
    </row>
    <row r="920" spans="1:8">
      <c r="A920" t="s">
        <v>1607</v>
      </c>
      <c r="B920" t="s">
        <v>1632</v>
      </c>
      <c r="C920" s="4">
        <v>3.9</v>
      </c>
      <c r="D920" s="4">
        <v>303</v>
      </c>
      <c r="E920" t="s">
        <v>1633</v>
      </c>
      <c r="F920" s="4">
        <v>19.038628599999999</v>
      </c>
      <c r="G920">
        <v>72.853916900000002</v>
      </c>
      <c r="H920"/>
    </row>
    <row r="921" spans="1:8">
      <c r="A921" t="s">
        <v>1607</v>
      </c>
      <c r="B921" t="s">
        <v>1634</v>
      </c>
      <c r="C921" s="4">
        <v>3.9</v>
      </c>
      <c r="D921" s="4">
        <v>1381</v>
      </c>
      <c r="E921" t="s">
        <v>1635</v>
      </c>
      <c r="F921" s="4">
        <v>19.0474107</v>
      </c>
      <c r="G921">
        <v>72.860754999999997</v>
      </c>
      <c r="H921"/>
    </row>
    <row r="922" spans="1:8">
      <c r="A922" t="s">
        <v>1607</v>
      </c>
      <c r="B922" t="s">
        <v>1636</v>
      </c>
      <c r="C922" s="4">
        <v>4.0999999999999996</v>
      </c>
      <c r="D922" s="4">
        <v>2387</v>
      </c>
      <c r="E922" t="s">
        <v>1637</v>
      </c>
      <c r="F922" s="4">
        <v>19.038790500000001</v>
      </c>
      <c r="G922">
        <v>72.850883299999893</v>
      </c>
      <c r="H922"/>
    </row>
    <row r="923" spans="1:8">
      <c r="A923" t="s">
        <v>1607</v>
      </c>
      <c r="B923" t="s">
        <v>1638</v>
      </c>
      <c r="C923" s="4">
        <v>4</v>
      </c>
      <c r="D923" s="4">
        <v>54</v>
      </c>
      <c r="E923" t="s">
        <v>1639</v>
      </c>
      <c r="F923" s="4">
        <v>19.043817000000001</v>
      </c>
      <c r="G923">
        <v>72.851374100000001</v>
      </c>
      <c r="H923"/>
    </row>
    <row r="924" spans="1:8">
      <c r="A924" t="s">
        <v>1607</v>
      </c>
      <c r="B924" t="s">
        <v>1640</v>
      </c>
      <c r="C924" s="4">
        <v>3.8</v>
      </c>
      <c r="D924" s="4">
        <v>192</v>
      </c>
      <c r="E924" t="s">
        <v>1641</v>
      </c>
      <c r="F924" s="4">
        <v>19.0437178</v>
      </c>
      <c r="G924">
        <v>72.851175599999905</v>
      </c>
      <c r="H924"/>
    </row>
    <row r="925" spans="1:8">
      <c r="A925" t="s">
        <v>1607</v>
      </c>
      <c r="B925" t="s">
        <v>418</v>
      </c>
      <c r="C925" s="4">
        <v>4.2</v>
      </c>
      <c r="D925" s="4">
        <v>3019</v>
      </c>
      <c r="E925" t="s">
        <v>419</v>
      </c>
      <c r="F925" s="4">
        <v>19.0632296</v>
      </c>
      <c r="G925">
        <v>72.834758499999893</v>
      </c>
      <c r="H925"/>
    </row>
    <row r="926" spans="1:8">
      <c r="A926" t="s">
        <v>1607</v>
      </c>
      <c r="B926" t="s">
        <v>313</v>
      </c>
      <c r="C926" s="4">
        <v>4.2</v>
      </c>
      <c r="D926" s="4">
        <v>5086</v>
      </c>
      <c r="E926" t="s">
        <v>314</v>
      </c>
      <c r="F926" s="4">
        <v>19.0276064</v>
      </c>
      <c r="G926">
        <v>72.855504400000001</v>
      </c>
      <c r="H926"/>
    </row>
    <row r="927" spans="1:8">
      <c r="A927" t="s">
        <v>1607</v>
      </c>
      <c r="B927" t="s">
        <v>1642</v>
      </c>
      <c r="C927" s="4">
        <v>4.2</v>
      </c>
      <c r="D927" s="4">
        <v>32</v>
      </c>
      <c r="E927" t="s">
        <v>1643</v>
      </c>
      <c r="F927" s="4">
        <v>19.043851100000001</v>
      </c>
      <c r="G927">
        <v>72.850586699999994</v>
      </c>
      <c r="H927"/>
    </row>
    <row r="928" spans="1:8">
      <c r="A928" t="s">
        <v>1607</v>
      </c>
      <c r="B928" t="s">
        <v>1644</v>
      </c>
      <c r="C928" s="4">
        <v>4.0999999999999996</v>
      </c>
      <c r="D928" s="4">
        <v>3187</v>
      </c>
      <c r="E928" t="s">
        <v>1645</v>
      </c>
      <c r="F928" s="4">
        <v>19.045294500000001</v>
      </c>
      <c r="G928">
        <v>72.864222499999997</v>
      </c>
      <c r="H928"/>
    </row>
    <row r="929" spans="1:8">
      <c r="A929" t="s">
        <v>1607</v>
      </c>
      <c r="B929" t="s">
        <v>1646</v>
      </c>
      <c r="C929" s="4">
        <v>3.9</v>
      </c>
      <c r="D929" s="4">
        <v>17</v>
      </c>
      <c r="E929" t="s">
        <v>1647</v>
      </c>
      <c r="F929" s="4">
        <v>19.043055800000001</v>
      </c>
      <c r="G929">
        <v>72.850999000000002</v>
      </c>
      <c r="H929"/>
    </row>
    <row r="930" spans="1:8">
      <c r="A930" t="s">
        <v>1607</v>
      </c>
      <c r="B930" t="s">
        <v>1648</v>
      </c>
      <c r="C930" s="4">
        <v>3.8</v>
      </c>
      <c r="D930" s="4">
        <v>94</v>
      </c>
      <c r="E930" t="s">
        <v>1649</v>
      </c>
      <c r="F930" s="4">
        <v>19.045548199999999</v>
      </c>
      <c r="G930">
        <v>72.859397999999999</v>
      </c>
      <c r="H930"/>
    </row>
    <row r="931" spans="1:8">
      <c r="A931" t="s">
        <v>1607</v>
      </c>
      <c r="B931" t="s">
        <v>1650</v>
      </c>
      <c r="C931" s="4">
        <v>3.4</v>
      </c>
      <c r="D931" s="4">
        <v>37</v>
      </c>
      <c r="E931" t="s">
        <v>1651</v>
      </c>
      <c r="F931" s="4">
        <v>19.039620899999999</v>
      </c>
      <c r="G931">
        <v>72.850275400000001</v>
      </c>
      <c r="H931"/>
    </row>
    <row r="932" spans="1:8">
      <c r="A932" t="s">
        <v>1607</v>
      </c>
      <c r="B932" t="s">
        <v>208</v>
      </c>
      <c r="C932" s="4">
        <v>4.0999999999999996</v>
      </c>
      <c r="D932" s="4">
        <v>8457</v>
      </c>
      <c r="E932" t="s">
        <v>209</v>
      </c>
      <c r="F932" s="4">
        <v>19.0168049</v>
      </c>
      <c r="G932">
        <v>72.846186899999907</v>
      </c>
      <c r="H932"/>
    </row>
    <row r="933" spans="1:8">
      <c r="A933" t="s">
        <v>1607</v>
      </c>
      <c r="B933" t="s">
        <v>1652</v>
      </c>
      <c r="C933" s="4">
        <v>3.5</v>
      </c>
      <c r="D933" s="4">
        <v>110</v>
      </c>
      <c r="E933" t="s">
        <v>1653</v>
      </c>
      <c r="F933" s="4">
        <v>19.037456599999999</v>
      </c>
      <c r="G933">
        <v>72.853077900000002</v>
      </c>
      <c r="H933"/>
    </row>
    <row r="934" spans="1:8">
      <c r="A934" t="s">
        <v>1607</v>
      </c>
      <c r="B934" t="s">
        <v>1654</v>
      </c>
      <c r="C934" s="4">
        <v>4.2</v>
      </c>
      <c r="D934" s="4">
        <v>41</v>
      </c>
      <c r="E934" t="s">
        <v>1655</v>
      </c>
      <c r="F934" s="4">
        <v>19.042857600000001</v>
      </c>
      <c r="G934">
        <v>72.857282400000003</v>
      </c>
      <c r="H934"/>
    </row>
    <row r="935" spans="1:8">
      <c r="A935" t="s">
        <v>1607</v>
      </c>
      <c r="B935" t="s">
        <v>1656</v>
      </c>
      <c r="C935" s="4">
        <v>4</v>
      </c>
      <c r="D935" s="4">
        <v>1427</v>
      </c>
      <c r="E935" t="s">
        <v>1657</v>
      </c>
      <c r="F935" s="4">
        <v>19.038035199999999</v>
      </c>
      <c r="G935">
        <v>72.853544200000002</v>
      </c>
      <c r="H935"/>
    </row>
    <row r="936" spans="1:8">
      <c r="A936" t="s">
        <v>1607</v>
      </c>
      <c r="B936" t="s">
        <v>1658</v>
      </c>
      <c r="C936" s="4">
        <v>4.3</v>
      </c>
      <c r="D936" s="4">
        <v>28</v>
      </c>
      <c r="E936" t="s">
        <v>1659</v>
      </c>
      <c r="F936" s="4">
        <v>19.0424218</v>
      </c>
      <c r="G936">
        <v>72.8535605</v>
      </c>
      <c r="H936"/>
    </row>
    <row r="937" spans="1:8">
      <c r="A937" t="s">
        <v>1607</v>
      </c>
      <c r="B937" t="s">
        <v>1660</v>
      </c>
      <c r="C937" s="4">
        <v>4</v>
      </c>
      <c r="D937" s="4">
        <v>236</v>
      </c>
      <c r="E937" t="s">
        <v>1661</v>
      </c>
      <c r="F937" s="4">
        <v>19.043220999999999</v>
      </c>
      <c r="G937">
        <v>72.847906999999907</v>
      </c>
      <c r="H937"/>
    </row>
    <row r="938" spans="1:8">
      <c r="A938" t="s">
        <v>1607</v>
      </c>
      <c r="B938" t="s">
        <v>1662</v>
      </c>
      <c r="C938" s="4">
        <v>4</v>
      </c>
      <c r="D938" s="4">
        <v>71</v>
      </c>
      <c r="E938" t="s">
        <v>1663</v>
      </c>
      <c r="F938" s="4">
        <v>19.0456292</v>
      </c>
      <c r="G938">
        <v>72.848022999999998</v>
      </c>
      <c r="H938"/>
    </row>
    <row r="939" spans="1:8">
      <c r="A939" t="s">
        <v>1607</v>
      </c>
      <c r="B939" t="s">
        <v>1664</v>
      </c>
      <c r="C939" s="4">
        <v>4.5</v>
      </c>
      <c r="D939" s="4">
        <v>4</v>
      </c>
      <c r="E939" t="s">
        <v>1665</v>
      </c>
      <c r="F939" s="4">
        <v>19.046265200000001</v>
      </c>
      <c r="G939">
        <v>72.857750600000003</v>
      </c>
      <c r="H939"/>
    </row>
    <row r="940" spans="1:8">
      <c r="A940" t="s">
        <v>1607</v>
      </c>
      <c r="B940" t="s">
        <v>1666</v>
      </c>
      <c r="C940" s="4">
        <v>3.9</v>
      </c>
      <c r="D940" s="4">
        <v>10</v>
      </c>
      <c r="E940" t="s">
        <v>1667</v>
      </c>
      <c r="F940" s="4">
        <v>19.043562300000001</v>
      </c>
      <c r="G940">
        <v>72.847505999999996</v>
      </c>
      <c r="H940"/>
    </row>
    <row r="941" spans="1:8">
      <c r="A941" t="s">
        <v>1607</v>
      </c>
      <c r="B941" t="s">
        <v>1668</v>
      </c>
      <c r="C941" s="4">
        <v>5</v>
      </c>
      <c r="D941" s="4">
        <v>1</v>
      </c>
      <c r="E941" t="s">
        <v>1669</v>
      </c>
      <c r="F941" s="4">
        <v>19.044955900000001</v>
      </c>
      <c r="G941">
        <v>72.852566899999999</v>
      </c>
      <c r="H941"/>
    </row>
    <row r="942" spans="1:8">
      <c r="A942" t="s">
        <v>1607</v>
      </c>
      <c r="B942" t="s">
        <v>900</v>
      </c>
      <c r="C942" s="4">
        <v>3.8</v>
      </c>
      <c r="D942" s="4">
        <v>54</v>
      </c>
      <c r="E942" t="s">
        <v>901</v>
      </c>
      <c r="F942" s="4">
        <v>19.0537642</v>
      </c>
      <c r="G942">
        <v>72.851673499999904</v>
      </c>
      <c r="H942"/>
    </row>
    <row r="943" spans="1:8">
      <c r="A943" t="s">
        <v>1607</v>
      </c>
      <c r="B943" t="s">
        <v>1670</v>
      </c>
      <c r="C943" s="4">
        <v>3.7</v>
      </c>
      <c r="D943" s="4">
        <v>1095</v>
      </c>
      <c r="E943" t="s">
        <v>1671</v>
      </c>
      <c r="F943" s="4">
        <v>19.035401</v>
      </c>
      <c r="G943">
        <v>72.852856299999999</v>
      </c>
      <c r="H943"/>
    </row>
    <row r="944" spans="1:8">
      <c r="A944" t="s">
        <v>1607</v>
      </c>
      <c r="B944" t="s">
        <v>1672</v>
      </c>
      <c r="C944" s="4">
        <v>4.8</v>
      </c>
      <c r="D944" s="4">
        <v>260</v>
      </c>
      <c r="E944" t="s">
        <v>1673</v>
      </c>
      <c r="F944" s="4">
        <v>19.051199</v>
      </c>
      <c r="G944">
        <v>72.864183699999998</v>
      </c>
      <c r="H944"/>
    </row>
    <row r="945" spans="1:8">
      <c r="A945" t="s">
        <v>1607</v>
      </c>
      <c r="B945" t="s">
        <v>1674</v>
      </c>
      <c r="C945" s="4">
        <v>3.7</v>
      </c>
      <c r="D945" s="4">
        <v>66</v>
      </c>
      <c r="E945" t="s">
        <v>1675</v>
      </c>
      <c r="F945" s="4">
        <v>19.042036100000001</v>
      </c>
      <c r="G945">
        <v>72.856076599999994</v>
      </c>
      <c r="H945"/>
    </row>
    <row r="946" spans="1:8">
      <c r="A946" t="s">
        <v>1607</v>
      </c>
      <c r="B946" t="s">
        <v>1676</v>
      </c>
      <c r="C946" s="4">
        <v>4.3</v>
      </c>
      <c r="D946" s="4">
        <v>35428</v>
      </c>
      <c r="E946" t="s">
        <v>1677</v>
      </c>
      <c r="F946" s="4">
        <v>19.0429043</v>
      </c>
      <c r="G946">
        <v>72.861876499999994</v>
      </c>
      <c r="H946"/>
    </row>
    <row r="947" spans="1:8">
      <c r="A947" t="s">
        <v>1607</v>
      </c>
      <c r="B947" t="s">
        <v>1678</v>
      </c>
      <c r="C947" s="4">
        <v>5</v>
      </c>
      <c r="D947" s="4">
        <v>1</v>
      </c>
      <c r="E947" t="s">
        <v>1679</v>
      </c>
      <c r="F947" s="4">
        <v>19.041708199999999</v>
      </c>
      <c r="G947">
        <v>72.848399000000001</v>
      </c>
      <c r="H947"/>
    </row>
    <row r="948" spans="1:8">
      <c r="A948" t="s">
        <v>1607</v>
      </c>
      <c r="B948" t="s">
        <v>1680</v>
      </c>
      <c r="C948" s="4">
        <v>4</v>
      </c>
      <c r="D948" s="4">
        <v>235</v>
      </c>
      <c r="E948" t="s">
        <v>1681</v>
      </c>
      <c r="F948" s="4">
        <v>19.0441161</v>
      </c>
      <c r="G948">
        <v>72.851426099999998</v>
      </c>
      <c r="H948"/>
    </row>
    <row r="949" spans="1:8">
      <c r="A949" t="s">
        <v>1607</v>
      </c>
      <c r="B949" t="s">
        <v>1682</v>
      </c>
      <c r="C949" s="4">
        <v>4.2</v>
      </c>
      <c r="D949" s="4">
        <v>29</v>
      </c>
      <c r="E949" t="s">
        <v>1683</v>
      </c>
      <c r="F949" s="4">
        <v>19.038103599999999</v>
      </c>
      <c r="G949">
        <v>72.853419700000003</v>
      </c>
      <c r="H949"/>
    </row>
    <row r="950" spans="1:8">
      <c r="A950" t="s">
        <v>1607</v>
      </c>
      <c r="B950" t="s">
        <v>482</v>
      </c>
      <c r="C950" s="4">
        <v>4.7</v>
      </c>
      <c r="D950" s="4">
        <v>261</v>
      </c>
      <c r="E950" t="s">
        <v>483</v>
      </c>
      <c r="F950" s="4">
        <v>19.0519426</v>
      </c>
      <c r="G950">
        <v>72.829369</v>
      </c>
      <c r="H950"/>
    </row>
    <row r="951" spans="1:8">
      <c r="A951" t="s">
        <v>1607</v>
      </c>
      <c r="B951" t="s">
        <v>424</v>
      </c>
      <c r="C951" s="4">
        <v>4.2</v>
      </c>
      <c r="D951" s="4">
        <v>967</v>
      </c>
      <c r="E951" t="s">
        <v>425</v>
      </c>
      <c r="F951" s="4">
        <v>19.062470900000001</v>
      </c>
      <c r="G951">
        <v>72.8310496</v>
      </c>
      <c r="H951"/>
    </row>
    <row r="952" spans="1:8">
      <c r="A952" t="s">
        <v>1607</v>
      </c>
      <c r="B952" t="s">
        <v>1684</v>
      </c>
      <c r="C952" s="4">
        <v>4.2</v>
      </c>
      <c r="D952" s="4">
        <v>25</v>
      </c>
      <c r="E952" t="s">
        <v>1685</v>
      </c>
      <c r="F952" s="4">
        <v>19.044892300000001</v>
      </c>
      <c r="G952">
        <v>72.864584699999995</v>
      </c>
      <c r="H952"/>
    </row>
    <row r="953" spans="1:8">
      <c r="A953" t="s">
        <v>1607</v>
      </c>
      <c r="B953" t="s">
        <v>848</v>
      </c>
      <c r="C953" s="4">
        <v>4.5</v>
      </c>
      <c r="D953" s="4">
        <v>2570</v>
      </c>
      <c r="E953" t="s">
        <v>849</v>
      </c>
      <c r="F953" s="4">
        <v>19.067784</v>
      </c>
      <c r="G953">
        <v>72.868971799999997</v>
      </c>
      <c r="H953"/>
    </row>
    <row r="954" spans="1:8">
      <c r="A954" t="s">
        <v>1607</v>
      </c>
      <c r="B954" t="s">
        <v>1686</v>
      </c>
      <c r="C954" s="4">
        <v>3.2</v>
      </c>
      <c r="D954" s="4">
        <v>5</v>
      </c>
      <c r="E954" t="s">
        <v>1687</v>
      </c>
      <c r="F954" s="4">
        <v>19.046849300000002</v>
      </c>
      <c r="G954">
        <v>72.852132299999994</v>
      </c>
      <c r="H954"/>
    </row>
    <row r="955" spans="1:8">
      <c r="A955" t="s">
        <v>1607</v>
      </c>
      <c r="B955" t="s">
        <v>1688</v>
      </c>
      <c r="C955" s="4">
        <v>3.4</v>
      </c>
      <c r="D955" s="4">
        <v>24</v>
      </c>
      <c r="E955" t="s">
        <v>1689</v>
      </c>
      <c r="F955" s="4">
        <v>19.043824999999998</v>
      </c>
      <c r="G955">
        <v>72.848335499999905</v>
      </c>
      <c r="H955"/>
    </row>
    <row r="956" spans="1:8">
      <c r="A956" t="s">
        <v>1607</v>
      </c>
      <c r="B956" t="s">
        <v>1690</v>
      </c>
      <c r="C956" s="4">
        <v>3.8</v>
      </c>
      <c r="D956" s="4">
        <v>11</v>
      </c>
      <c r="E956" t="s">
        <v>1691</v>
      </c>
      <c r="F956" s="4">
        <v>19.050506599999999</v>
      </c>
      <c r="G956">
        <v>72.865108399999997</v>
      </c>
      <c r="H956"/>
    </row>
    <row r="957" spans="1:8">
      <c r="A957" t="s">
        <v>1607</v>
      </c>
      <c r="B957" t="s">
        <v>230</v>
      </c>
      <c r="C957" s="4">
        <v>4.5</v>
      </c>
      <c r="D957" s="4">
        <v>774</v>
      </c>
      <c r="E957" t="s">
        <v>231</v>
      </c>
      <c r="F957" s="4">
        <v>19.019539099999999</v>
      </c>
      <c r="G957">
        <v>72.831898199999998</v>
      </c>
      <c r="H957"/>
    </row>
    <row r="958" spans="1:8">
      <c r="A958" t="s">
        <v>1607</v>
      </c>
      <c r="B958" t="s">
        <v>1692</v>
      </c>
      <c r="C958" s="4">
        <v>3.9</v>
      </c>
      <c r="D958" s="4">
        <v>482</v>
      </c>
      <c r="E958" t="s">
        <v>1693</v>
      </c>
      <c r="F958" s="4">
        <v>19.042317100000002</v>
      </c>
      <c r="G958">
        <v>72.856722099999999</v>
      </c>
      <c r="H958"/>
    </row>
    <row r="959" spans="1:8">
      <c r="A959" t="s">
        <v>1607</v>
      </c>
      <c r="B959" t="s">
        <v>1694</v>
      </c>
      <c r="C959" s="4">
        <v>5</v>
      </c>
      <c r="D959" s="4">
        <v>5</v>
      </c>
      <c r="E959" t="s">
        <v>1695</v>
      </c>
      <c r="F959" s="4">
        <v>19.046227600000002</v>
      </c>
      <c r="G959">
        <v>72.859600200000003</v>
      </c>
      <c r="H959"/>
    </row>
    <row r="960" spans="1:8">
      <c r="A960" t="s">
        <v>1607</v>
      </c>
      <c r="B960" t="s">
        <v>1696</v>
      </c>
      <c r="C960" s="4">
        <v>3.6</v>
      </c>
      <c r="D960" s="4">
        <v>211</v>
      </c>
      <c r="E960" t="s">
        <v>1697</v>
      </c>
      <c r="F960" s="4">
        <v>19.041358899999999</v>
      </c>
      <c r="G960">
        <v>72.855917499999904</v>
      </c>
      <c r="H960"/>
    </row>
    <row r="961" spans="1:8">
      <c r="A961" t="s">
        <v>1607</v>
      </c>
      <c r="B961" t="s">
        <v>410</v>
      </c>
      <c r="C961" s="4">
        <v>4.5</v>
      </c>
      <c r="D961" s="4">
        <v>3809</v>
      </c>
      <c r="E961" t="s">
        <v>411</v>
      </c>
      <c r="F961" s="4">
        <v>19.060597900000001</v>
      </c>
      <c r="G961">
        <v>72.824389999999994</v>
      </c>
      <c r="H961"/>
    </row>
    <row r="962" spans="1:8">
      <c r="A962" t="s">
        <v>1698</v>
      </c>
      <c r="B962" t="s">
        <v>428</v>
      </c>
      <c r="C962" s="4">
        <v>4.3</v>
      </c>
      <c r="D962" s="4">
        <v>9381</v>
      </c>
      <c r="E962" t="s">
        <v>1699</v>
      </c>
      <c r="F962" s="4">
        <v>19.116927700000002</v>
      </c>
      <c r="G962">
        <v>72.909896799999999</v>
      </c>
      <c r="H962"/>
    </row>
    <row r="963" spans="1:8">
      <c r="A963" t="s">
        <v>1698</v>
      </c>
      <c r="B963" t="s">
        <v>190</v>
      </c>
      <c r="C963" s="4">
        <v>4.4000000000000004</v>
      </c>
      <c r="D963" s="4">
        <v>2129</v>
      </c>
      <c r="E963" t="s">
        <v>1700</v>
      </c>
      <c r="F963" s="4">
        <v>19.115683799999999</v>
      </c>
      <c r="G963">
        <v>72.9090305</v>
      </c>
      <c r="H963"/>
    </row>
    <row r="964" spans="1:8">
      <c r="A964" t="s">
        <v>1698</v>
      </c>
      <c r="B964" t="s">
        <v>1701</v>
      </c>
      <c r="C964" s="4">
        <v>4.2</v>
      </c>
      <c r="D964" s="4">
        <v>397</v>
      </c>
      <c r="E964" t="s">
        <v>1702</v>
      </c>
      <c r="F964" s="4">
        <v>19.117204999999998</v>
      </c>
      <c r="G964">
        <v>72.909686299999905</v>
      </c>
      <c r="H964"/>
    </row>
    <row r="965" spans="1:8">
      <c r="A965" t="s">
        <v>1698</v>
      </c>
      <c r="B965" t="s">
        <v>1703</v>
      </c>
      <c r="C965" s="4">
        <v>4</v>
      </c>
      <c r="D965" s="4">
        <v>4099</v>
      </c>
      <c r="E965" t="s">
        <v>1704</v>
      </c>
      <c r="F965" s="4">
        <v>19.116056199999999</v>
      </c>
      <c r="G965">
        <v>72.908977499999907</v>
      </c>
      <c r="H965"/>
    </row>
    <row r="966" spans="1:8">
      <c r="A966" t="s">
        <v>1698</v>
      </c>
      <c r="B966" t="s">
        <v>1705</v>
      </c>
      <c r="C966" s="4">
        <v>4.7</v>
      </c>
      <c r="D966" s="4">
        <v>7350</v>
      </c>
      <c r="E966" t="s">
        <v>1706</v>
      </c>
      <c r="F966" s="4">
        <v>19.134335100000001</v>
      </c>
      <c r="G966">
        <v>72.901352899999907</v>
      </c>
      <c r="H966"/>
    </row>
    <row r="967" spans="1:8">
      <c r="A967" t="s">
        <v>1698</v>
      </c>
      <c r="B967" t="s">
        <v>1707</v>
      </c>
      <c r="C967" s="4">
        <v>4.7</v>
      </c>
      <c r="D967" s="4">
        <v>22</v>
      </c>
      <c r="E967" t="s">
        <v>1708</v>
      </c>
      <c r="F967" s="4">
        <v>19.120161499999998</v>
      </c>
      <c r="G967">
        <v>72.916308299999997</v>
      </c>
      <c r="H967"/>
    </row>
    <row r="968" spans="1:8">
      <c r="A968" t="s">
        <v>1698</v>
      </c>
      <c r="B968" t="s">
        <v>1709</v>
      </c>
      <c r="C968" s="4">
        <v>4.2</v>
      </c>
      <c r="D968" s="4">
        <v>4372</v>
      </c>
      <c r="E968" t="s">
        <v>1710</v>
      </c>
      <c r="F968" s="4">
        <v>19.1205079</v>
      </c>
      <c r="G968">
        <v>72.909278200000003</v>
      </c>
      <c r="H968"/>
    </row>
    <row r="969" spans="1:8">
      <c r="A969" t="s">
        <v>1698</v>
      </c>
      <c r="B969" t="s">
        <v>140</v>
      </c>
      <c r="C969" s="4">
        <v>3.8</v>
      </c>
      <c r="D969" s="4">
        <v>736</v>
      </c>
      <c r="E969" t="s">
        <v>1711</v>
      </c>
      <c r="F969" s="4">
        <v>19.1186878</v>
      </c>
      <c r="G969">
        <v>72.911358100000001</v>
      </c>
      <c r="H969"/>
    </row>
    <row r="970" spans="1:8">
      <c r="A970" t="s">
        <v>1698</v>
      </c>
      <c r="B970" t="s">
        <v>1712</v>
      </c>
      <c r="C970" s="4">
        <v>4.5</v>
      </c>
      <c r="D970" s="4">
        <v>853</v>
      </c>
      <c r="E970" t="s">
        <v>1713</v>
      </c>
      <c r="F970" s="4">
        <v>19.1307887</v>
      </c>
      <c r="G970">
        <v>72.917240699999994</v>
      </c>
      <c r="H970"/>
    </row>
    <row r="971" spans="1:8">
      <c r="A971" t="s">
        <v>1698</v>
      </c>
      <c r="B971" t="s">
        <v>1714</v>
      </c>
      <c r="C971" s="4">
        <v>4.5</v>
      </c>
      <c r="D971" s="4">
        <v>6775</v>
      </c>
      <c r="E971" t="s">
        <v>1715</v>
      </c>
      <c r="F971" s="4">
        <v>19.120090900000001</v>
      </c>
      <c r="G971">
        <v>72.907065500000002</v>
      </c>
      <c r="H971"/>
    </row>
    <row r="972" spans="1:8">
      <c r="A972" t="s">
        <v>1698</v>
      </c>
      <c r="B972" t="s">
        <v>1716</v>
      </c>
      <c r="C972" s="4">
        <v>4.8</v>
      </c>
      <c r="D972" s="4">
        <v>172</v>
      </c>
      <c r="E972" t="s">
        <v>1717</v>
      </c>
      <c r="F972" s="4">
        <v>19.116477100000001</v>
      </c>
      <c r="G972">
        <v>72.901579299999995</v>
      </c>
      <c r="H972"/>
    </row>
    <row r="973" spans="1:8">
      <c r="A973" t="s">
        <v>1698</v>
      </c>
      <c r="B973" t="s">
        <v>1718</v>
      </c>
      <c r="C973" s="4">
        <v>4.0999999999999996</v>
      </c>
      <c r="D973" s="4">
        <v>333</v>
      </c>
      <c r="E973" t="s">
        <v>1719</v>
      </c>
      <c r="F973" s="4">
        <v>19.132177500000001</v>
      </c>
      <c r="G973">
        <v>72.915937200000002</v>
      </c>
      <c r="H973"/>
    </row>
    <row r="974" spans="1:8">
      <c r="A974" t="s">
        <v>1698</v>
      </c>
      <c r="B974" t="s">
        <v>140</v>
      </c>
      <c r="C974" s="4">
        <v>4</v>
      </c>
      <c r="D974" s="4">
        <v>1373</v>
      </c>
      <c r="E974" t="s">
        <v>1720</v>
      </c>
      <c r="F974" s="4">
        <v>19.119576599999998</v>
      </c>
      <c r="G974">
        <v>72.901091199999996</v>
      </c>
      <c r="H974"/>
    </row>
    <row r="975" spans="1:8">
      <c r="A975" t="s">
        <v>1698</v>
      </c>
      <c r="B975" t="s">
        <v>1721</v>
      </c>
      <c r="C975" s="4">
        <v>4.2</v>
      </c>
      <c r="D975" s="4">
        <v>2522</v>
      </c>
      <c r="E975" t="s">
        <v>1722</v>
      </c>
      <c r="F975" s="4">
        <v>19.119988599999999</v>
      </c>
      <c r="G975">
        <v>72.907105099999995</v>
      </c>
      <c r="H975"/>
    </row>
    <row r="976" spans="1:8">
      <c r="A976" t="s">
        <v>1698</v>
      </c>
      <c r="B976" t="s">
        <v>1723</v>
      </c>
      <c r="C976" s="4">
        <v>4.2</v>
      </c>
      <c r="D976" s="4">
        <v>1327</v>
      </c>
      <c r="E976" t="s">
        <v>1724</v>
      </c>
      <c r="F976" s="4">
        <v>19.120491399999999</v>
      </c>
      <c r="G976">
        <v>72.909051300000002</v>
      </c>
      <c r="H976"/>
    </row>
    <row r="977" spans="1:8">
      <c r="A977" t="s">
        <v>1698</v>
      </c>
      <c r="B977" t="s">
        <v>1725</v>
      </c>
      <c r="C977" s="4">
        <v>4.4000000000000004</v>
      </c>
      <c r="D977" s="4">
        <v>4025</v>
      </c>
      <c r="E977" t="s">
        <v>1726</v>
      </c>
      <c r="F977" s="4">
        <v>19.115667699999999</v>
      </c>
      <c r="G977">
        <v>72.908939699999905</v>
      </c>
      <c r="H977"/>
    </row>
    <row r="978" spans="1:8">
      <c r="A978" t="s">
        <v>1698</v>
      </c>
      <c r="B978" t="s">
        <v>1727</v>
      </c>
      <c r="C978" s="4">
        <v>4.0999999999999996</v>
      </c>
      <c r="D978" s="4">
        <v>4794</v>
      </c>
      <c r="E978" t="s">
        <v>1728</v>
      </c>
      <c r="F978" s="4">
        <v>19.114965300000001</v>
      </c>
      <c r="G978">
        <v>72.888896799999998</v>
      </c>
      <c r="H978"/>
    </row>
    <row r="979" spans="1:8">
      <c r="A979" t="s">
        <v>1698</v>
      </c>
      <c r="B979" t="s">
        <v>532</v>
      </c>
      <c r="C979" s="4">
        <v>4.5999999999999996</v>
      </c>
      <c r="D979" s="4">
        <v>2589</v>
      </c>
      <c r="E979" t="s">
        <v>533</v>
      </c>
      <c r="F979" s="4">
        <v>19.109420400000001</v>
      </c>
      <c r="G979">
        <v>72.881181099999907</v>
      </c>
      <c r="H979"/>
    </row>
    <row r="980" spans="1:8">
      <c r="A980" t="s">
        <v>1698</v>
      </c>
      <c r="B980" t="s">
        <v>1729</v>
      </c>
      <c r="C980" s="4">
        <v>4.4000000000000004</v>
      </c>
      <c r="D980" s="4">
        <v>3358</v>
      </c>
      <c r="E980" t="s">
        <v>1730</v>
      </c>
      <c r="F980" s="4">
        <v>19.120169799999999</v>
      </c>
      <c r="G980">
        <v>72.907008500000003</v>
      </c>
      <c r="H980"/>
    </row>
    <row r="981" spans="1:8">
      <c r="A981" t="s">
        <v>1698</v>
      </c>
      <c r="B981" t="s">
        <v>123</v>
      </c>
      <c r="C981" s="4">
        <v>4.4000000000000004</v>
      </c>
      <c r="D981" s="4">
        <v>850</v>
      </c>
      <c r="E981" t="s">
        <v>1731</v>
      </c>
      <c r="F981" s="4">
        <v>19.116104</v>
      </c>
      <c r="G981">
        <v>72.909806000000003</v>
      </c>
      <c r="H981"/>
    </row>
    <row r="982" spans="1:8">
      <c r="A982" t="s">
        <v>1698</v>
      </c>
      <c r="B982" t="s">
        <v>1732</v>
      </c>
      <c r="C982" s="4">
        <v>4.5999999999999996</v>
      </c>
      <c r="D982" s="4">
        <v>147</v>
      </c>
      <c r="E982" t="s">
        <v>1733</v>
      </c>
      <c r="F982" s="4">
        <v>19.122349</v>
      </c>
      <c r="G982">
        <v>72.908635099999998</v>
      </c>
      <c r="H982"/>
    </row>
    <row r="983" spans="1:8">
      <c r="A983" t="s">
        <v>1698</v>
      </c>
      <c r="B983" t="s">
        <v>1734</v>
      </c>
      <c r="C983" s="4">
        <v>4</v>
      </c>
      <c r="D983" s="4">
        <v>428</v>
      </c>
      <c r="E983" t="s">
        <v>1735</v>
      </c>
      <c r="F983" s="4">
        <v>19.125161599999998</v>
      </c>
      <c r="G983">
        <v>72.919349499999996</v>
      </c>
      <c r="H983"/>
    </row>
    <row r="984" spans="1:8">
      <c r="A984" t="s">
        <v>1698</v>
      </c>
      <c r="B984" t="s">
        <v>1736</v>
      </c>
      <c r="C984" s="4">
        <v>4.4000000000000004</v>
      </c>
      <c r="D984" s="4">
        <v>342</v>
      </c>
      <c r="E984" t="s">
        <v>1737</v>
      </c>
      <c r="F984" s="4">
        <v>19.119866099999999</v>
      </c>
      <c r="G984">
        <v>72.908950099999998</v>
      </c>
      <c r="H984"/>
    </row>
    <row r="985" spans="1:8">
      <c r="A985" t="s">
        <v>1698</v>
      </c>
      <c r="B985" t="s">
        <v>1738</v>
      </c>
      <c r="C985" s="4">
        <v>4.4000000000000004</v>
      </c>
      <c r="D985" s="4">
        <v>2632</v>
      </c>
      <c r="E985" t="s">
        <v>1739</v>
      </c>
      <c r="F985" s="4">
        <v>19.1234246</v>
      </c>
      <c r="G985">
        <v>72.912469599999994</v>
      </c>
      <c r="H985"/>
    </row>
    <row r="986" spans="1:8">
      <c r="A986" t="s">
        <v>1698</v>
      </c>
      <c r="B986" t="s">
        <v>1740</v>
      </c>
      <c r="C986" s="4">
        <v>4.2</v>
      </c>
      <c r="D986" s="4">
        <v>16998</v>
      </c>
      <c r="E986" t="s">
        <v>1741</v>
      </c>
      <c r="F986" s="4">
        <v>19.110952699999999</v>
      </c>
      <c r="G986">
        <v>72.908296699999994</v>
      </c>
      <c r="H986"/>
    </row>
    <row r="987" spans="1:8">
      <c r="A987" t="s">
        <v>1698</v>
      </c>
      <c r="B987" t="s">
        <v>1742</v>
      </c>
      <c r="C987" s="4">
        <v>4.3</v>
      </c>
      <c r="D987" s="4">
        <v>352</v>
      </c>
      <c r="E987" t="s">
        <v>1743</v>
      </c>
      <c r="F987" s="4">
        <v>19.110046100000002</v>
      </c>
      <c r="G987">
        <v>72.888003799999893</v>
      </c>
      <c r="H987"/>
    </row>
    <row r="988" spans="1:8">
      <c r="A988" t="s">
        <v>1698</v>
      </c>
      <c r="B988" t="s">
        <v>1744</v>
      </c>
      <c r="C988" s="4">
        <v>4.2</v>
      </c>
      <c r="D988" s="4">
        <v>11298</v>
      </c>
      <c r="E988" t="s">
        <v>1745</v>
      </c>
      <c r="F988" s="4">
        <v>19.119916700000001</v>
      </c>
      <c r="G988">
        <v>72.907131300000003</v>
      </c>
      <c r="H988"/>
    </row>
    <row r="989" spans="1:8">
      <c r="A989" t="s">
        <v>1698</v>
      </c>
      <c r="B989" t="s">
        <v>1033</v>
      </c>
      <c r="C989" s="4">
        <v>4.5999999999999996</v>
      </c>
      <c r="D989" s="4">
        <v>284</v>
      </c>
      <c r="E989" t="s">
        <v>1034</v>
      </c>
      <c r="F989" s="4">
        <v>19.093147200000001</v>
      </c>
      <c r="G989">
        <v>72.920238499999996</v>
      </c>
      <c r="H989"/>
    </row>
    <row r="990" spans="1:8">
      <c r="A990" t="s">
        <v>1698</v>
      </c>
      <c r="B990" t="s">
        <v>964</v>
      </c>
      <c r="C990" s="4">
        <v>4.2</v>
      </c>
      <c r="D990" s="4">
        <v>1699</v>
      </c>
      <c r="E990" t="s">
        <v>965</v>
      </c>
      <c r="F990" s="4">
        <v>19.099355800000001</v>
      </c>
      <c r="G990">
        <v>72.916342099999994</v>
      </c>
      <c r="H990"/>
    </row>
    <row r="991" spans="1:8">
      <c r="A991" t="s">
        <v>1698</v>
      </c>
      <c r="B991" t="s">
        <v>1746</v>
      </c>
      <c r="C991" s="4">
        <v>4.2</v>
      </c>
      <c r="D991" s="4">
        <v>749</v>
      </c>
      <c r="E991" t="s">
        <v>1747</v>
      </c>
      <c r="F991" s="4">
        <v>19.120491399999999</v>
      </c>
      <c r="G991">
        <v>72.909051300000002</v>
      </c>
      <c r="H991"/>
    </row>
    <row r="992" spans="1:8">
      <c r="A992" t="s">
        <v>1698</v>
      </c>
      <c r="B992" t="s">
        <v>1748</v>
      </c>
      <c r="C992" s="4">
        <v>3.9</v>
      </c>
      <c r="D992" s="4">
        <v>108</v>
      </c>
      <c r="E992" t="s">
        <v>1749</v>
      </c>
      <c r="F992" s="4">
        <v>19.130005300000001</v>
      </c>
      <c r="G992">
        <v>72.918790099999995</v>
      </c>
      <c r="H992"/>
    </row>
    <row r="993" spans="1:8">
      <c r="A993" t="s">
        <v>1698</v>
      </c>
      <c r="B993" t="s">
        <v>123</v>
      </c>
      <c r="C993" s="4">
        <v>4.5</v>
      </c>
      <c r="D993" s="4">
        <v>316</v>
      </c>
      <c r="E993" t="s">
        <v>1750</v>
      </c>
      <c r="F993" s="4">
        <v>19.119738999999999</v>
      </c>
      <c r="G993">
        <v>72.908049899999995</v>
      </c>
      <c r="H993"/>
    </row>
    <row r="994" spans="1:8">
      <c r="A994" t="s">
        <v>1698</v>
      </c>
      <c r="B994" t="s">
        <v>1751</v>
      </c>
      <c r="C994" s="4">
        <v>4.5999999999999996</v>
      </c>
      <c r="D994" s="4">
        <v>12095</v>
      </c>
      <c r="E994" t="s">
        <v>1752</v>
      </c>
      <c r="F994" s="4">
        <v>19.119808800000001</v>
      </c>
      <c r="G994">
        <v>72.907341199999905</v>
      </c>
      <c r="H994"/>
    </row>
    <row r="995" spans="1:8">
      <c r="A995" t="s">
        <v>1698</v>
      </c>
      <c r="B995" t="s">
        <v>1753</v>
      </c>
      <c r="C995" s="4">
        <v>3.9</v>
      </c>
      <c r="D995" s="4">
        <v>673</v>
      </c>
      <c r="E995" t="s">
        <v>1754</v>
      </c>
      <c r="F995" s="4">
        <v>19.1117472</v>
      </c>
      <c r="G995">
        <v>72.909514299999998</v>
      </c>
      <c r="H995"/>
    </row>
    <row r="996" spans="1:8">
      <c r="A996" t="s">
        <v>1698</v>
      </c>
      <c r="B996" t="s">
        <v>1755</v>
      </c>
      <c r="C996" s="4">
        <v>4.4000000000000004</v>
      </c>
      <c r="D996" s="4">
        <v>19</v>
      </c>
      <c r="E996" t="s">
        <v>1756</v>
      </c>
      <c r="F996" s="4">
        <v>19.112470299999998</v>
      </c>
      <c r="G996">
        <v>72.897706900000003</v>
      </c>
      <c r="H996"/>
    </row>
    <row r="997" spans="1:8">
      <c r="A997" t="s">
        <v>1698</v>
      </c>
      <c r="B997" t="s">
        <v>1757</v>
      </c>
      <c r="C997" s="4">
        <v>4.3</v>
      </c>
      <c r="D997" s="4">
        <v>866</v>
      </c>
      <c r="E997" t="s">
        <v>1758</v>
      </c>
      <c r="F997" s="4">
        <v>19.120558800000001</v>
      </c>
      <c r="G997">
        <v>72.909351399999906</v>
      </c>
      <c r="H997"/>
    </row>
    <row r="998" spans="1:8">
      <c r="A998" t="s">
        <v>1698</v>
      </c>
      <c r="B998" t="s">
        <v>1759</v>
      </c>
      <c r="C998" s="4">
        <v>4.2</v>
      </c>
      <c r="D998" s="4">
        <v>65</v>
      </c>
      <c r="E998" t="s">
        <v>1760</v>
      </c>
      <c r="F998" s="4">
        <v>19.132683700000001</v>
      </c>
      <c r="G998">
        <v>72.916424699999993</v>
      </c>
      <c r="H998"/>
    </row>
    <row r="999" spans="1:8">
      <c r="A999" t="s">
        <v>1698</v>
      </c>
      <c r="B999" t="s">
        <v>1761</v>
      </c>
      <c r="C999" s="4">
        <v>4.5999999999999996</v>
      </c>
      <c r="D999" s="4">
        <v>29</v>
      </c>
      <c r="E999" t="s">
        <v>1762</v>
      </c>
      <c r="F999" s="4">
        <v>19.118979100000001</v>
      </c>
      <c r="G999">
        <v>72.912512100000001</v>
      </c>
      <c r="H999"/>
    </row>
    <row r="1000" spans="1:8">
      <c r="A1000" t="s">
        <v>1698</v>
      </c>
      <c r="B1000" t="s">
        <v>1676</v>
      </c>
      <c r="C1000" s="4">
        <v>4.2</v>
      </c>
      <c r="D1000" s="4">
        <v>9186</v>
      </c>
      <c r="E1000" t="s">
        <v>1763</v>
      </c>
      <c r="F1000" s="4">
        <v>19.116963399999999</v>
      </c>
      <c r="G1000">
        <v>72.889099399999907</v>
      </c>
      <c r="H1000"/>
    </row>
    <row r="1001" spans="1:8">
      <c r="A1001" t="s">
        <v>1698</v>
      </c>
      <c r="B1001" t="s">
        <v>1764</v>
      </c>
      <c r="C1001" s="4">
        <v>4</v>
      </c>
      <c r="D1001" s="4">
        <v>43</v>
      </c>
      <c r="E1001" t="s">
        <v>1765</v>
      </c>
      <c r="F1001" s="4">
        <v>19.1191569</v>
      </c>
      <c r="G1001">
        <v>72.911959099999905</v>
      </c>
      <c r="H1001"/>
    </row>
    <row r="1002" spans="1:8">
      <c r="A1002" t="s">
        <v>1698</v>
      </c>
      <c r="B1002" t="s">
        <v>578</v>
      </c>
      <c r="C1002" s="4">
        <v>4.5999999999999996</v>
      </c>
      <c r="D1002" s="4">
        <v>2453</v>
      </c>
      <c r="E1002" t="s">
        <v>579</v>
      </c>
      <c r="F1002" s="4">
        <v>19.103168</v>
      </c>
      <c r="G1002">
        <v>72.877701999999999</v>
      </c>
      <c r="H1002"/>
    </row>
    <row r="1003" spans="1:8">
      <c r="A1003" t="s">
        <v>1698</v>
      </c>
      <c r="B1003" t="s">
        <v>397</v>
      </c>
      <c r="C1003" s="4">
        <v>4.3</v>
      </c>
      <c r="D1003" s="4">
        <v>36</v>
      </c>
      <c r="E1003" t="s">
        <v>1766</v>
      </c>
      <c r="F1003" s="4">
        <v>19.115127900000001</v>
      </c>
      <c r="G1003">
        <v>72.907099000000002</v>
      </c>
      <c r="H1003"/>
    </row>
    <row r="1004" spans="1:8">
      <c r="A1004" t="s">
        <v>1698</v>
      </c>
      <c r="B1004" t="s">
        <v>48</v>
      </c>
      <c r="C1004" s="4">
        <v>4.8</v>
      </c>
      <c r="D1004" s="4">
        <v>786</v>
      </c>
      <c r="E1004" t="s">
        <v>980</v>
      </c>
      <c r="F1004" s="4">
        <v>19.099697599999999</v>
      </c>
      <c r="G1004">
        <v>72.9166685</v>
      </c>
      <c r="H1004"/>
    </row>
    <row r="1005" spans="1:8">
      <c r="A1005" t="s">
        <v>1698</v>
      </c>
      <c r="B1005" t="s">
        <v>981</v>
      </c>
      <c r="C1005" s="4">
        <v>4.5</v>
      </c>
      <c r="D1005" s="4">
        <v>808</v>
      </c>
      <c r="E1005" t="s">
        <v>982</v>
      </c>
      <c r="F1005" s="4">
        <v>19.0999087</v>
      </c>
      <c r="G1005">
        <v>72.917145599999998</v>
      </c>
      <c r="H1005"/>
    </row>
    <row r="1006" spans="1:8">
      <c r="A1006" t="s">
        <v>1698</v>
      </c>
      <c r="B1006" t="s">
        <v>570</v>
      </c>
      <c r="C1006" s="4">
        <v>4.5999999999999996</v>
      </c>
      <c r="D1006" s="4">
        <v>93</v>
      </c>
      <c r="E1006" t="s">
        <v>571</v>
      </c>
      <c r="F1006" s="4">
        <v>19.1131891</v>
      </c>
      <c r="G1006">
        <v>72.882127699999998</v>
      </c>
      <c r="H1006"/>
    </row>
    <row r="1007" spans="1:8">
      <c r="A1007" t="s">
        <v>1698</v>
      </c>
      <c r="B1007" t="s">
        <v>620</v>
      </c>
      <c r="C1007" s="4">
        <v>3.9</v>
      </c>
      <c r="D1007" s="4">
        <v>929</v>
      </c>
      <c r="E1007" t="s">
        <v>621</v>
      </c>
      <c r="F1007" s="4">
        <v>19.102402600000001</v>
      </c>
      <c r="G1007">
        <v>72.888413200000002</v>
      </c>
      <c r="H1007"/>
    </row>
    <row r="1008" spans="1:8">
      <c r="A1008" t="s">
        <v>1698</v>
      </c>
      <c r="B1008" t="s">
        <v>1767</v>
      </c>
      <c r="C1008" s="4">
        <v>4.5999999999999996</v>
      </c>
      <c r="D1008" s="4">
        <v>5</v>
      </c>
      <c r="E1008" t="s">
        <v>1768</v>
      </c>
      <c r="F1008" s="4">
        <v>19.123391999999999</v>
      </c>
      <c r="G1008">
        <v>72.913145</v>
      </c>
      <c r="H1008"/>
    </row>
    <row r="1009" spans="1:8">
      <c r="A1009" t="s">
        <v>1698</v>
      </c>
      <c r="B1009" t="s">
        <v>626</v>
      </c>
      <c r="C1009" s="4">
        <v>4.0999999999999996</v>
      </c>
      <c r="D1009" s="4">
        <v>259</v>
      </c>
      <c r="E1009" t="s">
        <v>627</v>
      </c>
      <c r="F1009" s="4">
        <v>19.1033051</v>
      </c>
      <c r="G1009">
        <v>72.886342099999993</v>
      </c>
      <c r="H1009"/>
    </row>
    <row r="1010" spans="1:8">
      <c r="A1010" t="s">
        <v>1698</v>
      </c>
      <c r="B1010" t="s">
        <v>1769</v>
      </c>
      <c r="C1010" s="4">
        <v>4</v>
      </c>
      <c r="D1010" s="4">
        <v>7739</v>
      </c>
      <c r="E1010" t="s">
        <v>1770</v>
      </c>
      <c r="F1010" s="4">
        <v>19.116298100000002</v>
      </c>
      <c r="G1010">
        <v>72.909161299999994</v>
      </c>
      <c r="H1010"/>
    </row>
    <row r="1011" spans="1:8">
      <c r="A1011" t="s">
        <v>1698</v>
      </c>
      <c r="B1011" t="s">
        <v>1771</v>
      </c>
      <c r="C1011" s="4">
        <v>4.4000000000000004</v>
      </c>
      <c r="D1011" s="4">
        <v>1233</v>
      </c>
      <c r="E1011" t="s">
        <v>1772</v>
      </c>
      <c r="F1011" s="4">
        <v>19.116203299999999</v>
      </c>
      <c r="G1011">
        <v>72.909040599999997</v>
      </c>
      <c r="H1011"/>
    </row>
    <row r="1012" spans="1:8">
      <c r="A1012" t="s">
        <v>1698</v>
      </c>
      <c r="B1012" t="s">
        <v>974</v>
      </c>
      <c r="C1012" s="4">
        <v>4.5</v>
      </c>
      <c r="D1012" s="4">
        <v>172</v>
      </c>
      <c r="E1012" t="s">
        <v>975</v>
      </c>
      <c r="F1012" s="4">
        <v>19.099660700000001</v>
      </c>
      <c r="G1012">
        <v>72.916021099999995</v>
      </c>
      <c r="H1012"/>
    </row>
    <row r="1013" spans="1:8">
      <c r="A1013" t="s">
        <v>1698</v>
      </c>
      <c r="B1013" t="s">
        <v>1773</v>
      </c>
      <c r="C1013" s="4">
        <v>4.2</v>
      </c>
      <c r="D1013" s="4">
        <v>168</v>
      </c>
      <c r="E1013" t="s">
        <v>1774</v>
      </c>
      <c r="F1013" s="4">
        <v>19.115239299999999</v>
      </c>
      <c r="G1013">
        <v>72.901121799999999</v>
      </c>
      <c r="H1013"/>
    </row>
    <row r="1014" spans="1:8">
      <c r="A1014" t="s">
        <v>1698</v>
      </c>
      <c r="B1014" t="s">
        <v>1775</v>
      </c>
      <c r="C1014" s="4">
        <v>4.3</v>
      </c>
      <c r="D1014" s="4">
        <v>4724</v>
      </c>
      <c r="E1014" t="s">
        <v>1776</v>
      </c>
      <c r="F1014" s="4">
        <v>19.123325300000001</v>
      </c>
      <c r="G1014">
        <v>72.913108800000003</v>
      </c>
      <c r="H1014"/>
    </row>
    <row r="1015" spans="1:8">
      <c r="A1015" t="s">
        <v>1698</v>
      </c>
      <c r="B1015" t="s">
        <v>1777</v>
      </c>
      <c r="C1015" s="4">
        <v>3.4</v>
      </c>
      <c r="D1015" s="4">
        <v>39</v>
      </c>
      <c r="E1015" t="s">
        <v>1778</v>
      </c>
      <c r="F1015" s="4">
        <v>19.134477799999999</v>
      </c>
      <c r="G1015">
        <v>72.910039400000002</v>
      </c>
      <c r="H1015"/>
    </row>
    <row r="1016" spans="1:8">
      <c r="A1016" t="s">
        <v>1698</v>
      </c>
      <c r="B1016" t="s">
        <v>1779</v>
      </c>
      <c r="C1016" s="4">
        <v>3.5</v>
      </c>
      <c r="D1016" s="4">
        <v>61</v>
      </c>
      <c r="E1016" t="s">
        <v>1780</v>
      </c>
      <c r="F1016" s="4">
        <v>19.099816300000001</v>
      </c>
      <c r="G1016">
        <v>72.8891074</v>
      </c>
      <c r="H1016"/>
    </row>
    <row r="1017" spans="1:8">
      <c r="A1017" t="s">
        <v>1698</v>
      </c>
      <c r="B1017" t="s">
        <v>1781</v>
      </c>
      <c r="C1017" s="4">
        <v>4.2</v>
      </c>
      <c r="D1017" s="4">
        <v>539</v>
      </c>
      <c r="E1017" t="s">
        <v>1782</v>
      </c>
      <c r="F1017" s="4">
        <v>19.1184598</v>
      </c>
      <c r="G1017">
        <v>72.911565199999998</v>
      </c>
      <c r="H1017"/>
    </row>
    <row r="1018" spans="1:8">
      <c r="A1018" t="s">
        <v>1698</v>
      </c>
      <c r="B1018" t="s">
        <v>1783</v>
      </c>
      <c r="C1018" s="4">
        <v>4.5</v>
      </c>
      <c r="D1018" s="4">
        <v>156</v>
      </c>
      <c r="E1018" t="s">
        <v>1784</v>
      </c>
      <c r="F1018" s="4">
        <v>19.119612100000001</v>
      </c>
      <c r="G1018">
        <v>72.901198600000001</v>
      </c>
      <c r="H1018"/>
    </row>
    <row r="1019" spans="1:8">
      <c r="A1019" t="s">
        <v>1698</v>
      </c>
      <c r="B1019" t="s">
        <v>1785</v>
      </c>
      <c r="C1019" s="4">
        <v>4.2</v>
      </c>
      <c r="D1019" s="4">
        <v>75</v>
      </c>
      <c r="E1019" t="s">
        <v>1786</v>
      </c>
      <c r="F1019" s="4">
        <v>19.120491399999999</v>
      </c>
      <c r="G1019">
        <v>72.909051300000002</v>
      </c>
      <c r="H1019"/>
    </row>
    <row r="1020" spans="1:8">
      <c r="A1020" t="s">
        <v>1698</v>
      </c>
      <c r="B1020" t="s">
        <v>1787</v>
      </c>
      <c r="C1020" s="4">
        <v>4.9000000000000004</v>
      </c>
      <c r="D1020" s="4">
        <v>18</v>
      </c>
      <c r="E1020" t="s">
        <v>1788</v>
      </c>
      <c r="F1020" s="4">
        <v>19.130307200000001</v>
      </c>
      <c r="G1020">
        <v>72.918111099999905</v>
      </c>
      <c r="H1020"/>
    </row>
    <row r="1021" spans="1:8">
      <c r="A1021" t="s">
        <v>1698</v>
      </c>
      <c r="B1021" t="s">
        <v>1789</v>
      </c>
      <c r="C1021" s="4">
        <v>4.3</v>
      </c>
      <c r="D1021" s="4">
        <v>1671</v>
      </c>
      <c r="E1021" t="s">
        <v>1790</v>
      </c>
      <c r="F1021" s="4">
        <v>19.111243099999999</v>
      </c>
      <c r="G1021">
        <v>72.908766900000003</v>
      </c>
      <c r="H1021"/>
    </row>
    <row r="1022" spans="1:8">
      <c r="A1022" t="s">
        <v>1791</v>
      </c>
      <c r="B1022" t="s">
        <v>1035</v>
      </c>
      <c r="C1022" s="4">
        <v>4.4000000000000004</v>
      </c>
      <c r="D1022" s="4">
        <v>3152</v>
      </c>
      <c r="E1022" t="s">
        <v>1036</v>
      </c>
      <c r="F1022" s="4">
        <v>19.061594199999998</v>
      </c>
      <c r="G1022">
        <v>72.899740999999906</v>
      </c>
      <c r="H1022"/>
    </row>
    <row r="1023" spans="1:8">
      <c r="A1023" t="s">
        <v>1791</v>
      </c>
      <c r="B1023" t="s">
        <v>1792</v>
      </c>
      <c r="C1023" s="4">
        <v>4.2</v>
      </c>
      <c r="D1023" s="4">
        <v>10165</v>
      </c>
      <c r="E1023" t="s">
        <v>1793</v>
      </c>
      <c r="F1023" s="4">
        <v>19.053038000000001</v>
      </c>
      <c r="G1023">
        <v>72.897680999999906</v>
      </c>
      <c r="H1023"/>
    </row>
    <row r="1024" spans="1:8">
      <c r="A1024" t="s">
        <v>1791</v>
      </c>
      <c r="B1024" t="s">
        <v>1794</v>
      </c>
      <c r="C1024" s="4">
        <v>4.2</v>
      </c>
      <c r="D1024" s="4">
        <v>1460</v>
      </c>
      <c r="E1024" t="s">
        <v>1795</v>
      </c>
      <c r="F1024" s="4">
        <v>19.047415300000001</v>
      </c>
      <c r="G1024">
        <v>72.906936700000003</v>
      </c>
      <c r="H1024"/>
    </row>
    <row r="1025" spans="1:8">
      <c r="A1025" t="s">
        <v>1791</v>
      </c>
      <c r="B1025" t="s">
        <v>1796</v>
      </c>
      <c r="C1025" s="4">
        <v>4.3</v>
      </c>
      <c r="D1025" s="4">
        <v>346</v>
      </c>
      <c r="E1025" t="s">
        <v>1797</v>
      </c>
      <c r="F1025" s="4">
        <v>19.046987099999999</v>
      </c>
      <c r="G1025">
        <v>72.910994399999893</v>
      </c>
      <c r="H1025"/>
    </row>
    <row r="1026" spans="1:8">
      <c r="A1026" t="s">
        <v>1791</v>
      </c>
      <c r="B1026" t="s">
        <v>1798</v>
      </c>
      <c r="C1026" s="4">
        <v>4.9000000000000004</v>
      </c>
      <c r="D1026" s="4">
        <v>130</v>
      </c>
      <c r="E1026" t="s">
        <v>1799</v>
      </c>
      <c r="F1026" s="4">
        <v>19.041826799999999</v>
      </c>
      <c r="G1026">
        <v>72.8938323</v>
      </c>
      <c r="H1026"/>
    </row>
    <row r="1027" spans="1:8">
      <c r="A1027" t="s">
        <v>1791</v>
      </c>
      <c r="B1027" t="s">
        <v>1800</v>
      </c>
      <c r="C1027" s="4">
        <v>4</v>
      </c>
      <c r="D1027" s="4">
        <v>453</v>
      </c>
      <c r="E1027" t="s">
        <v>1801</v>
      </c>
      <c r="F1027" s="4">
        <v>19.0455665</v>
      </c>
      <c r="G1027">
        <v>72.903101399999997</v>
      </c>
      <c r="H1027"/>
    </row>
    <row r="1028" spans="1:8">
      <c r="A1028" t="s">
        <v>1791</v>
      </c>
      <c r="B1028" t="s">
        <v>1802</v>
      </c>
      <c r="C1028" s="4">
        <v>4.4000000000000004</v>
      </c>
      <c r="D1028" s="4">
        <v>29</v>
      </c>
      <c r="E1028" t="s">
        <v>1803</v>
      </c>
      <c r="F1028" s="4">
        <v>19.0603613</v>
      </c>
      <c r="G1028">
        <v>72.898915399999893</v>
      </c>
      <c r="H1028"/>
    </row>
    <row r="1029" spans="1:8">
      <c r="A1029" t="s">
        <v>1791</v>
      </c>
      <c r="B1029" t="s">
        <v>1804</v>
      </c>
      <c r="C1029" s="4">
        <v>4.2</v>
      </c>
      <c r="D1029" s="4">
        <v>664</v>
      </c>
      <c r="E1029" t="s">
        <v>1805</v>
      </c>
      <c r="F1029" s="4">
        <v>19.051201800000001</v>
      </c>
      <c r="G1029">
        <v>72.918116299999994</v>
      </c>
      <c r="H1029"/>
    </row>
    <row r="1030" spans="1:8">
      <c r="A1030" t="s">
        <v>1791</v>
      </c>
      <c r="B1030" t="s">
        <v>1806</v>
      </c>
      <c r="C1030" s="4">
        <v>4.5999999999999996</v>
      </c>
      <c r="D1030" s="4">
        <v>101</v>
      </c>
      <c r="E1030" t="s">
        <v>1807</v>
      </c>
      <c r="F1030" s="4">
        <v>19.059688399999999</v>
      </c>
      <c r="G1030">
        <v>72.898968400000001</v>
      </c>
      <c r="H1030"/>
    </row>
    <row r="1031" spans="1:8">
      <c r="A1031" t="s">
        <v>1791</v>
      </c>
      <c r="B1031" t="s">
        <v>862</v>
      </c>
      <c r="C1031" s="4">
        <v>4.5</v>
      </c>
      <c r="D1031" s="4">
        <v>2253</v>
      </c>
      <c r="E1031" t="s">
        <v>863</v>
      </c>
      <c r="F1031" s="4">
        <v>19.070120500000002</v>
      </c>
      <c r="G1031">
        <v>72.8975121</v>
      </c>
      <c r="H1031"/>
    </row>
    <row r="1032" spans="1:8">
      <c r="A1032" t="s">
        <v>1791</v>
      </c>
      <c r="B1032" t="s">
        <v>1808</v>
      </c>
      <c r="C1032" s="4">
        <v>4.2</v>
      </c>
      <c r="D1032" s="4">
        <v>46</v>
      </c>
      <c r="E1032" t="s">
        <v>1809</v>
      </c>
      <c r="F1032" s="4">
        <v>19.048492</v>
      </c>
      <c r="G1032">
        <v>72.893210999999994</v>
      </c>
      <c r="H1032"/>
    </row>
    <row r="1033" spans="1:8">
      <c r="A1033" t="s">
        <v>1791</v>
      </c>
      <c r="B1033" t="s">
        <v>851</v>
      </c>
      <c r="C1033" s="4">
        <v>4.9000000000000004</v>
      </c>
      <c r="D1033" s="4">
        <v>94</v>
      </c>
      <c r="E1033" t="s">
        <v>852</v>
      </c>
      <c r="F1033" s="4">
        <v>19.070182599999999</v>
      </c>
      <c r="G1033">
        <v>72.898175600000002</v>
      </c>
      <c r="H1033"/>
    </row>
    <row r="1034" spans="1:8">
      <c r="A1034" t="s">
        <v>1791</v>
      </c>
      <c r="B1034" t="s">
        <v>1810</v>
      </c>
      <c r="C1034" s="4">
        <v>4.7</v>
      </c>
      <c r="D1034" s="4">
        <v>175</v>
      </c>
      <c r="E1034" t="s">
        <v>1811</v>
      </c>
      <c r="F1034" s="4">
        <v>19.0444645</v>
      </c>
      <c r="G1034">
        <v>72.917659899999904</v>
      </c>
      <c r="H1034"/>
    </row>
    <row r="1035" spans="1:8">
      <c r="A1035" t="s">
        <v>1791</v>
      </c>
      <c r="B1035" t="s">
        <v>48</v>
      </c>
      <c r="C1035" s="4">
        <v>4.5</v>
      </c>
      <c r="D1035" s="4">
        <v>644</v>
      </c>
      <c r="E1035" t="s">
        <v>1812</v>
      </c>
      <c r="F1035" s="4">
        <v>19.056580700000001</v>
      </c>
      <c r="G1035">
        <v>72.897811199999893</v>
      </c>
      <c r="H1035"/>
    </row>
    <row r="1036" spans="1:8">
      <c r="A1036" t="s">
        <v>1791</v>
      </c>
      <c r="B1036" t="s">
        <v>1039</v>
      </c>
      <c r="C1036" s="4">
        <v>4.5999999999999996</v>
      </c>
      <c r="D1036" s="4">
        <v>504</v>
      </c>
      <c r="E1036" t="s">
        <v>1040</v>
      </c>
      <c r="F1036" s="4">
        <v>19.069397200000001</v>
      </c>
      <c r="G1036">
        <v>72.896929599999893</v>
      </c>
      <c r="H1036"/>
    </row>
    <row r="1037" spans="1:8">
      <c r="A1037" t="s">
        <v>1791</v>
      </c>
      <c r="B1037" t="s">
        <v>931</v>
      </c>
      <c r="C1037" s="4">
        <v>4.2</v>
      </c>
      <c r="D1037" s="4">
        <v>66</v>
      </c>
      <c r="E1037" t="s">
        <v>932</v>
      </c>
      <c r="F1037" s="4">
        <v>19.0612198</v>
      </c>
      <c r="G1037">
        <v>72.899378299999995</v>
      </c>
      <c r="H1037"/>
    </row>
    <row r="1038" spans="1:8">
      <c r="A1038" t="s">
        <v>1791</v>
      </c>
      <c r="B1038" t="s">
        <v>1813</v>
      </c>
      <c r="C1038" s="4">
        <v>4.0999999999999996</v>
      </c>
      <c r="D1038" s="4">
        <v>1338</v>
      </c>
      <c r="E1038" t="s">
        <v>1814</v>
      </c>
      <c r="F1038" s="4">
        <v>19.052778</v>
      </c>
      <c r="G1038">
        <v>72.899598099999906</v>
      </c>
      <c r="H1038"/>
    </row>
    <row r="1039" spans="1:8">
      <c r="A1039" t="s">
        <v>1791</v>
      </c>
      <c r="B1039" t="s">
        <v>1815</v>
      </c>
      <c r="C1039" s="4">
        <v>4.0999999999999996</v>
      </c>
      <c r="D1039" s="4">
        <v>2057</v>
      </c>
      <c r="E1039" t="s">
        <v>1816</v>
      </c>
      <c r="F1039" s="4">
        <v>19.046042400000001</v>
      </c>
      <c r="G1039">
        <v>72.908238400000002</v>
      </c>
      <c r="H1039"/>
    </row>
    <row r="1040" spans="1:8">
      <c r="A1040" t="s">
        <v>1791</v>
      </c>
      <c r="B1040" t="s">
        <v>1817</v>
      </c>
      <c r="C1040" s="4">
        <v>4.9000000000000004</v>
      </c>
      <c r="D1040" s="4">
        <v>72</v>
      </c>
      <c r="E1040" t="s">
        <v>1818</v>
      </c>
      <c r="F1040" s="4">
        <v>19.051893</v>
      </c>
      <c r="G1040">
        <v>72.889983399999906</v>
      </c>
      <c r="H1040"/>
    </row>
    <row r="1041" spans="1:8">
      <c r="A1041" t="s">
        <v>1791</v>
      </c>
      <c r="B1041" t="s">
        <v>190</v>
      </c>
      <c r="C1041" s="4">
        <v>4.2</v>
      </c>
      <c r="D1041" s="4">
        <v>278</v>
      </c>
      <c r="E1041" t="s">
        <v>1819</v>
      </c>
      <c r="F1041" s="4">
        <v>19.051459099999999</v>
      </c>
      <c r="G1041">
        <v>72.9020431</v>
      </c>
      <c r="H1041"/>
    </row>
    <row r="1042" spans="1:8">
      <c r="A1042" t="s">
        <v>1791</v>
      </c>
      <c r="B1042" t="s">
        <v>1820</v>
      </c>
      <c r="C1042" s="4">
        <v>4.7</v>
      </c>
      <c r="D1042" s="4">
        <v>175</v>
      </c>
      <c r="E1042" t="s">
        <v>1821</v>
      </c>
      <c r="F1042" s="4">
        <v>19.0701863</v>
      </c>
      <c r="G1042">
        <v>72.898086500000005</v>
      </c>
      <c r="H1042"/>
    </row>
    <row r="1043" spans="1:8">
      <c r="A1043" t="s">
        <v>1791</v>
      </c>
      <c r="B1043" t="s">
        <v>254</v>
      </c>
      <c r="C1043" s="4">
        <v>4</v>
      </c>
      <c r="D1043" s="4">
        <v>1417</v>
      </c>
      <c r="E1043" t="s">
        <v>1822</v>
      </c>
      <c r="F1043" s="4">
        <v>19.051912699999999</v>
      </c>
      <c r="G1043">
        <v>72.900778399999993</v>
      </c>
      <c r="H1043"/>
    </row>
    <row r="1044" spans="1:8">
      <c r="A1044" t="s">
        <v>1791</v>
      </c>
      <c r="B1044" t="s">
        <v>1823</v>
      </c>
      <c r="C1044" s="4">
        <v>4.2</v>
      </c>
      <c r="D1044" s="4">
        <v>413</v>
      </c>
      <c r="E1044" t="s">
        <v>1824</v>
      </c>
      <c r="F1044" s="4">
        <v>19.0614822</v>
      </c>
      <c r="G1044">
        <v>72.900430099999994</v>
      </c>
      <c r="H1044"/>
    </row>
    <row r="1045" spans="1:8">
      <c r="A1045" t="s">
        <v>1791</v>
      </c>
      <c r="B1045" t="s">
        <v>1825</v>
      </c>
      <c r="C1045" s="4">
        <v>4.5999999999999996</v>
      </c>
      <c r="D1045" s="4">
        <v>121</v>
      </c>
      <c r="E1045" t="s">
        <v>1826</v>
      </c>
      <c r="F1045" s="4">
        <v>19.0693093</v>
      </c>
      <c r="G1045">
        <v>72.899453299999905</v>
      </c>
      <c r="H1045"/>
    </row>
    <row r="1046" spans="1:8">
      <c r="A1046" t="s">
        <v>1791</v>
      </c>
      <c r="B1046" t="s">
        <v>288</v>
      </c>
      <c r="C1046" s="4">
        <v>4.3</v>
      </c>
      <c r="D1046" s="4">
        <v>1225</v>
      </c>
      <c r="E1046" t="s">
        <v>1827</v>
      </c>
      <c r="F1046" s="4">
        <v>19.061724099999999</v>
      </c>
      <c r="G1046">
        <v>72.898037199999905</v>
      </c>
      <c r="H1046"/>
    </row>
    <row r="1047" spans="1:8">
      <c r="A1047" t="s">
        <v>1791</v>
      </c>
      <c r="B1047" t="s">
        <v>1828</v>
      </c>
      <c r="C1047" s="4">
        <v>4.7</v>
      </c>
      <c r="D1047" s="4">
        <v>251</v>
      </c>
      <c r="E1047" t="s">
        <v>1829</v>
      </c>
      <c r="F1047" s="4">
        <v>19.051871800000001</v>
      </c>
      <c r="G1047">
        <v>72.901080499999907</v>
      </c>
      <c r="H1047"/>
    </row>
    <row r="1048" spans="1:8">
      <c r="A1048" t="s">
        <v>1791</v>
      </c>
      <c r="B1048" t="s">
        <v>1830</v>
      </c>
      <c r="C1048" s="4">
        <v>4.8</v>
      </c>
      <c r="D1048" s="4">
        <v>84</v>
      </c>
      <c r="E1048" t="s">
        <v>1831</v>
      </c>
      <c r="F1048" s="4">
        <v>19.069580800000001</v>
      </c>
      <c r="G1048">
        <v>72.896940799999996</v>
      </c>
      <c r="H1048"/>
    </row>
    <row r="1049" spans="1:8">
      <c r="A1049" t="s">
        <v>1791</v>
      </c>
      <c r="B1049" t="s">
        <v>1832</v>
      </c>
      <c r="C1049" s="4">
        <v>5</v>
      </c>
      <c r="D1049" s="4">
        <v>17</v>
      </c>
      <c r="E1049" t="s">
        <v>1833</v>
      </c>
      <c r="F1049" s="4">
        <v>19.046012900000001</v>
      </c>
      <c r="G1049">
        <v>72.897610599999993</v>
      </c>
      <c r="H1049"/>
    </row>
    <row r="1050" spans="1:8">
      <c r="A1050" t="s">
        <v>1791</v>
      </c>
      <c r="B1050" t="s">
        <v>140</v>
      </c>
      <c r="C1050" s="4">
        <v>4</v>
      </c>
      <c r="D1050" s="4">
        <v>1235</v>
      </c>
      <c r="E1050" t="s">
        <v>1834</v>
      </c>
      <c r="F1050" s="4">
        <v>19.0441419</v>
      </c>
      <c r="G1050">
        <v>72.918695799999995</v>
      </c>
      <c r="H1050"/>
    </row>
    <row r="1051" spans="1:8">
      <c r="A1051" t="s">
        <v>1791</v>
      </c>
      <c r="B1051" t="s">
        <v>1835</v>
      </c>
      <c r="C1051" s="4">
        <v>4.9000000000000004</v>
      </c>
      <c r="D1051" s="4">
        <v>170</v>
      </c>
      <c r="E1051" t="s">
        <v>1836</v>
      </c>
      <c r="F1051" s="4">
        <v>19.059703200000001</v>
      </c>
      <c r="G1051">
        <v>72.896427099999997</v>
      </c>
      <c r="H1051"/>
    </row>
    <row r="1052" spans="1:8">
      <c r="A1052" t="s">
        <v>1791</v>
      </c>
      <c r="B1052" t="s">
        <v>1837</v>
      </c>
      <c r="C1052" s="4">
        <v>3.5</v>
      </c>
      <c r="D1052" s="4">
        <v>142</v>
      </c>
      <c r="E1052" t="s">
        <v>1838</v>
      </c>
      <c r="F1052" s="4">
        <v>19.070433900000001</v>
      </c>
      <c r="G1052">
        <v>72.898780099999996</v>
      </c>
      <c r="H1052"/>
    </row>
    <row r="1053" spans="1:8">
      <c r="A1053" t="s">
        <v>1791</v>
      </c>
      <c r="B1053" t="s">
        <v>1839</v>
      </c>
      <c r="C1053" s="4">
        <v>4.3</v>
      </c>
      <c r="D1053" s="4">
        <v>104</v>
      </c>
      <c r="E1053" t="s">
        <v>1840</v>
      </c>
      <c r="F1053" s="4">
        <v>19.0456103</v>
      </c>
      <c r="G1053">
        <v>72.895061999999996</v>
      </c>
      <c r="H1053"/>
    </row>
    <row r="1054" spans="1:8">
      <c r="A1054" t="s">
        <v>1791</v>
      </c>
      <c r="B1054" t="s">
        <v>1841</v>
      </c>
      <c r="C1054" s="4">
        <v>4.7</v>
      </c>
      <c r="D1054" s="4">
        <v>3269</v>
      </c>
      <c r="E1054" t="s">
        <v>1842</v>
      </c>
      <c r="F1054" s="4">
        <v>19.046616100000001</v>
      </c>
      <c r="G1054">
        <v>72.906934100000001</v>
      </c>
      <c r="H1054"/>
    </row>
    <row r="1055" spans="1:8">
      <c r="A1055" t="s">
        <v>1791</v>
      </c>
      <c r="B1055" t="s">
        <v>1843</v>
      </c>
      <c r="C1055" s="4">
        <v>4.4000000000000004</v>
      </c>
      <c r="D1055" s="4">
        <v>1777</v>
      </c>
      <c r="E1055" t="s">
        <v>1844</v>
      </c>
      <c r="F1055" s="4">
        <v>19.060717199999999</v>
      </c>
      <c r="G1055">
        <v>72.900001199999906</v>
      </c>
      <c r="H1055"/>
    </row>
    <row r="1056" spans="1:8">
      <c r="A1056" t="s">
        <v>1791</v>
      </c>
      <c r="B1056" t="s">
        <v>123</v>
      </c>
      <c r="C1056" s="4">
        <v>4.4000000000000004</v>
      </c>
      <c r="D1056" s="4">
        <v>2583</v>
      </c>
      <c r="E1056" t="s">
        <v>1845</v>
      </c>
      <c r="F1056" s="4">
        <v>19.060486000000001</v>
      </c>
      <c r="G1056">
        <v>72.898553999999905</v>
      </c>
      <c r="H1056"/>
    </row>
    <row r="1057" spans="1:8">
      <c r="A1057" t="s">
        <v>1791</v>
      </c>
      <c r="B1057" t="s">
        <v>1846</v>
      </c>
      <c r="C1057" s="4">
        <v>4.5</v>
      </c>
      <c r="D1057" s="4">
        <v>142</v>
      </c>
      <c r="E1057" t="s">
        <v>1847</v>
      </c>
      <c r="F1057" s="4">
        <v>19.045520499999999</v>
      </c>
      <c r="G1057">
        <v>72.894493599999905</v>
      </c>
      <c r="H1057"/>
    </row>
    <row r="1058" spans="1:8">
      <c r="A1058" t="s">
        <v>1791</v>
      </c>
      <c r="B1058" t="s">
        <v>1848</v>
      </c>
      <c r="C1058" s="4">
        <v>4.2</v>
      </c>
      <c r="D1058" s="4">
        <v>1440</v>
      </c>
      <c r="E1058" t="s">
        <v>1849</v>
      </c>
      <c r="F1058" s="4">
        <v>19.052115199999999</v>
      </c>
      <c r="G1058">
        <v>72.900217400000002</v>
      </c>
      <c r="H1058"/>
    </row>
    <row r="1059" spans="1:8">
      <c r="A1059" t="s">
        <v>1791</v>
      </c>
      <c r="B1059" t="s">
        <v>1850</v>
      </c>
      <c r="C1059" s="4">
        <v>3.7</v>
      </c>
      <c r="D1059" s="4">
        <v>207</v>
      </c>
      <c r="E1059" t="s">
        <v>1851</v>
      </c>
      <c r="F1059" s="4">
        <v>19.052711299999999</v>
      </c>
      <c r="G1059">
        <v>72.910345499999906</v>
      </c>
      <c r="H1059"/>
    </row>
    <row r="1060" spans="1:8">
      <c r="A1060" t="s">
        <v>1791</v>
      </c>
      <c r="B1060" t="s">
        <v>1852</v>
      </c>
      <c r="C1060" s="4">
        <v>4.5999999999999996</v>
      </c>
      <c r="D1060" s="4">
        <v>20</v>
      </c>
      <c r="E1060" t="s">
        <v>1853</v>
      </c>
      <c r="F1060" s="4">
        <v>19.052257900000001</v>
      </c>
      <c r="G1060">
        <v>72.890100199999907</v>
      </c>
      <c r="H1060"/>
    </row>
    <row r="1061" spans="1:8">
      <c r="A1061" t="s">
        <v>1791</v>
      </c>
      <c r="B1061" t="s">
        <v>1854</v>
      </c>
      <c r="C1061" s="4">
        <v>4.3</v>
      </c>
      <c r="D1061" s="4">
        <v>2578</v>
      </c>
      <c r="E1061" t="s">
        <v>1855</v>
      </c>
      <c r="F1061" s="4">
        <v>19.0610617</v>
      </c>
      <c r="G1061">
        <v>72.899697099999997</v>
      </c>
      <c r="H1061"/>
    </row>
    <row r="1062" spans="1:8">
      <c r="A1062" t="s">
        <v>1791</v>
      </c>
      <c r="B1062" t="s">
        <v>1856</v>
      </c>
      <c r="C1062" s="4">
        <v>4.5999999999999996</v>
      </c>
      <c r="D1062" s="4">
        <v>19</v>
      </c>
      <c r="E1062" t="s">
        <v>1857</v>
      </c>
      <c r="F1062" s="4">
        <v>19.070277399999998</v>
      </c>
      <c r="G1062">
        <v>72.901405099999906</v>
      </c>
      <c r="H1062"/>
    </row>
    <row r="1063" spans="1:8">
      <c r="A1063" t="s">
        <v>1791</v>
      </c>
      <c r="B1063" t="s">
        <v>246</v>
      </c>
      <c r="C1063" s="4">
        <v>4.0999999999999996</v>
      </c>
      <c r="D1063" s="4">
        <v>299</v>
      </c>
      <c r="E1063" t="s">
        <v>1858</v>
      </c>
      <c r="F1063" s="4">
        <v>19.0530027</v>
      </c>
      <c r="G1063">
        <v>72.890419399999999</v>
      </c>
      <c r="H1063"/>
    </row>
    <row r="1064" spans="1:8">
      <c r="A1064" t="s">
        <v>1791</v>
      </c>
      <c r="B1064" t="s">
        <v>1859</v>
      </c>
      <c r="C1064" s="4">
        <v>4.2</v>
      </c>
      <c r="D1064" s="4">
        <v>1788</v>
      </c>
      <c r="E1064" t="s">
        <v>1860</v>
      </c>
      <c r="F1064" s="4">
        <v>19.060827199999999</v>
      </c>
      <c r="G1064">
        <v>72.916293999999994</v>
      </c>
      <c r="H1064"/>
    </row>
    <row r="1065" spans="1:8">
      <c r="A1065" t="s">
        <v>1791</v>
      </c>
      <c r="B1065" t="s">
        <v>1861</v>
      </c>
      <c r="C1065" s="4">
        <v>4.5999999999999996</v>
      </c>
      <c r="D1065" s="4">
        <v>22</v>
      </c>
      <c r="E1065" t="s">
        <v>1862</v>
      </c>
      <c r="F1065" s="4">
        <v>19.045271100000001</v>
      </c>
      <c r="G1065">
        <v>72.8970463</v>
      </c>
      <c r="H1065"/>
    </row>
    <row r="1066" spans="1:8">
      <c r="A1066" t="s">
        <v>1791</v>
      </c>
      <c r="B1066" t="s">
        <v>1863</v>
      </c>
      <c r="C1066" s="4">
        <v>4</v>
      </c>
      <c r="D1066" s="4">
        <v>2062</v>
      </c>
      <c r="E1066" t="s">
        <v>1864</v>
      </c>
      <c r="F1066" s="4">
        <v>19.061550700000002</v>
      </c>
      <c r="G1066">
        <v>72.900831499999995</v>
      </c>
      <c r="H1066"/>
    </row>
    <row r="1067" spans="1:8">
      <c r="A1067" t="s">
        <v>1791</v>
      </c>
      <c r="B1067" t="s">
        <v>1666</v>
      </c>
      <c r="C1067" s="4">
        <v>3.5</v>
      </c>
      <c r="D1067" s="4">
        <v>293</v>
      </c>
      <c r="E1067" t="s">
        <v>1865</v>
      </c>
      <c r="F1067" s="4">
        <v>19.031685</v>
      </c>
      <c r="G1067">
        <v>72.897010899999998</v>
      </c>
      <c r="H1067"/>
    </row>
    <row r="1068" spans="1:8">
      <c r="A1068" t="s">
        <v>1791</v>
      </c>
      <c r="B1068" t="s">
        <v>966</v>
      </c>
      <c r="C1068" s="4">
        <v>4.0999999999999996</v>
      </c>
      <c r="D1068" s="4">
        <v>2538</v>
      </c>
      <c r="E1068" t="s">
        <v>967</v>
      </c>
      <c r="F1068" s="4">
        <v>19.0783825</v>
      </c>
      <c r="G1068">
        <v>72.903865400000001</v>
      </c>
      <c r="H1068"/>
    </row>
    <row r="1069" spans="1:8">
      <c r="A1069" t="s">
        <v>1791</v>
      </c>
      <c r="B1069" t="s">
        <v>1866</v>
      </c>
      <c r="C1069" s="4">
        <v>4.5</v>
      </c>
      <c r="D1069" s="4">
        <v>63</v>
      </c>
      <c r="E1069" t="s">
        <v>1867</v>
      </c>
      <c r="F1069" s="4">
        <v>19.067507200000001</v>
      </c>
      <c r="G1069">
        <v>72.910164299999906</v>
      </c>
      <c r="H1069"/>
    </row>
    <row r="1070" spans="1:8">
      <c r="A1070" t="s">
        <v>1791</v>
      </c>
      <c r="B1070" t="s">
        <v>1868</v>
      </c>
      <c r="C1070" s="4">
        <v>4.7</v>
      </c>
      <c r="D1070" s="4">
        <v>75</v>
      </c>
      <c r="E1070" t="s">
        <v>1869</v>
      </c>
      <c r="F1070" s="4">
        <v>19.069506400000002</v>
      </c>
      <c r="G1070">
        <v>72.896918399999905</v>
      </c>
      <c r="H1070"/>
    </row>
    <row r="1071" spans="1:8">
      <c r="A1071" t="s">
        <v>1791</v>
      </c>
      <c r="B1071" t="s">
        <v>1870</v>
      </c>
      <c r="C1071" s="4">
        <v>4.8</v>
      </c>
      <c r="D1071" s="4">
        <v>38</v>
      </c>
      <c r="E1071" t="s">
        <v>1871</v>
      </c>
      <c r="F1071" s="4">
        <v>19.0703526</v>
      </c>
      <c r="G1071">
        <v>72.901348999999996</v>
      </c>
      <c r="H1071"/>
    </row>
    <row r="1072" spans="1:8">
      <c r="A1072" t="s">
        <v>1791</v>
      </c>
      <c r="B1072" t="s">
        <v>48</v>
      </c>
      <c r="C1072" s="4">
        <v>4.9000000000000004</v>
      </c>
      <c r="D1072" s="4">
        <v>420</v>
      </c>
      <c r="E1072" t="s">
        <v>850</v>
      </c>
      <c r="F1072" s="4">
        <v>19.0718611</v>
      </c>
      <c r="G1072">
        <v>72.876555600000003</v>
      </c>
      <c r="H1072"/>
    </row>
    <row r="1073" spans="1:8">
      <c r="A1073" t="s">
        <v>1791</v>
      </c>
      <c r="B1073" t="s">
        <v>1872</v>
      </c>
      <c r="C1073" s="4">
        <v>4.2</v>
      </c>
      <c r="D1073" s="4">
        <v>1133</v>
      </c>
      <c r="E1073" t="s">
        <v>1873</v>
      </c>
      <c r="F1073" s="4">
        <v>19.0613323</v>
      </c>
      <c r="G1073">
        <v>72.900725800000004</v>
      </c>
      <c r="H1073"/>
    </row>
    <row r="1074" spans="1:8">
      <c r="A1074" t="s">
        <v>1791</v>
      </c>
      <c r="B1074" t="s">
        <v>1874</v>
      </c>
      <c r="C1074" s="4">
        <v>5</v>
      </c>
      <c r="D1074" s="4">
        <v>369</v>
      </c>
      <c r="E1074" t="s">
        <v>1875</v>
      </c>
      <c r="F1074" s="4">
        <v>19.051908300000001</v>
      </c>
      <c r="G1074">
        <v>72.889997600000001</v>
      </c>
      <c r="H1074"/>
    </row>
    <row r="1075" spans="1:8">
      <c r="A1075" t="s">
        <v>1791</v>
      </c>
      <c r="B1075" t="s">
        <v>1876</v>
      </c>
      <c r="C1075" s="4">
        <v>4.0999999999999996</v>
      </c>
      <c r="D1075" s="4">
        <v>1590</v>
      </c>
      <c r="E1075" t="s">
        <v>1877</v>
      </c>
      <c r="F1075" s="4">
        <v>19.059586199999998</v>
      </c>
      <c r="G1075">
        <v>72.9234115</v>
      </c>
      <c r="H1075"/>
    </row>
    <row r="1076" spans="1:8">
      <c r="A1076" t="s">
        <v>1791</v>
      </c>
      <c r="B1076" t="s">
        <v>1878</v>
      </c>
      <c r="C1076" s="4">
        <v>5</v>
      </c>
      <c r="D1076" s="4">
        <v>16</v>
      </c>
      <c r="E1076" t="s">
        <v>1879</v>
      </c>
      <c r="F1076" s="4">
        <v>19.046165599999998</v>
      </c>
      <c r="G1076">
        <v>72.908248799999996</v>
      </c>
      <c r="H1076"/>
    </row>
    <row r="1077" spans="1:8">
      <c r="A1077" t="s">
        <v>1791</v>
      </c>
      <c r="B1077" t="s">
        <v>1880</v>
      </c>
      <c r="C1077" s="4">
        <v>5</v>
      </c>
      <c r="D1077" s="4">
        <v>4</v>
      </c>
      <c r="E1077" t="s">
        <v>1881</v>
      </c>
      <c r="F1077" s="4">
        <v>19.0451762</v>
      </c>
      <c r="G1077">
        <v>72.894623600000003</v>
      </c>
      <c r="H1077"/>
    </row>
    <row r="1078" spans="1:8">
      <c r="A1078" t="s">
        <v>1791</v>
      </c>
      <c r="B1078" t="s">
        <v>1882</v>
      </c>
      <c r="C1078" s="4">
        <v>4.0999999999999996</v>
      </c>
      <c r="D1078" s="4">
        <v>16</v>
      </c>
      <c r="E1078" t="s">
        <v>1883</v>
      </c>
      <c r="F1078" s="4">
        <v>19.0484507</v>
      </c>
      <c r="G1078">
        <v>72.887706100000003</v>
      </c>
      <c r="H1078"/>
    </row>
    <row r="1079" spans="1:8">
      <c r="A1079" t="s">
        <v>1791</v>
      </c>
      <c r="B1079" t="s">
        <v>1884</v>
      </c>
      <c r="C1079" s="4">
        <v>5</v>
      </c>
      <c r="D1079" s="4">
        <v>2</v>
      </c>
      <c r="E1079" t="s">
        <v>1885</v>
      </c>
      <c r="F1079" s="4">
        <v>19.046037599999998</v>
      </c>
      <c r="G1079">
        <v>72.9081513</v>
      </c>
      <c r="H1079"/>
    </row>
    <row r="1080" spans="1:8">
      <c r="A1080" t="s">
        <v>1791</v>
      </c>
      <c r="B1080" t="s">
        <v>976</v>
      </c>
      <c r="C1080" s="4">
        <v>4.4000000000000004</v>
      </c>
      <c r="D1080" s="4">
        <v>101</v>
      </c>
      <c r="E1080" t="s">
        <v>977</v>
      </c>
      <c r="F1080" s="4">
        <v>19.077449099999999</v>
      </c>
      <c r="G1080">
        <v>72.898932500000001</v>
      </c>
      <c r="H1080"/>
    </row>
    <row r="1081" spans="1:8">
      <c r="A1081" t="s">
        <v>1791</v>
      </c>
      <c r="B1081" t="s">
        <v>1886</v>
      </c>
      <c r="C1081" s="4">
        <v>4.9000000000000004</v>
      </c>
      <c r="D1081" s="4">
        <v>9</v>
      </c>
      <c r="E1081" t="s">
        <v>1887</v>
      </c>
      <c r="F1081" s="4">
        <v>19.0539019</v>
      </c>
      <c r="G1081">
        <v>72.896321499999999</v>
      </c>
      <c r="H1081"/>
    </row>
    <row r="1082" spans="1:8">
      <c r="A1082" t="s">
        <v>1888</v>
      </c>
      <c r="B1082" t="s">
        <v>1608</v>
      </c>
      <c r="C1082" s="4">
        <v>4.4000000000000004</v>
      </c>
      <c r="D1082" s="4">
        <v>3106</v>
      </c>
      <c r="E1082" t="s">
        <v>1609</v>
      </c>
      <c r="F1082" s="4">
        <v>19.041910000000001</v>
      </c>
      <c r="G1082">
        <v>72.861122799999904</v>
      </c>
      <c r="H1082"/>
    </row>
    <row r="1083" spans="1:8">
      <c r="A1083" t="s">
        <v>1888</v>
      </c>
      <c r="B1083" t="s">
        <v>1889</v>
      </c>
      <c r="C1083" s="4">
        <v>4.8</v>
      </c>
      <c r="D1083" s="4">
        <v>52</v>
      </c>
      <c r="E1083" t="s">
        <v>1890</v>
      </c>
      <c r="F1083" s="4">
        <v>19.0407774</v>
      </c>
      <c r="G1083">
        <v>72.860838599999994</v>
      </c>
      <c r="H1083"/>
    </row>
    <row r="1084" spans="1:8">
      <c r="A1084" t="s">
        <v>1888</v>
      </c>
      <c r="B1084" t="s">
        <v>1676</v>
      </c>
      <c r="C1084" s="4">
        <v>4.3</v>
      </c>
      <c r="D1084" s="4">
        <v>35428</v>
      </c>
      <c r="E1084" t="s">
        <v>1677</v>
      </c>
      <c r="F1084" s="4">
        <v>19.0429043</v>
      </c>
      <c r="G1084">
        <v>72.861876499999994</v>
      </c>
      <c r="H1084"/>
    </row>
    <row r="1085" spans="1:8">
      <c r="A1085" t="s">
        <v>1888</v>
      </c>
      <c r="B1085" t="s">
        <v>1891</v>
      </c>
      <c r="C1085" s="4">
        <v>4.3</v>
      </c>
      <c r="D1085" s="4">
        <v>1093</v>
      </c>
      <c r="E1085" t="s">
        <v>1892</v>
      </c>
      <c r="F1085" s="4">
        <v>19.040451900000001</v>
      </c>
      <c r="G1085">
        <v>72.865048000000002</v>
      </c>
      <c r="H1085"/>
    </row>
    <row r="1086" spans="1:8">
      <c r="A1086" t="s">
        <v>1888</v>
      </c>
      <c r="B1086" t="s">
        <v>238</v>
      </c>
      <c r="C1086" s="4">
        <v>4.4000000000000004</v>
      </c>
      <c r="D1086" s="4">
        <v>24600</v>
      </c>
      <c r="E1086" t="s">
        <v>239</v>
      </c>
      <c r="F1086" s="4">
        <v>19.027620299999999</v>
      </c>
      <c r="G1086">
        <v>72.855041499999999</v>
      </c>
      <c r="H1086"/>
    </row>
    <row r="1087" spans="1:8">
      <c r="A1087" t="s">
        <v>1888</v>
      </c>
      <c r="B1087" t="s">
        <v>1893</v>
      </c>
      <c r="C1087" s="4">
        <v>4.2</v>
      </c>
      <c r="D1087" s="4">
        <v>5746</v>
      </c>
      <c r="E1087" t="s">
        <v>1894</v>
      </c>
      <c r="F1087" s="4">
        <v>19.034059299999999</v>
      </c>
      <c r="G1087">
        <v>72.863132499999907</v>
      </c>
      <c r="H1087"/>
    </row>
    <row r="1088" spans="1:8">
      <c r="A1088" t="s">
        <v>1888</v>
      </c>
      <c r="B1088" t="s">
        <v>1895</v>
      </c>
      <c r="C1088" s="4">
        <v>4</v>
      </c>
      <c r="D1088" s="4">
        <v>508</v>
      </c>
      <c r="E1088" t="s">
        <v>1896</v>
      </c>
      <c r="F1088" s="4">
        <v>19.0455495</v>
      </c>
      <c r="G1088">
        <v>72.864501599999997</v>
      </c>
      <c r="H1088"/>
    </row>
    <row r="1089" spans="1:8">
      <c r="A1089" t="s">
        <v>1888</v>
      </c>
      <c r="B1089" t="s">
        <v>1897</v>
      </c>
      <c r="C1089" s="4">
        <v>4.0999999999999996</v>
      </c>
      <c r="D1089" s="4">
        <v>5013</v>
      </c>
      <c r="E1089" t="s">
        <v>1898</v>
      </c>
      <c r="F1089" s="4">
        <v>19.0452957</v>
      </c>
      <c r="G1089">
        <v>72.864223299999907</v>
      </c>
      <c r="H1089"/>
    </row>
    <row r="1090" spans="1:8">
      <c r="A1090" t="s">
        <v>1888</v>
      </c>
      <c r="B1090" t="s">
        <v>1899</v>
      </c>
      <c r="C1090" s="4">
        <v>4.0999999999999996</v>
      </c>
      <c r="D1090" s="4">
        <v>228</v>
      </c>
      <c r="E1090" t="s">
        <v>1900</v>
      </c>
      <c r="F1090" s="4">
        <v>19.045309199999998</v>
      </c>
      <c r="G1090">
        <v>72.863601599999996</v>
      </c>
      <c r="H1090"/>
    </row>
    <row r="1091" spans="1:8">
      <c r="A1091" t="s">
        <v>1888</v>
      </c>
      <c r="B1091" t="s">
        <v>313</v>
      </c>
      <c r="C1091" s="4">
        <v>4.2</v>
      </c>
      <c r="D1091" s="4">
        <v>5086</v>
      </c>
      <c r="E1091" t="s">
        <v>314</v>
      </c>
      <c r="F1091" s="4">
        <v>19.0276064</v>
      </c>
      <c r="G1091">
        <v>72.855504400000001</v>
      </c>
      <c r="H1091"/>
    </row>
    <row r="1092" spans="1:8">
      <c r="A1092" t="s">
        <v>1888</v>
      </c>
      <c r="B1092" t="s">
        <v>293</v>
      </c>
      <c r="C1092" s="4">
        <v>4.3</v>
      </c>
      <c r="D1092" s="4">
        <v>1817</v>
      </c>
      <c r="E1092" t="s">
        <v>294</v>
      </c>
      <c r="F1092" s="4">
        <v>19.0272942</v>
      </c>
      <c r="G1092">
        <v>72.854620299999993</v>
      </c>
      <c r="H1092"/>
    </row>
    <row r="1093" spans="1:8">
      <c r="A1093" t="s">
        <v>1888</v>
      </c>
      <c r="B1093" t="s">
        <v>1684</v>
      </c>
      <c r="C1093" s="4">
        <v>4.2</v>
      </c>
      <c r="D1093" s="4">
        <v>25</v>
      </c>
      <c r="E1093" t="s">
        <v>1685</v>
      </c>
      <c r="F1093" s="4">
        <v>19.044892300000001</v>
      </c>
      <c r="G1093">
        <v>72.864584699999995</v>
      </c>
      <c r="H1093"/>
    </row>
    <row r="1094" spans="1:8">
      <c r="A1094" t="s">
        <v>1888</v>
      </c>
      <c r="B1094" t="s">
        <v>1901</v>
      </c>
      <c r="C1094" s="4">
        <v>4</v>
      </c>
      <c r="D1094" s="4">
        <v>256</v>
      </c>
      <c r="E1094" t="s">
        <v>1902</v>
      </c>
      <c r="F1094" s="4">
        <v>19.042041999999999</v>
      </c>
      <c r="G1094">
        <v>72.870870699999998</v>
      </c>
      <c r="H1094"/>
    </row>
    <row r="1095" spans="1:8">
      <c r="A1095" t="s">
        <v>1888</v>
      </c>
      <c r="B1095" t="s">
        <v>48</v>
      </c>
      <c r="C1095" s="4">
        <v>4.7</v>
      </c>
      <c r="D1095" s="4">
        <v>1415</v>
      </c>
      <c r="E1095" t="s">
        <v>243</v>
      </c>
      <c r="F1095" s="4">
        <v>19.0408896</v>
      </c>
      <c r="G1095">
        <v>72.846201800000003</v>
      </c>
      <c r="H1095"/>
    </row>
    <row r="1096" spans="1:8">
      <c r="A1096" t="s">
        <v>1888</v>
      </c>
      <c r="B1096" t="s">
        <v>397</v>
      </c>
      <c r="C1096" s="4">
        <v>4.2</v>
      </c>
      <c r="D1096" s="4">
        <v>1556</v>
      </c>
      <c r="E1096" t="s">
        <v>853</v>
      </c>
      <c r="F1096" s="4">
        <v>19.0592644</v>
      </c>
      <c r="G1096">
        <v>72.864664199999893</v>
      </c>
      <c r="H1096"/>
    </row>
    <row r="1097" spans="1:8">
      <c r="A1097" t="s">
        <v>1888</v>
      </c>
      <c r="B1097" t="s">
        <v>1903</v>
      </c>
      <c r="C1097" s="4">
        <v>4</v>
      </c>
      <c r="D1097" s="4">
        <v>3037</v>
      </c>
      <c r="E1097" t="s">
        <v>1904</v>
      </c>
      <c r="F1097" s="4">
        <v>19.042752199999999</v>
      </c>
      <c r="G1097">
        <v>72.8644642</v>
      </c>
      <c r="H1097"/>
    </row>
    <row r="1098" spans="1:8">
      <c r="A1098" t="s">
        <v>1888</v>
      </c>
      <c r="B1098" t="s">
        <v>1905</v>
      </c>
      <c r="C1098" s="4">
        <v>4.2</v>
      </c>
      <c r="D1098" s="4">
        <v>4073</v>
      </c>
      <c r="E1098" t="s">
        <v>1906</v>
      </c>
      <c r="F1098" s="4">
        <v>19.041842599999999</v>
      </c>
      <c r="G1098">
        <v>72.864761700000003</v>
      </c>
      <c r="H1098"/>
    </row>
    <row r="1099" spans="1:8">
      <c r="A1099" t="s">
        <v>1888</v>
      </c>
      <c r="B1099" t="s">
        <v>1907</v>
      </c>
      <c r="C1099" s="4">
        <v>3.9</v>
      </c>
      <c r="D1099" s="4">
        <v>4236</v>
      </c>
      <c r="E1099" t="s">
        <v>1908</v>
      </c>
      <c r="F1099" s="4">
        <v>19.042007399999999</v>
      </c>
      <c r="G1099">
        <v>72.864156499999893</v>
      </c>
      <c r="H1099"/>
    </row>
    <row r="1100" spans="1:8">
      <c r="A1100" t="s">
        <v>1888</v>
      </c>
      <c r="B1100" t="s">
        <v>1909</v>
      </c>
      <c r="C1100" s="4">
        <v>4.4000000000000004</v>
      </c>
      <c r="D1100" s="4">
        <v>2281</v>
      </c>
      <c r="E1100" t="s">
        <v>1910</v>
      </c>
      <c r="F1100" s="4">
        <v>19.042818199999999</v>
      </c>
      <c r="G1100">
        <v>72.861564299999998</v>
      </c>
      <c r="H1100"/>
    </row>
    <row r="1101" spans="1:8">
      <c r="A1101" t="s">
        <v>1888</v>
      </c>
      <c r="B1101" t="s">
        <v>1911</v>
      </c>
      <c r="C1101" s="4">
        <v>4.0999999999999996</v>
      </c>
      <c r="D1101" s="4">
        <v>243</v>
      </c>
      <c r="E1101" t="s">
        <v>1912</v>
      </c>
      <c r="F1101" s="4">
        <v>19.0397462</v>
      </c>
      <c r="G1101">
        <v>72.879436599999906</v>
      </c>
      <c r="H1101"/>
    </row>
    <row r="1102" spans="1:8">
      <c r="A1102" t="s">
        <v>1888</v>
      </c>
      <c r="B1102" t="s">
        <v>1913</v>
      </c>
      <c r="C1102" s="4">
        <v>3.9</v>
      </c>
      <c r="D1102" s="4">
        <v>219</v>
      </c>
      <c r="E1102" t="s">
        <v>1914</v>
      </c>
      <c r="F1102" s="4">
        <v>19.0307861</v>
      </c>
      <c r="G1102">
        <v>72.867304000000004</v>
      </c>
      <c r="H1102"/>
    </row>
    <row r="1103" spans="1:8">
      <c r="A1103" t="s">
        <v>1888</v>
      </c>
      <c r="B1103" t="s">
        <v>305</v>
      </c>
      <c r="C1103" s="4">
        <v>3.5</v>
      </c>
      <c r="D1103" s="4">
        <v>3943</v>
      </c>
      <c r="E1103" t="s">
        <v>306</v>
      </c>
      <c r="F1103" s="4">
        <v>19.026073400000001</v>
      </c>
      <c r="G1103">
        <v>72.854984599999995</v>
      </c>
      <c r="H1103"/>
    </row>
    <row r="1104" spans="1:8">
      <c r="A1104" t="s">
        <v>1888</v>
      </c>
      <c r="B1104" t="s">
        <v>1915</v>
      </c>
      <c r="C1104" s="4">
        <v>4</v>
      </c>
      <c r="D1104" s="4">
        <v>1424</v>
      </c>
      <c r="E1104" t="s">
        <v>1916</v>
      </c>
      <c r="F1104" s="4">
        <v>19.035329000000001</v>
      </c>
      <c r="G1104">
        <v>72.857272699999996</v>
      </c>
      <c r="H1104"/>
    </row>
    <row r="1105" spans="1:8">
      <c r="A1105" t="s">
        <v>1888</v>
      </c>
      <c r="B1105" t="s">
        <v>246</v>
      </c>
      <c r="C1105" s="4">
        <v>4.4000000000000004</v>
      </c>
      <c r="D1105" s="4">
        <v>5790</v>
      </c>
      <c r="E1105" t="s">
        <v>247</v>
      </c>
      <c r="F1105" s="4">
        <v>19.0390084</v>
      </c>
      <c r="G1105">
        <v>72.842680099999995</v>
      </c>
      <c r="H1105"/>
    </row>
    <row r="1106" spans="1:8">
      <c r="A1106" t="s">
        <v>1888</v>
      </c>
      <c r="B1106" t="s">
        <v>208</v>
      </c>
      <c r="C1106" s="4">
        <v>4.0999999999999996</v>
      </c>
      <c r="D1106" s="4">
        <v>8457</v>
      </c>
      <c r="E1106" t="s">
        <v>209</v>
      </c>
      <c r="F1106" s="4">
        <v>19.0168049</v>
      </c>
      <c r="G1106">
        <v>72.846186899999907</v>
      </c>
      <c r="H1106"/>
    </row>
    <row r="1107" spans="1:8">
      <c r="A1107" t="s">
        <v>1888</v>
      </c>
      <c r="B1107" t="s">
        <v>1917</v>
      </c>
      <c r="C1107" s="4">
        <v>4</v>
      </c>
      <c r="D1107" s="4">
        <v>275</v>
      </c>
      <c r="E1107" t="s">
        <v>1918</v>
      </c>
      <c r="F1107" s="4">
        <v>19.035129000000001</v>
      </c>
      <c r="G1107">
        <v>72.8611547</v>
      </c>
      <c r="H1107"/>
    </row>
    <row r="1108" spans="1:8">
      <c r="A1108" t="s">
        <v>1888</v>
      </c>
      <c r="B1108" t="s">
        <v>1919</v>
      </c>
      <c r="C1108" s="4">
        <v>4.4000000000000004</v>
      </c>
      <c r="D1108" s="4">
        <v>46</v>
      </c>
      <c r="E1108" t="s">
        <v>1920</v>
      </c>
      <c r="F1108" s="4">
        <v>19.052607999999999</v>
      </c>
      <c r="G1108">
        <v>72.871633199999906</v>
      </c>
      <c r="H1108"/>
    </row>
    <row r="1109" spans="1:8">
      <c r="A1109" t="s">
        <v>1888</v>
      </c>
      <c r="B1109" t="s">
        <v>1921</v>
      </c>
      <c r="C1109" s="4">
        <v>4.3</v>
      </c>
      <c r="D1109" s="4">
        <v>1829</v>
      </c>
      <c r="E1109" t="s">
        <v>1922</v>
      </c>
      <c r="F1109" s="4">
        <v>19.034498500000002</v>
      </c>
      <c r="G1109">
        <v>72.863080100000005</v>
      </c>
      <c r="H1109"/>
    </row>
    <row r="1110" spans="1:8">
      <c r="A1110" t="s">
        <v>1888</v>
      </c>
      <c r="B1110" t="s">
        <v>1923</v>
      </c>
      <c r="C1110" s="4">
        <v>3.8</v>
      </c>
      <c r="D1110" s="4">
        <v>70</v>
      </c>
      <c r="E1110" t="s">
        <v>1924</v>
      </c>
      <c r="F1110" s="4">
        <v>19.043691200000001</v>
      </c>
      <c r="G1110">
        <v>72.864030499999998</v>
      </c>
      <c r="H1110"/>
    </row>
    <row r="1111" spans="1:8">
      <c r="A1111" t="s">
        <v>1888</v>
      </c>
      <c r="B1111" t="s">
        <v>250</v>
      </c>
      <c r="C1111" s="4">
        <v>4.2</v>
      </c>
      <c r="D1111" s="4">
        <v>4162</v>
      </c>
      <c r="E1111" t="s">
        <v>251</v>
      </c>
      <c r="F1111" s="4">
        <v>19.031528699999999</v>
      </c>
      <c r="G1111">
        <v>72.838803900000002</v>
      </c>
      <c r="H1111"/>
    </row>
    <row r="1112" spans="1:8">
      <c r="A1112" t="s">
        <v>1888</v>
      </c>
      <c r="B1112" t="s">
        <v>1925</v>
      </c>
      <c r="C1112" s="4">
        <v>4.2</v>
      </c>
      <c r="D1112" s="4">
        <v>5234</v>
      </c>
      <c r="E1112" t="s">
        <v>1926</v>
      </c>
      <c r="F1112" s="4">
        <v>19.045632099999999</v>
      </c>
      <c r="G1112">
        <v>72.863506399999906</v>
      </c>
      <c r="H1112"/>
    </row>
    <row r="1113" spans="1:8">
      <c r="A1113" t="s">
        <v>1888</v>
      </c>
      <c r="B1113" t="s">
        <v>297</v>
      </c>
      <c r="C1113" s="4">
        <v>4.3</v>
      </c>
      <c r="D1113" s="4">
        <v>675</v>
      </c>
      <c r="E1113" t="s">
        <v>298</v>
      </c>
      <c r="F1113" s="4">
        <v>19.026518599999999</v>
      </c>
      <c r="G1113">
        <v>72.856184499999998</v>
      </c>
      <c r="H1113"/>
    </row>
    <row r="1114" spans="1:8">
      <c r="A1114" t="s">
        <v>1888</v>
      </c>
      <c r="B1114" t="s">
        <v>1927</v>
      </c>
      <c r="C1114" s="4">
        <v>4.0999999999999996</v>
      </c>
      <c r="D1114" s="4">
        <v>946</v>
      </c>
      <c r="E1114" t="s">
        <v>1928</v>
      </c>
      <c r="F1114" s="4">
        <v>19.0428748</v>
      </c>
      <c r="G1114">
        <v>72.861902899999905</v>
      </c>
      <c r="H1114"/>
    </row>
    <row r="1115" spans="1:8">
      <c r="A1115" t="s">
        <v>1888</v>
      </c>
      <c r="B1115" t="s">
        <v>1929</v>
      </c>
      <c r="C1115" s="4">
        <v>5</v>
      </c>
      <c r="D1115" s="4">
        <v>97</v>
      </c>
      <c r="E1115" t="s">
        <v>1930</v>
      </c>
      <c r="F1115" s="4">
        <v>19.0434029</v>
      </c>
      <c r="G1115">
        <v>72.861677599999993</v>
      </c>
      <c r="H1115"/>
    </row>
    <row r="1116" spans="1:8">
      <c r="A1116" t="s">
        <v>1888</v>
      </c>
      <c r="B1116" t="s">
        <v>1931</v>
      </c>
      <c r="C1116" s="4">
        <v>3.9</v>
      </c>
      <c r="D1116" s="4">
        <v>772</v>
      </c>
      <c r="E1116" t="s">
        <v>1932</v>
      </c>
      <c r="F1116" s="4">
        <v>19.039558400000001</v>
      </c>
      <c r="G1116">
        <v>72.861467099999999</v>
      </c>
      <c r="H1116"/>
    </row>
    <row r="1117" spans="1:8">
      <c r="A1117" t="s">
        <v>1888</v>
      </c>
      <c r="B1117" t="s">
        <v>1933</v>
      </c>
      <c r="C1117" s="4">
        <v>4.9000000000000004</v>
      </c>
      <c r="D1117" s="4">
        <v>20</v>
      </c>
      <c r="E1117" t="s">
        <v>1934</v>
      </c>
      <c r="F1117" s="4">
        <v>19.031037999999999</v>
      </c>
      <c r="G1117">
        <v>72.859948099999997</v>
      </c>
      <c r="H1117"/>
    </row>
    <row r="1118" spans="1:8">
      <c r="A1118" t="s">
        <v>1888</v>
      </c>
      <c r="B1118" t="s">
        <v>1935</v>
      </c>
      <c r="C1118" s="4">
        <v>3.8</v>
      </c>
      <c r="D1118" s="4">
        <v>758</v>
      </c>
      <c r="E1118" t="s">
        <v>1936</v>
      </c>
      <c r="F1118" s="4">
        <v>19.0344461</v>
      </c>
      <c r="G1118">
        <v>72.862913399999996</v>
      </c>
      <c r="H1118"/>
    </row>
    <row r="1119" spans="1:8">
      <c r="A1119" t="s">
        <v>1888</v>
      </c>
      <c r="B1119" t="s">
        <v>1937</v>
      </c>
      <c r="C1119" s="4">
        <v>5</v>
      </c>
      <c r="D1119" s="4">
        <v>5</v>
      </c>
      <c r="E1119" t="s">
        <v>1938</v>
      </c>
      <c r="F1119" s="4">
        <v>19.047563100000001</v>
      </c>
      <c r="G1119">
        <v>72.865520099999998</v>
      </c>
      <c r="H1119"/>
    </row>
    <row r="1120" spans="1:8">
      <c r="A1120" t="s">
        <v>1888</v>
      </c>
      <c r="B1120" t="s">
        <v>48</v>
      </c>
      <c r="C1120" s="4">
        <v>4.9000000000000004</v>
      </c>
      <c r="D1120" s="4">
        <v>420</v>
      </c>
      <c r="E1120" t="s">
        <v>850</v>
      </c>
      <c r="F1120" s="4">
        <v>19.0718611</v>
      </c>
      <c r="G1120">
        <v>72.876555600000003</v>
      </c>
      <c r="H1120"/>
    </row>
    <row r="1121" spans="1:8">
      <c r="A1121" t="s">
        <v>1888</v>
      </c>
      <c r="B1121" t="s">
        <v>1939</v>
      </c>
      <c r="C1121" s="4">
        <v>4.5</v>
      </c>
      <c r="D1121" s="4">
        <v>51</v>
      </c>
      <c r="E1121" t="s">
        <v>1940</v>
      </c>
      <c r="F1121" s="4">
        <v>19.039823299999998</v>
      </c>
      <c r="G1121">
        <v>72.879319699999996</v>
      </c>
      <c r="H1121"/>
    </row>
    <row r="1122" spans="1:8">
      <c r="A1122" t="s">
        <v>1888</v>
      </c>
      <c r="B1122" t="s">
        <v>315</v>
      </c>
      <c r="C1122" s="4">
        <v>4.0999999999999996</v>
      </c>
      <c r="D1122" s="4">
        <v>810</v>
      </c>
      <c r="E1122" t="s">
        <v>316</v>
      </c>
      <c r="F1122" s="4">
        <v>19.018442</v>
      </c>
      <c r="G1122">
        <v>72.856666899999993</v>
      </c>
      <c r="H1122"/>
    </row>
    <row r="1123" spans="1:8">
      <c r="A1123" t="s">
        <v>1888</v>
      </c>
      <c r="B1123" t="s">
        <v>1941</v>
      </c>
      <c r="C1123" s="4">
        <v>4.3</v>
      </c>
      <c r="D1123" s="4">
        <v>553</v>
      </c>
      <c r="E1123" t="s">
        <v>1942</v>
      </c>
      <c r="F1123" s="4">
        <v>19.045266300000002</v>
      </c>
      <c r="G1123">
        <v>72.864417000000003</v>
      </c>
      <c r="H1123"/>
    </row>
    <row r="1124" spans="1:8">
      <c r="A1124" t="s">
        <v>1888</v>
      </c>
      <c r="B1124" t="s">
        <v>1943</v>
      </c>
      <c r="C1124" s="4">
        <v>4</v>
      </c>
      <c r="D1124" s="4">
        <v>565</v>
      </c>
      <c r="E1124" t="s">
        <v>1944</v>
      </c>
      <c r="F1124" s="4">
        <v>19.032071299999998</v>
      </c>
      <c r="G1124">
        <v>72.858370699999995</v>
      </c>
      <c r="H1124"/>
    </row>
    <row r="1125" spans="1:8">
      <c r="A1125" t="s">
        <v>1888</v>
      </c>
      <c r="B1125" t="s">
        <v>1945</v>
      </c>
      <c r="C1125" s="4">
        <v>4.5999999999999996</v>
      </c>
      <c r="D1125" s="4">
        <v>96</v>
      </c>
      <c r="E1125" t="s">
        <v>1946</v>
      </c>
      <c r="F1125" s="4">
        <v>19.022539099999999</v>
      </c>
      <c r="G1125">
        <v>72.857116699999906</v>
      </c>
      <c r="H1125"/>
    </row>
    <row r="1126" spans="1:8">
      <c r="A1126" t="s">
        <v>1888</v>
      </c>
      <c r="B1126" t="s">
        <v>1947</v>
      </c>
      <c r="C1126" s="4">
        <v>4.2</v>
      </c>
      <c r="D1126" s="4">
        <v>133</v>
      </c>
      <c r="E1126" t="s">
        <v>1948</v>
      </c>
      <c r="F1126" s="4">
        <v>19.033331</v>
      </c>
      <c r="G1126">
        <v>72.861379599999907</v>
      </c>
      <c r="H1126"/>
    </row>
    <row r="1127" spans="1:8">
      <c r="A1127" t="s">
        <v>1888</v>
      </c>
      <c r="B1127" t="s">
        <v>1949</v>
      </c>
      <c r="C1127" s="4">
        <v>4.4000000000000004</v>
      </c>
      <c r="D1127" s="4">
        <v>32304</v>
      </c>
      <c r="E1127" t="s">
        <v>1950</v>
      </c>
      <c r="F1127" s="4">
        <v>19.027998799999999</v>
      </c>
      <c r="G1127">
        <v>72.851720799999995</v>
      </c>
      <c r="H1127"/>
    </row>
    <row r="1128" spans="1:8">
      <c r="A1128" t="s">
        <v>1888</v>
      </c>
      <c r="B1128" t="s">
        <v>1951</v>
      </c>
      <c r="C1128" s="4">
        <v>4.9000000000000004</v>
      </c>
      <c r="D1128" s="4">
        <v>146</v>
      </c>
      <c r="E1128" t="s">
        <v>1952</v>
      </c>
      <c r="F1128" s="4">
        <v>19.036265700000001</v>
      </c>
      <c r="G1128">
        <v>72.846831199999997</v>
      </c>
      <c r="H1128"/>
    </row>
    <row r="1129" spans="1:8">
      <c r="A1129" t="s">
        <v>1888</v>
      </c>
      <c r="B1129" t="s">
        <v>1953</v>
      </c>
      <c r="C1129" s="4">
        <v>4.7</v>
      </c>
      <c r="D1129" s="4">
        <v>245</v>
      </c>
      <c r="E1129" t="s">
        <v>1954</v>
      </c>
      <c r="F1129" s="4">
        <v>19.0774717</v>
      </c>
      <c r="G1129">
        <v>72.849217799999906</v>
      </c>
      <c r="H1129"/>
    </row>
    <row r="1130" spans="1:8">
      <c r="A1130" t="s">
        <v>1888</v>
      </c>
      <c r="B1130" t="s">
        <v>216</v>
      </c>
      <c r="C1130" s="4">
        <v>4.2</v>
      </c>
      <c r="D1130" s="4">
        <v>846</v>
      </c>
      <c r="E1130" t="s">
        <v>217</v>
      </c>
      <c r="F1130" s="4">
        <v>19.017466299999999</v>
      </c>
      <c r="G1130">
        <v>72.848709299999996</v>
      </c>
      <c r="H1130"/>
    </row>
    <row r="1131" spans="1:8">
      <c r="A1131" t="s">
        <v>1888</v>
      </c>
      <c r="B1131" t="s">
        <v>889</v>
      </c>
      <c r="C1131" s="4">
        <v>3.9</v>
      </c>
      <c r="D1131" s="4">
        <v>1394</v>
      </c>
      <c r="E1131" t="s">
        <v>890</v>
      </c>
      <c r="F1131" s="4">
        <v>19.059376799999999</v>
      </c>
      <c r="G1131">
        <v>72.865386099999995</v>
      </c>
      <c r="H1131"/>
    </row>
    <row r="1132" spans="1:8">
      <c r="A1132" t="s">
        <v>1888</v>
      </c>
      <c r="B1132" t="s">
        <v>504</v>
      </c>
      <c r="C1132" s="4">
        <v>4.2</v>
      </c>
      <c r="D1132" s="4">
        <v>3653</v>
      </c>
      <c r="E1132" t="s">
        <v>505</v>
      </c>
      <c r="F1132" s="4">
        <v>19.0669696</v>
      </c>
      <c r="G1132">
        <v>72.832881999999998</v>
      </c>
      <c r="H1132"/>
    </row>
    <row r="1133" spans="1:8">
      <c r="A1133" t="s">
        <v>1888</v>
      </c>
      <c r="B1133" t="s">
        <v>1955</v>
      </c>
      <c r="C1133" s="4">
        <v>3.4</v>
      </c>
      <c r="D1133" s="4">
        <v>436</v>
      </c>
      <c r="E1133" t="s">
        <v>1956</v>
      </c>
      <c r="F1133" s="4">
        <v>19.039430400000001</v>
      </c>
      <c r="G1133">
        <v>72.867253099999999</v>
      </c>
      <c r="H1133"/>
    </row>
    <row r="1134" spans="1:8">
      <c r="A1134" t="s">
        <v>1888</v>
      </c>
      <c r="B1134" t="s">
        <v>1134</v>
      </c>
      <c r="C1134" s="4">
        <v>4.2</v>
      </c>
      <c r="D1134" s="4">
        <v>1546</v>
      </c>
      <c r="E1134" t="s">
        <v>1957</v>
      </c>
      <c r="F1134" s="4">
        <v>19.0273173</v>
      </c>
      <c r="G1134">
        <v>72.854574900000003</v>
      </c>
      <c r="H1134"/>
    </row>
    <row r="1135" spans="1:8">
      <c r="A1135" t="s">
        <v>1888</v>
      </c>
      <c r="B1135" t="s">
        <v>434</v>
      </c>
      <c r="C1135" s="4">
        <v>4.5</v>
      </c>
      <c r="D1135" s="4">
        <v>543</v>
      </c>
      <c r="E1135" t="s">
        <v>435</v>
      </c>
      <c r="F1135" s="4">
        <v>19.0524466</v>
      </c>
      <c r="G1135">
        <v>72.828589800000003</v>
      </c>
      <c r="H1135"/>
    </row>
    <row r="1136" spans="1:8">
      <c r="A1136" t="s">
        <v>1888</v>
      </c>
      <c r="B1136" t="s">
        <v>1958</v>
      </c>
      <c r="C1136" s="4">
        <v>4.3</v>
      </c>
      <c r="D1136" s="4">
        <v>1237</v>
      </c>
      <c r="E1136" t="s">
        <v>1959</v>
      </c>
      <c r="F1136" s="4">
        <v>19.026062499999998</v>
      </c>
      <c r="G1136">
        <v>72.855417899999907</v>
      </c>
      <c r="H1136"/>
    </row>
    <row r="1137" spans="1:8">
      <c r="A1137" t="s">
        <v>1888</v>
      </c>
      <c r="B1137" t="s">
        <v>1960</v>
      </c>
      <c r="C1137" s="4">
        <v>4</v>
      </c>
      <c r="D1137" s="4">
        <v>58</v>
      </c>
      <c r="E1137" t="s">
        <v>1961</v>
      </c>
      <c r="F1137" s="4">
        <v>19.0433807</v>
      </c>
      <c r="G1137">
        <v>72.872026199999993</v>
      </c>
      <c r="H1137"/>
    </row>
    <row r="1138" spans="1:8">
      <c r="A1138" t="s">
        <v>1888</v>
      </c>
      <c r="B1138" t="s">
        <v>1962</v>
      </c>
      <c r="C1138" s="4">
        <v>3.8</v>
      </c>
      <c r="D1138" s="4">
        <v>206</v>
      </c>
      <c r="E1138" t="s">
        <v>1963</v>
      </c>
      <c r="F1138" s="4">
        <v>19.0436497</v>
      </c>
      <c r="G1138">
        <v>72.864081400000003</v>
      </c>
      <c r="H1138"/>
    </row>
    <row r="1139" spans="1:8">
      <c r="A1139" t="s">
        <v>1888</v>
      </c>
      <c r="B1139" t="s">
        <v>1964</v>
      </c>
      <c r="C1139" s="4">
        <v>3.8</v>
      </c>
      <c r="D1139" s="4">
        <v>1540</v>
      </c>
      <c r="E1139" t="s">
        <v>1965</v>
      </c>
      <c r="F1139" s="4">
        <v>19.045499899999999</v>
      </c>
      <c r="G1139">
        <v>72.863466500000001</v>
      </c>
      <c r="H1139"/>
    </row>
    <row r="1140" spans="1:8">
      <c r="A1140" t="s">
        <v>1888</v>
      </c>
      <c r="B1140" t="s">
        <v>1966</v>
      </c>
      <c r="C1140" s="4">
        <v>4.0999999999999996</v>
      </c>
      <c r="D1140" s="4">
        <v>887</v>
      </c>
      <c r="E1140" t="s">
        <v>1967</v>
      </c>
      <c r="F1140" s="4">
        <v>19.032011099999998</v>
      </c>
      <c r="G1140">
        <v>72.860050299999997</v>
      </c>
      <c r="H1140"/>
    </row>
    <row r="1141" spans="1:8">
      <c r="A1141" t="s">
        <v>1888</v>
      </c>
      <c r="B1141" t="s">
        <v>1968</v>
      </c>
      <c r="C1141" s="4">
        <v>4.0999999999999996</v>
      </c>
      <c r="D1141" s="4">
        <v>143</v>
      </c>
      <c r="E1141" t="s">
        <v>1969</v>
      </c>
      <c r="F1141" s="4">
        <v>19.0341123</v>
      </c>
      <c r="G1141">
        <v>72.862191699999997</v>
      </c>
      <c r="H1141"/>
    </row>
    <row r="1142" spans="1:8">
      <c r="A1142" t="s">
        <v>1970</v>
      </c>
      <c r="B1142" t="s">
        <v>1971</v>
      </c>
      <c r="C1142" s="4">
        <v>4.7</v>
      </c>
      <c r="D1142" s="4">
        <v>341</v>
      </c>
      <c r="E1142" t="s">
        <v>1972</v>
      </c>
      <c r="F1142" s="4">
        <v>19.236003</v>
      </c>
      <c r="G1142">
        <v>72.970084</v>
      </c>
      <c r="H1142"/>
    </row>
    <row r="1143" spans="1:8">
      <c r="A1143" t="s">
        <v>1970</v>
      </c>
      <c r="B1143" t="s">
        <v>1973</v>
      </c>
      <c r="C1143" s="4">
        <v>4.3</v>
      </c>
      <c r="D1143" s="4">
        <v>3283</v>
      </c>
      <c r="E1143" t="s">
        <v>1974</v>
      </c>
      <c r="F1143" s="4">
        <v>19.2271027</v>
      </c>
      <c r="G1143">
        <v>72.973938199999907</v>
      </c>
      <c r="H1143"/>
    </row>
    <row r="1144" spans="1:8">
      <c r="A1144" t="s">
        <v>1970</v>
      </c>
      <c r="B1144" t="s">
        <v>1975</v>
      </c>
      <c r="C1144" s="4">
        <v>3.7</v>
      </c>
      <c r="D1144" s="4">
        <v>995</v>
      </c>
      <c r="E1144" t="s">
        <v>1976</v>
      </c>
      <c r="F1144" s="4">
        <v>19.187657600000001</v>
      </c>
      <c r="G1144">
        <v>72.960639799999996</v>
      </c>
      <c r="H1144"/>
    </row>
    <row r="1145" spans="1:8">
      <c r="A1145" t="s">
        <v>1970</v>
      </c>
      <c r="B1145" t="s">
        <v>1977</v>
      </c>
      <c r="C1145" s="4">
        <v>4</v>
      </c>
      <c r="D1145" s="4">
        <v>2132</v>
      </c>
      <c r="E1145" t="s">
        <v>1978</v>
      </c>
      <c r="F1145" s="4">
        <v>19.189621299999999</v>
      </c>
      <c r="G1145">
        <v>72.965772799999996</v>
      </c>
      <c r="H1145"/>
    </row>
    <row r="1146" spans="1:8">
      <c r="A1146" t="s">
        <v>1970</v>
      </c>
      <c r="B1146" t="s">
        <v>1979</v>
      </c>
      <c r="C1146" s="4">
        <v>4.0999999999999996</v>
      </c>
      <c r="D1146" s="4">
        <v>942</v>
      </c>
      <c r="E1146" t="s">
        <v>1980</v>
      </c>
      <c r="F1146" s="4">
        <v>19.240100600000002</v>
      </c>
      <c r="G1146">
        <v>72.969297799999893</v>
      </c>
      <c r="H1146"/>
    </row>
    <row r="1147" spans="1:8">
      <c r="A1147" t="s">
        <v>1970</v>
      </c>
      <c r="B1147" t="s">
        <v>1981</v>
      </c>
      <c r="C1147" s="4">
        <v>4.5</v>
      </c>
      <c r="D1147" s="4">
        <v>463</v>
      </c>
      <c r="E1147" t="s">
        <v>1982</v>
      </c>
      <c r="F1147" s="4">
        <v>19.253601700000001</v>
      </c>
      <c r="G1147">
        <v>72.973418499999994</v>
      </c>
      <c r="H1147"/>
    </row>
    <row r="1148" spans="1:8">
      <c r="A1148" t="s">
        <v>1970</v>
      </c>
      <c r="B1148" t="s">
        <v>1983</v>
      </c>
      <c r="C1148" s="4">
        <v>4.2</v>
      </c>
      <c r="D1148" s="4">
        <v>10672</v>
      </c>
      <c r="E1148" t="s">
        <v>1984</v>
      </c>
      <c r="F1148" s="4">
        <v>19.1949817</v>
      </c>
      <c r="G1148">
        <v>72.976551799999996</v>
      </c>
      <c r="H1148"/>
    </row>
    <row r="1149" spans="1:8">
      <c r="A1149" t="s">
        <v>1970</v>
      </c>
      <c r="B1149" t="s">
        <v>1985</v>
      </c>
      <c r="C1149" s="4">
        <v>4.4000000000000004</v>
      </c>
      <c r="D1149" s="4">
        <v>698</v>
      </c>
      <c r="E1149" t="s">
        <v>1986</v>
      </c>
      <c r="F1149" s="4">
        <v>19.244108700000002</v>
      </c>
      <c r="G1149">
        <v>72.995818999999997</v>
      </c>
      <c r="H1149"/>
    </row>
    <row r="1150" spans="1:8">
      <c r="A1150" t="s">
        <v>1970</v>
      </c>
      <c r="B1150" t="s">
        <v>1987</v>
      </c>
      <c r="C1150" s="4">
        <v>3.9</v>
      </c>
      <c r="D1150" s="4">
        <v>288</v>
      </c>
      <c r="E1150" t="s">
        <v>1988</v>
      </c>
      <c r="F1150" s="4">
        <v>19.192506099999999</v>
      </c>
      <c r="G1150">
        <v>72.976871299999999</v>
      </c>
      <c r="H1150"/>
    </row>
    <row r="1151" spans="1:8">
      <c r="A1151" t="s">
        <v>1970</v>
      </c>
      <c r="B1151" t="s">
        <v>1989</v>
      </c>
      <c r="C1151" s="4">
        <v>4.3</v>
      </c>
      <c r="D1151" s="4">
        <v>520</v>
      </c>
      <c r="E1151" t="s">
        <v>1990</v>
      </c>
      <c r="F1151" s="4">
        <v>19.2162462</v>
      </c>
      <c r="G1151">
        <v>72.972896800000001</v>
      </c>
      <c r="H1151"/>
    </row>
    <row r="1152" spans="1:8">
      <c r="A1152" t="s">
        <v>1970</v>
      </c>
      <c r="B1152" t="s">
        <v>1991</v>
      </c>
      <c r="C1152" s="4">
        <v>4.3</v>
      </c>
      <c r="D1152" s="4">
        <v>1444</v>
      </c>
      <c r="E1152" t="s">
        <v>1992</v>
      </c>
      <c r="F1152" s="4">
        <v>19.1930549</v>
      </c>
      <c r="G1152">
        <v>72.967446100000004</v>
      </c>
      <c r="H1152"/>
    </row>
    <row r="1153" spans="1:8">
      <c r="A1153" t="s">
        <v>1970</v>
      </c>
      <c r="B1153" t="s">
        <v>1993</v>
      </c>
      <c r="C1153" s="4">
        <v>4.8</v>
      </c>
      <c r="D1153" s="4">
        <v>104</v>
      </c>
      <c r="E1153" t="s">
        <v>1994</v>
      </c>
      <c r="F1153" s="4">
        <v>19.227010100000001</v>
      </c>
      <c r="G1153">
        <v>72.973902499999994</v>
      </c>
      <c r="H1153"/>
    </row>
    <row r="1154" spans="1:8">
      <c r="A1154" t="s">
        <v>1970</v>
      </c>
      <c r="B1154" t="s">
        <v>1995</v>
      </c>
      <c r="C1154" s="4">
        <v>4</v>
      </c>
      <c r="D1154" s="4">
        <v>86</v>
      </c>
      <c r="E1154" t="s">
        <v>1996</v>
      </c>
      <c r="F1154" s="4">
        <v>19.1886945</v>
      </c>
      <c r="G1154">
        <v>72.954631800000001</v>
      </c>
      <c r="H1154"/>
    </row>
    <row r="1155" spans="1:8">
      <c r="A1155" t="s">
        <v>1970</v>
      </c>
      <c r="B1155" t="s">
        <v>1997</v>
      </c>
      <c r="C1155" s="4">
        <v>4.4000000000000004</v>
      </c>
      <c r="D1155" s="4">
        <v>260</v>
      </c>
      <c r="E1155" t="s">
        <v>1998</v>
      </c>
      <c r="F1155" s="4">
        <v>19.250929599999999</v>
      </c>
      <c r="G1155">
        <v>72.981668099999993</v>
      </c>
      <c r="H1155"/>
    </row>
    <row r="1156" spans="1:8">
      <c r="A1156" t="s">
        <v>1970</v>
      </c>
      <c r="B1156" t="s">
        <v>1999</v>
      </c>
      <c r="C1156" s="4">
        <v>4.5999999999999996</v>
      </c>
      <c r="D1156" s="4">
        <v>318</v>
      </c>
      <c r="E1156" t="s">
        <v>2000</v>
      </c>
      <c r="F1156" s="4">
        <v>19.204369499999999</v>
      </c>
      <c r="G1156">
        <v>72.969797299999996</v>
      </c>
      <c r="H1156"/>
    </row>
    <row r="1157" spans="1:8">
      <c r="A1157" t="s">
        <v>1970</v>
      </c>
      <c r="B1157" t="s">
        <v>1161</v>
      </c>
      <c r="C1157" s="4">
        <v>4.5</v>
      </c>
      <c r="D1157" s="4">
        <v>514</v>
      </c>
      <c r="E1157" t="s">
        <v>1162</v>
      </c>
      <c r="F1157" s="4">
        <v>19.191727199999999</v>
      </c>
      <c r="G1157">
        <v>72.954816600000001</v>
      </c>
      <c r="H1157"/>
    </row>
    <row r="1158" spans="1:8">
      <c r="A1158" t="s">
        <v>1970</v>
      </c>
      <c r="B1158" t="s">
        <v>2001</v>
      </c>
      <c r="C1158" s="4">
        <v>4.8</v>
      </c>
      <c r="D1158" s="4">
        <v>433</v>
      </c>
      <c r="E1158" t="s">
        <v>2002</v>
      </c>
      <c r="F1158" s="4">
        <v>19.227101000000001</v>
      </c>
      <c r="G1158">
        <v>72.9705479</v>
      </c>
      <c r="H1158"/>
    </row>
    <row r="1159" spans="1:8">
      <c r="A1159" t="s">
        <v>1970</v>
      </c>
      <c r="B1159" t="s">
        <v>2003</v>
      </c>
      <c r="C1159" s="4">
        <v>4</v>
      </c>
      <c r="D1159" s="4">
        <v>1842</v>
      </c>
      <c r="E1159" t="s">
        <v>2004</v>
      </c>
      <c r="F1159" s="4">
        <v>19.192499300000001</v>
      </c>
      <c r="G1159">
        <v>72.971007999999998</v>
      </c>
      <c r="H1159"/>
    </row>
    <row r="1160" spans="1:8">
      <c r="A1160" t="s">
        <v>1970</v>
      </c>
      <c r="B1160" t="s">
        <v>2005</v>
      </c>
      <c r="C1160" s="4">
        <v>4.3</v>
      </c>
      <c r="D1160" s="4">
        <v>1158</v>
      </c>
      <c r="E1160" t="s">
        <v>2006</v>
      </c>
      <c r="F1160" s="4">
        <v>19.255773699999999</v>
      </c>
      <c r="G1160">
        <v>72.983936200000002</v>
      </c>
      <c r="H1160"/>
    </row>
    <row r="1161" spans="1:8">
      <c r="A1161" t="s">
        <v>1970</v>
      </c>
      <c r="B1161" t="s">
        <v>2007</v>
      </c>
      <c r="C1161" s="4">
        <v>4.5999999999999996</v>
      </c>
      <c r="D1161" s="4">
        <v>840</v>
      </c>
      <c r="E1161" t="s">
        <v>2008</v>
      </c>
      <c r="F1161" s="4">
        <v>19.197184199999999</v>
      </c>
      <c r="G1161">
        <v>72.955520899999996</v>
      </c>
      <c r="H1161"/>
    </row>
    <row r="1162" spans="1:8">
      <c r="A1162" t="s">
        <v>1970</v>
      </c>
      <c r="B1162" t="s">
        <v>2009</v>
      </c>
      <c r="C1162" s="4">
        <v>4.0999999999999996</v>
      </c>
      <c r="D1162" s="4">
        <v>742</v>
      </c>
      <c r="E1162" t="s">
        <v>2010</v>
      </c>
      <c r="F1162" s="4">
        <v>19.187557000000002</v>
      </c>
      <c r="G1162">
        <v>72.969451699999993</v>
      </c>
      <c r="H1162"/>
    </row>
    <row r="1163" spans="1:8">
      <c r="A1163" t="s">
        <v>1970</v>
      </c>
      <c r="B1163" t="s">
        <v>2011</v>
      </c>
      <c r="C1163" s="4">
        <v>4.5999999999999996</v>
      </c>
      <c r="D1163" s="4">
        <v>175</v>
      </c>
      <c r="E1163" t="s">
        <v>2012</v>
      </c>
      <c r="F1163" s="4">
        <v>19.189751300000001</v>
      </c>
      <c r="G1163">
        <v>72.965825299999906</v>
      </c>
      <c r="H1163"/>
    </row>
    <row r="1164" spans="1:8">
      <c r="A1164" t="s">
        <v>1970</v>
      </c>
      <c r="B1164" t="s">
        <v>48</v>
      </c>
      <c r="C1164" s="4">
        <v>4.8</v>
      </c>
      <c r="D1164" s="4">
        <v>714</v>
      </c>
      <c r="E1164" t="s">
        <v>2013</v>
      </c>
      <c r="F1164" s="4">
        <v>19.2086994</v>
      </c>
      <c r="G1164">
        <v>72.971461599999998</v>
      </c>
      <c r="H1164"/>
    </row>
    <row r="1165" spans="1:8">
      <c r="A1165" t="s">
        <v>1970</v>
      </c>
      <c r="B1165" t="s">
        <v>2014</v>
      </c>
      <c r="C1165" s="4">
        <v>4.5</v>
      </c>
      <c r="D1165" s="4">
        <v>559</v>
      </c>
      <c r="E1165" t="s">
        <v>2015</v>
      </c>
      <c r="F1165" s="4">
        <v>19.2056881</v>
      </c>
      <c r="G1165">
        <v>72.977210499999998</v>
      </c>
      <c r="H1165"/>
    </row>
    <row r="1166" spans="1:8">
      <c r="A1166" t="s">
        <v>1970</v>
      </c>
      <c r="B1166" t="s">
        <v>2016</v>
      </c>
      <c r="C1166" s="4">
        <v>4.4000000000000004</v>
      </c>
      <c r="D1166" s="4">
        <v>795</v>
      </c>
      <c r="E1166" t="s">
        <v>2017</v>
      </c>
      <c r="F1166" s="4">
        <v>19.231204000000002</v>
      </c>
      <c r="G1166">
        <v>72.977219199999993</v>
      </c>
      <c r="H1166"/>
    </row>
    <row r="1167" spans="1:8">
      <c r="A1167" t="s">
        <v>1970</v>
      </c>
      <c r="B1167" t="s">
        <v>2018</v>
      </c>
      <c r="C1167" s="4">
        <v>4.7</v>
      </c>
      <c r="D1167" s="4">
        <v>170</v>
      </c>
      <c r="E1167" t="s">
        <v>2019</v>
      </c>
      <c r="F1167" s="4">
        <v>19.232445299999998</v>
      </c>
      <c r="G1167">
        <v>72.971576299999995</v>
      </c>
      <c r="H1167"/>
    </row>
    <row r="1168" spans="1:8">
      <c r="A1168" t="s">
        <v>1970</v>
      </c>
      <c r="B1168" t="s">
        <v>2020</v>
      </c>
      <c r="C1168" s="4">
        <v>4.8</v>
      </c>
      <c r="D1168" s="4">
        <v>27</v>
      </c>
      <c r="E1168" t="s">
        <v>2021</v>
      </c>
      <c r="F1168" s="4">
        <v>19.226470500000001</v>
      </c>
      <c r="G1168">
        <v>72.970475199999996</v>
      </c>
      <c r="H1168"/>
    </row>
    <row r="1169" spans="1:8">
      <c r="A1169" t="s">
        <v>1970</v>
      </c>
      <c r="B1169" t="s">
        <v>2022</v>
      </c>
      <c r="C1169" s="4">
        <v>4.4000000000000004</v>
      </c>
      <c r="D1169" s="4">
        <v>1095</v>
      </c>
      <c r="E1169" t="s">
        <v>2023</v>
      </c>
      <c r="F1169" s="4">
        <v>19.255536800000002</v>
      </c>
      <c r="G1169">
        <v>72.983393800000002</v>
      </c>
      <c r="H1169"/>
    </row>
    <row r="1170" spans="1:8">
      <c r="A1170" t="s">
        <v>1970</v>
      </c>
      <c r="B1170" t="s">
        <v>2024</v>
      </c>
      <c r="C1170" s="4">
        <v>4.3</v>
      </c>
      <c r="D1170" s="4">
        <v>164</v>
      </c>
      <c r="E1170" t="s">
        <v>2025</v>
      </c>
      <c r="F1170" s="4">
        <v>19.228470999999999</v>
      </c>
      <c r="G1170">
        <v>72.972144099999994</v>
      </c>
      <c r="H1170"/>
    </row>
    <row r="1171" spans="1:8">
      <c r="A1171" t="s">
        <v>1970</v>
      </c>
      <c r="B1171" t="s">
        <v>1071</v>
      </c>
      <c r="C1171" s="4">
        <v>4.4000000000000004</v>
      </c>
      <c r="D1171" s="4">
        <v>3200</v>
      </c>
      <c r="E1171" t="s">
        <v>2026</v>
      </c>
      <c r="F1171" s="4">
        <v>19.226272900000001</v>
      </c>
      <c r="G1171">
        <v>72.970444499999999</v>
      </c>
      <c r="H1171"/>
    </row>
    <row r="1172" spans="1:8">
      <c r="A1172" t="s">
        <v>1970</v>
      </c>
      <c r="B1172" t="s">
        <v>2027</v>
      </c>
      <c r="C1172" s="4">
        <v>4.7</v>
      </c>
      <c r="D1172" s="4">
        <v>196</v>
      </c>
      <c r="E1172" t="s">
        <v>2028</v>
      </c>
      <c r="F1172" s="4">
        <v>19.2674612</v>
      </c>
      <c r="G1172">
        <v>72.967325500000001</v>
      </c>
      <c r="H1172"/>
    </row>
    <row r="1173" spans="1:8">
      <c r="A1173" t="s">
        <v>1970</v>
      </c>
      <c r="B1173" t="s">
        <v>2029</v>
      </c>
      <c r="C1173" s="4">
        <v>4.4000000000000004</v>
      </c>
      <c r="D1173" s="4">
        <v>314</v>
      </c>
      <c r="E1173" t="s">
        <v>2030</v>
      </c>
      <c r="F1173" s="4">
        <v>19.260932499999999</v>
      </c>
      <c r="G1173">
        <v>72.985196199999905</v>
      </c>
      <c r="H1173"/>
    </row>
    <row r="1174" spans="1:8">
      <c r="A1174" t="s">
        <v>1970</v>
      </c>
      <c r="B1174" t="s">
        <v>2031</v>
      </c>
      <c r="C1174" s="4">
        <v>4.5</v>
      </c>
      <c r="D1174" s="4">
        <v>124</v>
      </c>
      <c r="E1174" t="s">
        <v>2032</v>
      </c>
      <c r="F1174" s="4">
        <v>19.224918800000001</v>
      </c>
      <c r="G1174">
        <v>72.975511599999905</v>
      </c>
      <c r="H1174"/>
    </row>
    <row r="1175" spans="1:8">
      <c r="A1175" t="s">
        <v>1970</v>
      </c>
      <c r="B1175" t="s">
        <v>2033</v>
      </c>
      <c r="C1175" s="4">
        <v>4.5999999999999996</v>
      </c>
      <c r="D1175" s="4">
        <v>163</v>
      </c>
      <c r="E1175" t="s">
        <v>2034</v>
      </c>
      <c r="F1175" s="4">
        <v>19.189713300000001</v>
      </c>
      <c r="G1175">
        <v>72.976278899999997</v>
      </c>
      <c r="H1175"/>
    </row>
    <row r="1176" spans="1:8">
      <c r="A1176" t="s">
        <v>1970</v>
      </c>
      <c r="B1176" t="s">
        <v>123</v>
      </c>
      <c r="C1176" s="4">
        <v>4.4000000000000004</v>
      </c>
      <c r="D1176" s="4">
        <v>2740</v>
      </c>
      <c r="E1176" t="s">
        <v>2035</v>
      </c>
      <c r="F1176" s="4">
        <v>19.255120000000002</v>
      </c>
      <c r="G1176">
        <v>72.984193300000001</v>
      </c>
      <c r="H1176"/>
    </row>
    <row r="1177" spans="1:8">
      <c r="A1177" t="s">
        <v>1970</v>
      </c>
      <c r="B1177" t="s">
        <v>2036</v>
      </c>
      <c r="C1177" s="4">
        <v>4.5999999999999996</v>
      </c>
      <c r="D1177" s="4">
        <v>128</v>
      </c>
      <c r="E1177" t="s">
        <v>2037</v>
      </c>
      <c r="F1177" s="4">
        <v>19.2272322</v>
      </c>
      <c r="G1177">
        <v>72.970379199999996</v>
      </c>
      <c r="H1177"/>
    </row>
    <row r="1178" spans="1:8">
      <c r="A1178" t="s">
        <v>1970</v>
      </c>
      <c r="B1178" t="s">
        <v>2038</v>
      </c>
      <c r="C1178" s="4">
        <v>4.4000000000000004</v>
      </c>
      <c r="D1178" s="4">
        <v>251</v>
      </c>
      <c r="E1178" t="s">
        <v>2039</v>
      </c>
      <c r="F1178" s="4">
        <v>19.233571999999999</v>
      </c>
      <c r="G1178">
        <v>72.969427499999995</v>
      </c>
      <c r="H1178"/>
    </row>
    <row r="1179" spans="1:8">
      <c r="A1179" t="s">
        <v>1970</v>
      </c>
      <c r="B1179" t="s">
        <v>428</v>
      </c>
      <c r="C1179" s="4">
        <v>3.8</v>
      </c>
      <c r="D1179" s="4">
        <v>640</v>
      </c>
      <c r="E1179" t="s">
        <v>2040</v>
      </c>
      <c r="F1179" s="4">
        <v>19.2087407</v>
      </c>
      <c r="G1179">
        <v>72.971464900000001</v>
      </c>
      <c r="H1179"/>
    </row>
    <row r="1180" spans="1:8">
      <c r="A1180" t="s">
        <v>1970</v>
      </c>
      <c r="B1180" t="s">
        <v>2041</v>
      </c>
      <c r="C1180" s="4">
        <v>4.3</v>
      </c>
      <c r="D1180" s="4">
        <v>153</v>
      </c>
      <c r="E1180" t="s">
        <v>2042</v>
      </c>
      <c r="F1180" s="4">
        <v>19.240196900000001</v>
      </c>
      <c r="G1180">
        <v>72.969308099999907</v>
      </c>
      <c r="H1180"/>
    </row>
    <row r="1181" spans="1:8">
      <c r="A1181" t="s">
        <v>1970</v>
      </c>
      <c r="B1181" t="s">
        <v>2043</v>
      </c>
      <c r="C1181" s="4">
        <v>4.3</v>
      </c>
      <c r="D1181" s="4">
        <v>49</v>
      </c>
      <c r="E1181" t="s">
        <v>2044</v>
      </c>
      <c r="F1181" s="4">
        <v>19.223208</v>
      </c>
      <c r="G1181">
        <v>72.978978900000001</v>
      </c>
      <c r="H1181"/>
    </row>
    <row r="1182" spans="1:8">
      <c r="A1182" t="s">
        <v>1970</v>
      </c>
      <c r="B1182" t="s">
        <v>2045</v>
      </c>
      <c r="C1182" s="4">
        <v>5</v>
      </c>
      <c r="D1182" s="4">
        <v>50</v>
      </c>
      <c r="E1182" t="s">
        <v>2046</v>
      </c>
      <c r="F1182" s="4">
        <v>19.220536200000002</v>
      </c>
      <c r="G1182">
        <v>72.953458999999995</v>
      </c>
      <c r="H1182"/>
    </row>
    <row r="1183" spans="1:8">
      <c r="A1183" t="s">
        <v>1970</v>
      </c>
      <c r="B1183" t="s">
        <v>2047</v>
      </c>
      <c r="C1183" s="4">
        <v>4.5999999999999996</v>
      </c>
      <c r="D1183" s="4">
        <v>45</v>
      </c>
      <c r="E1183" t="s">
        <v>2048</v>
      </c>
      <c r="F1183" s="4">
        <v>19.191551199999999</v>
      </c>
      <c r="G1183">
        <v>72.968378299999998</v>
      </c>
      <c r="H1183"/>
    </row>
    <row r="1184" spans="1:8">
      <c r="A1184" t="s">
        <v>1970</v>
      </c>
      <c r="B1184" t="s">
        <v>2049</v>
      </c>
      <c r="C1184" s="4">
        <v>4.5999999999999996</v>
      </c>
      <c r="D1184" s="4">
        <v>12</v>
      </c>
      <c r="E1184" t="s">
        <v>2050</v>
      </c>
      <c r="F1184" s="4">
        <v>19.2153043</v>
      </c>
      <c r="G1184">
        <v>72.957339399999995</v>
      </c>
      <c r="H1184"/>
    </row>
    <row r="1185" spans="1:8">
      <c r="A1185" t="s">
        <v>1970</v>
      </c>
      <c r="B1185" t="s">
        <v>2051</v>
      </c>
      <c r="C1185" s="4">
        <v>4.5</v>
      </c>
      <c r="D1185" s="4">
        <v>171</v>
      </c>
      <c r="E1185" t="s">
        <v>2052</v>
      </c>
      <c r="F1185" s="4">
        <v>19.222900299999999</v>
      </c>
      <c r="G1185">
        <v>72.966675899999998</v>
      </c>
      <c r="H1185"/>
    </row>
    <row r="1186" spans="1:8">
      <c r="A1186" t="s">
        <v>1970</v>
      </c>
      <c r="B1186" t="s">
        <v>2053</v>
      </c>
      <c r="C1186" s="4">
        <v>4.5999999999999996</v>
      </c>
      <c r="D1186" s="4">
        <v>57</v>
      </c>
      <c r="E1186" t="s">
        <v>2054</v>
      </c>
      <c r="F1186" s="4">
        <v>19.190577900000001</v>
      </c>
      <c r="G1186">
        <v>72.944148999999996</v>
      </c>
      <c r="H1186"/>
    </row>
    <row r="1187" spans="1:8">
      <c r="A1187" t="s">
        <v>1970</v>
      </c>
      <c r="B1187" t="s">
        <v>2055</v>
      </c>
      <c r="C1187" s="4">
        <v>4.0999999999999996</v>
      </c>
      <c r="D1187" s="4">
        <v>1780</v>
      </c>
      <c r="E1187" t="s">
        <v>2056</v>
      </c>
      <c r="F1187" s="4">
        <v>19.206500900000002</v>
      </c>
      <c r="G1187">
        <v>72.977805500000002</v>
      </c>
      <c r="H1187"/>
    </row>
    <row r="1188" spans="1:8">
      <c r="A1188" t="s">
        <v>1970</v>
      </c>
      <c r="B1188" t="s">
        <v>140</v>
      </c>
      <c r="C1188" s="4">
        <v>4</v>
      </c>
      <c r="D1188" s="4">
        <v>1073</v>
      </c>
      <c r="E1188" t="s">
        <v>2057</v>
      </c>
      <c r="F1188" s="4">
        <v>19.227807299999998</v>
      </c>
      <c r="G1188">
        <v>72.970236</v>
      </c>
      <c r="H1188"/>
    </row>
    <row r="1189" spans="1:8">
      <c r="A1189" t="s">
        <v>1970</v>
      </c>
      <c r="B1189" t="s">
        <v>48</v>
      </c>
      <c r="C1189" s="4">
        <v>4.9000000000000004</v>
      </c>
      <c r="D1189" s="4">
        <v>161</v>
      </c>
      <c r="E1189" t="s">
        <v>2058</v>
      </c>
      <c r="F1189" s="4">
        <v>19.255913199999998</v>
      </c>
      <c r="G1189">
        <v>72.983690199999998</v>
      </c>
      <c r="H1189"/>
    </row>
    <row r="1190" spans="1:8">
      <c r="A1190" t="s">
        <v>1970</v>
      </c>
      <c r="B1190" t="s">
        <v>2059</v>
      </c>
      <c r="C1190" s="4">
        <v>3.8</v>
      </c>
      <c r="D1190" s="4">
        <v>1430</v>
      </c>
      <c r="E1190" t="s">
        <v>2060</v>
      </c>
      <c r="F1190" s="4">
        <v>19.208813899999999</v>
      </c>
      <c r="G1190">
        <v>72.971338699999905</v>
      </c>
      <c r="H1190"/>
    </row>
    <row r="1191" spans="1:8">
      <c r="A1191" t="s">
        <v>1970</v>
      </c>
      <c r="B1191" t="s">
        <v>2061</v>
      </c>
      <c r="C1191" s="4">
        <v>4.0999999999999996</v>
      </c>
      <c r="D1191" s="4">
        <v>302</v>
      </c>
      <c r="E1191" t="s">
        <v>2062</v>
      </c>
      <c r="F1191" s="4">
        <v>19.201384000000001</v>
      </c>
      <c r="G1191">
        <v>72.977657399999998</v>
      </c>
      <c r="H1191"/>
    </row>
    <row r="1192" spans="1:8">
      <c r="A1192" t="s">
        <v>1970</v>
      </c>
      <c r="B1192" t="s">
        <v>2063</v>
      </c>
      <c r="C1192" s="4">
        <v>4.2</v>
      </c>
      <c r="D1192" s="4">
        <v>1215</v>
      </c>
      <c r="E1192" t="s">
        <v>2064</v>
      </c>
      <c r="F1192" s="4">
        <v>19.255545900000001</v>
      </c>
      <c r="G1192">
        <v>72.984277300000002</v>
      </c>
      <c r="H1192"/>
    </row>
    <row r="1193" spans="1:8">
      <c r="A1193" t="s">
        <v>1970</v>
      </c>
      <c r="B1193" t="s">
        <v>2065</v>
      </c>
      <c r="C1193" s="4">
        <v>4.7</v>
      </c>
      <c r="D1193" s="4">
        <v>40</v>
      </c>
      <c r="E1193" t="s">
        <v>2066</v>
      </c>
      <c r="F1193" s="4">
        <v>19.234888600000001</v>
      </c>
      <c r="G1193">
        <v>72.975804499999995</v>
      </c>
      <c r="H1193"/>
    </row>
    <row r="1194" spans="1:8">
      <c r="A1194" t="s">
        <v>1970</v>
      </c>
      <c r="B1194" t="s">
        <v>2067</v>
      </c>
      <c r="C1194" s="4">
        <v>4.2</v>
      </c>
      <c r="D1194" s="4">
        <v>122</v>
      </c>
      <c r="E1194" t="s">
        <v>2068</v>
      </c>
      <c r="F1194" s="4">
        <v>19.207293400000001</v>
      </c>
      <c r="G1194">
        <v>72.955878900000002</v>
      </c>
      <c r="H1194"/>
    </row>
    <row r="1195" spans="1:8">
      <c r="A1195" t="s">
        <v>1970</v>
      </c>
      <c r="B1195" t="s">
        <v>2069</v>
      </c>
      <c r="C1195" s="4">
        <v>4.2</v>
      </c>
      <c r="D1195" s="4">
        <v>101</v>
      </c>
      <c r="E1195" t="s">
        <v>2070</v>
      </c>
      <c r="F1195" s="4">
        <v>19.226998500000001</v>
      </c>
      <c r="G1195">
        <v>72.970484599999907</v>
      </c>
      <c r="H1195"/>
    </row>
    <row r="1196" spans="1:8">
      <c r="A1196" t="s">
        <v>1970</v>
      </c>
      <c r="B1196" t="s">
        <v>2071</v>
      </c>
      <c r="C1196" s="4">
        <v>4.0999999999999996</v>
      </c>
      <c r="D1196" s="4">
        <v>508</v>
      </c>
      <c r="E1196" t="s">
        <v>2072</v>
      </c>
      <c r="F1196" s="4">
        <v>19.208517000000001</v>
      </c>
      <c r="G1196">
        <v>72.971673499999994</v>
      </c>
      <c r="H1196"/>
    </row>
    <row r="1197" spans="1:8">
      <c r="A1197" t="s">
        <v>1970</v>
      </c>
      <c r="B1197" t="s">
        <v>2073</v>
      </c>
      <c r="C1197" s="4">
        <v>4.9000000000000004</v>
      </c>
      <c r="D1197" s="4">
        <v>66</v>
      </c>
      <c r="E1197" t="s">
        <v>2074</v>
      </c>
      <c r="F1197" s="4">
        <v>19.2224699</v>
      </c>
      <c r="G1197">
        <v>72.977074599999995</v>
      </c>
      <c r="H1197"/>
    </row>
    <row r="1198" spans="1:8">
      <c r="A1198" t="s">
        <v>1970</v>
      </c>
      <c r="B1198" t="s">
        <v>1958</v>
      </c>
      <c r="C1198" s="4">
        <v>4</v>
      </c>
      <c r="D1198" s="4">
        <v>484</v>
      </c>
      <c r="E1198" t="s">
        <v>2075</v>
      </c>
      <c r="F1198" s="4">
        <v>19.1915315</v>
      </c>
      <c r="G1198">
        <v>72.975070500000001</v>
      </c>
      <c r="H1198"/>
    </row>
    <row r="1199" spans="1:8">
      <c r="A1199" t="s">
        <v>1970</v>
      </c>
      <c r="B1199" t="s">
        <v>2076</v>
      </c>
      <c r="C1199" s="4">
        <v>4</v>
      </c>
      <c r="D1199" s="4">
        <v>43</v>
      </c>
      <c r="E1199" t="s">
        <v>2077</v>
      </c>
      <c r="F1199" s="4">
        <v>19.186715700000001</v>
      </c>
      <c r="G1199">
        <v>72.973918599999905</v>
      </c>
      <c r="H1199"/>
    </row>
    <row r="1200" spans="1:8">
      <c r="A1200" t="s">
        <v>1970</v>
      </c>
      <c r="B1200" t="s">
        <v>2078</v>
      </c>
      <c r="C1200" s="4">
        <v>4.8</v>
      </c>
      <c r="D1200" s="4">
        <v>29</v>
      </c>
      <c r="E1200" t="s">
        <v>2079</v>
      </c>
      <c r="F1200" s="4">
        <v>19.257775200000001</v>
      </c>
      <c r="G1200">
        <v>72.977321000000003</v>
      </c>
      <c r="H1200"/>
    </row>
    <row r="1201" spans="1:8">
      <c r="A1201" t="s">
        <v>1970</v>
      </c>
      <c r="B1201" t="s">
        <v>2080</v>
      </c>
      <c r="C1201" s="4">
        <v>4.7</v>
      </c>
      <c r="D1201" s="4">
        <v>14</v>
      </c>
      <c r="E1201" t="s">
        <v>2081</v>
      </c>
      <c r="F1201" s="4">
        <v>19.1840543</v>
      </c>
      <c r="G1201">
        <v>72.974393199999994</v>
      </c>
      <c r="H1201"/>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B33E8-6E59-4E73-8AC3-DD5C4F1B8C36}">
  <dimension ref="A1:M1201"/>
  <sheetViews>
    <sheetView zoomScale="92" zoomScaleNormal="92" workbookViewId="0">
      <selection activeCell="O39" sqref="O39"/>
    </sheetView>
  </sheetViews>
  <sheetFormatPr defaultRowHeight="14.4"/>
  <cols>
    <col min="2" max="2" width="25.44140625" customWidth="1"/>
    <col min="4" max="4" width="13.6640625" customWidth="1"/>
    <col min="5" max="5" width="11.44140625" customWidth="1"/>
    <col min="6" max="6" width="10.109375" customWidth="1"/>
    <col min="7" max="7" width="12.44140625" customWidth="1"/>
    <col min="8" max="8" width="18.5546875" customWidth="1"/>
    <col min="9" max="9" width="25.33203125" customWidth="1"/>
    <col min="10" max="10" width="15.5546875" style="6" customWidth="1"/>
    <col min="11" max="11" width="19.21875" style="6" customWidth="1"/>
    <col min="12" max="12" width="15.5546875" style="3" customWidth="1"/>
  </cols>
  <sheetData>
    <row r="1" spans="1:13">
      <c r="A1" t="s">
        <v>0</v>
      </c>
      <c r="B1" t="s">
        <v>1</v>
      </c>
      <c r="C1" t="s">
        <v>2</v>
      </c>
      <c r="D1" t="s">
        <v>3</v>
      </c>
      <c r="E1" t="s">
        <v>4</v>
      </c>
      <c r="F1" t="s">
        <v>5</v>
      </c>
      <c r="G1" t="s">
        <v>6</v>
      </c>
      <c r="H1" t="s">
        <v>2082</v>
      </c>
      <c r="I1" t="s">
        <v>2083</v>
      </c>
      <c r="J1" s="6" t="s">
        <v>2084</v>
      </c>
      <c r="K1" s="6" t="s">
        <v>2085</v>
      </c>
      <c r="L1" s="3" t="s">
        <v>2086</v>
      </c>
    </row>
    <row r="2" spans="1:13">
      <c r="A2" t="s">
        <v>7</v>
      </c>
      <c r="B2" t="s">
        <v>8</v>
      </c>
      <c r="C2" s="4">
        <v>4.2</v>
      </c>
      <c r="D2" s="4">
        <v>1203</v>
      </c>
      <c r="E2" t="s">
        <v>9</v>
      </c>
      <c r="F2" s="4">
        <v>18.918783000000001</v>
      </c>
      <c r="G2">
        <v>72.830501999999996</v>
      </c>
      <c r="H2">
        <f t="shared" ref="H2:H65" si="0">C2*D2</f>
        <v>5052.6000000000004</v>
      </c>
      <c r="I2" s="4">
        <f t="shared" ref="I2:I65" si="1">D2*25</f>
        <v>30075</v>
      </c>
      <c r="J2" s="6">
        <f t="shared" ref="J2:J65" si="2">IF(C2&gt;=4.7,550,IF(C2&gt;=4.4,450,IF(C2&gt;=O4,350,250)))</f>
        <v>350</v>
      </c>
      <c r="K2" s="6">
        <f t="shared" ref="K2:K65" si="3">I2*J2</f>
        <v>10526250</v>
      </c>
      <c r="L2" s="3" t="str">
        <f t="shared" ref="L2:L65" si="4">IF(C2&gt;=4.5,"Premium",IF(C2&gt;=4,"Popular","Average"))</f>
        <v>Popular</v>
      </c>
    </row>
    <row r="3" spans="1:13">
      <c r="A3" t="s">
        <v>7</v>
      </c>
      <c r="B3" t="s">
        <v>10</v>
      </c>
      <c r="C3" s="4">
        <v>4.2</v>
      </c>
      <c r="D3" s="4">
        <v>29972</v>
      </c>
      <c r="E3" t="s">
        <v>11</v>
      </c>
      <c r="F3" s="4">
        <v>18.9226402</v>
      </c>
      <c r="G3">
        <v>72.831640100000001</v>
      </c>
      <c r="H3">
        <f t="shared" si="0"/>
        <v>125882.40000000001</v>
      </c>
      <c r="I3" s="4">
        <f t="shared" si="1"/>
        <v>749300</v>
      </c>
      <c r="J3" s="6">
        <f t="shared" si="2"/>
        <v>350</v>
      </c>
      <c r="K3" s="6">
        <f t="shared" si="3"/>
        <v>262255000</v>
      </c>
      <c r="L3" s="3" t="str">
        <f t="shared" si="4"/>
        <v>Popular</v>
      </c>
      <c r="M3" s="3"/>
    </row>
    <row r="4" spans="1:13">
      <c r="A4" t="s">
        <v>7</v>
      </c>
      <c r="B4" t="s">
        <v>12</v>
      </c>
      <c r="C4" s="4">
        <v>4.2</v>
      </c>
      <c r="D4" s="4">
        <v>3443</v>
      </c>
      <c r="E4" t="s">
        <v>13</v>
      </c>
      <c r="F4" s="4">
        <v>18.918851400000001</v>
      </c>
      <c r="G4">
        <v>72.831991500000001</v>
      </c>
      <c r="H4">
        <f t="shared" si="0"/>
        <v>14460.6</v>
      </c>
      <c r="I4" s="4">
        <f t="shared" si="1"/>
        <v>86075</v>
      </c>
      <c r="J4" s="6">
        <f t="shared" si="2"/>
        <v>350</v>
      </c>
      <c r="K4" s="6">
        <f t="shared" si="3"/>
        <v>30126250</v>
      </c>
      <c r="L4" s="3" t="str">
        <f t="shared" si="4"/>
        <v>Popular</v>
      </c>
    </row>
    <row r="5" spans="1:13">
      <c r="A5" t="s">
        <v>7</v>
      </c>
      <c r="B5" t="s">
        <v>14</v>
      </c>
      <c r="C5" s="4">
        <v>4.3</v>
      </c>
      <c r="D5" s="4">
        <v>2868</v>
      </c>
      <c r="E5" t="s">
        <v>15</v>
      </c>
      <c r="F5" s="4">
        <v>18.919908100000001</v>
      </c>
      <c r="G5">
        <v>72.830269099999995</v>
      </c>
      <c r="H5">
        <f t="shared" si="0"/>
        <v>12332.4</v>
      </c>
      <c r="I5" s="4">
        <f t="shared" si="1"/>
        <v>71700</v>
      </c>
      <c r="J5" s="6">
        <f t="shared" si="2"/>
        <v>350</v>
      </c>
      <c r="K5" s="6">
        <f t="shared" si="3"/>
        <v>25095000</v>
      </c>
      <c r="L5" s="3" t="str">
        <f t="shared" si="4"/>
        <v>Popular</v>
      </c>
    </row>
    <row r="6" spans="1:13">
      <c r="A6" t="s">
        <v>7</v>
      </c>
      <c r="B6" t="s">
        <v>16</v>
      </c>
      <c r="C6" s="4">
        <v>4.4000000000000004</v>
      </c>
      <c r="D6" s="4">
        <v>1283</v>
      </c>
      <c r="E6" t="s">
        <v>17</v>
      </c>
      <c r="F6" s="4">
        <v>18.922108600000001</v>
      </c>
      <c r="G6">
        <v>72.832415599999905</v>
      </c>
      <c r="H6">
        <f t="shared" si="0"/>
        <v>5645.2000000000007</v>
      </c>
      <c r="I6" s="4">
        <f t="shared" si="1"/>
        <v>32075</v>
      </c>
      <c r="J6" s="6">
        <f t="shared" si="2"/>
        <v>450</v>
      </c>
      <c r="K6" s="6">
        <f t="shared" si="3"/>
        <v>14433750</v>
      </c>
      <c r="L6" s="3" t="str">
        <f t="shared" si="4"/>
        <v>Popular</v>
      </c>
    </row>
    <row r="7" spans="1:13">
      <c r="A7" t="s">
        <v>7</v>
      </c>
      <c r="B7" t="s">
        <v>18</v>
      </c>
      <c r="C7" s="4">
        <v>4.4000000000000004</v>
      </c>
      <c r="D7" s="4">
        <v>4578</v>
      </c>
      <c r="E7" t="s">
        <v>19</v>
      </c>
      <c r="F7" s="4">
        <v>18.924050300000001</v>
      </c>
      <c r="G7">
        <v>72.832154700000004</v>
      </c>
      <c r="H7">
        <f t="shared" si="0"/>
        <v>20143.2</v>
      </c>
      <c r="I7" s="4">
        <f t="shared" si="1"/>
        <v>114450</v>
      </c>
      <c r="J7" s="6">
        <f t="shared" si="2"/>
        <v>450</v>
      </c>
      <c r="K7" s="6">
        <f t="shared" si="3"/>
        <v>51502500</v>
      </c>
      <c r="L7" s="3" t="str">
        <f t="shared" si="4"/>
        <v>Popular</v>
      </c>
    </row>
    <row r="8" spans="1:13">
      <c r="A8" t="s">
        <v>7</v>
      </c>
      <c r="B8" t="s">
        <v>20</v>
      </c>
      <c r="C8" s="4">
        <v>4.3</v>
      </c>
      <c r="D8" s="4">
        <v>6192</v>
      </c>
      <c r="E8" t="s">
        <v>21</v>
      </c>
      <c r="F8" s="4">
        <v>18.922885999999998</v>
      </c>
      <c r="G8">
        <v>72.831385599999905</v>
      </c>
      <c r="H8">
        <f t="shared" si="0"/>
        <v>26625.599999999999</v>
      </c>
      <c r="I8" s="4">
        <f t="shared" si="1"/>
        <v>154800</v>
      </c>
      <c r="J8" s="6">
        <f t="shared" si="2"/>
        <v>350</v>
      </c>
      <c r="K8" s="6">
        <f t="shared" si="3"/>
        <v>54180000</v>
      </c>
      <c r="L8" s="3" t="str">
        <f t="shared" si="4"/>
        <v>Popular</v>
      </c>
    </row>
    <row r="9" spans="1:13">
      <c r="A9" t="s">
        <v>7</v>
      </c>
      <c r="B9" t="s">
        <v>22</v>
      </c>
      <c r="C9" s="4">
        <v>4.2</v>
      </c>
      <c r="D9" s="4">
        <v>9490</v>
      </c>
      <c r="E9" t="s">
        <v>23</v>
      </c>
      <c r="F9" s="4">
        <v>18.9216619</v>
      </c>
      <c r="G9">
        <v>72.832298399999999</v>
      </c>
      <c r="H9">
        <f t="shared" si="0"/>
        <v>39858</v>
      </c>
      <c r="I9" s="4">
        <f t="shared" si="1"/>
        <v>237250</v>
      </c>
      <c r="J9" s="6">
        <f t="shared" si="2"/>
        <v>350</v>
      </c>
      <c r="K9" s="6">
        <f t="shared" si="3"/>
        <v>83037500</v>
      </c>
      <c r="L9" s="3" t="str">
        <f t="shared" si="4"/>
        <v>Popular</v>
      </c>
    </row>
    <row r="10" spans="1:13">
      <c r="A10" t="s">
        <v>7</v>
      </c>
      <c r="B10" t="s">
        <v>24</v>
      </c>
      <c r="C10" s="4">
        <v>4.4000000000000004</v>
      </c>
      <c r="D10" s="4">
        <v>3447</v>
      </c>
      <c r="E10" t="s">
        <v>25</v>
      </c>
      <c r="F10" s="4">
        <v>18.928066999999999</v>
      </c>
      <c r="G10">
        <v>72.832415999999995</v>
      </c>
      <c r="H10">
        <f t="shared" si="0"/>
        <v>15166.800000000001</v>
      </c>
      <c r="I10" s="4">
        <f t="shared" si="1"/>
        <v>86175</v>
      </c>
      <c r="J10" s="6">
        <f t="shared" si="2"/>
        <v>450</v>
      </c>
      <c r="K10" s="6">
        <f t="shared" si="3"/>
        <v>38778750</v>
      </c>
      <c r="L10" s="3" t="str">
        <f t="shared" si="4"/>
        <v>Popular</v>
      </c>
    </row>
    <row r="11" spans="1:13">
      <c r="A11" t="s">
        <v>7</v>
      </c>
      <c r="B11" t="s">
        <v>26</v>
      </c>
      <c r="C11" s="4">
        <v>4.3</v>
      </c>
      <c r="D11" s="4">
        <v>4955</v>
      </c>
      <c r="E11" t="s">
        <v>27</v>
      </c>
      <c r="F11" s="4">
        <v>18.928495399999999</v>
      </c>
      <c r="G11">
        <v>72.8322067</v>
      </c>
      <c r="H11">
        <f t="shared" si="0"/>
        <v>21306.5</v>
      </c>
      <c r="I11" s="4">
        <f t="shared" si="1"/>
        <v>123875</v>
      </c>
      <c r="J11" s="6">
        <f t="shared" si="2"/>
        <v>350</v>
      </c>
      <c r="K11" s="6">
        <f t="shared" si="3"/>
        <v>43356250</v>
      </c>
      <c r="L11" s="3" t="str">
        <f t="shared" si="4"/>
        <v>Popular</v>
      </c>
    </row>
    <row r="12" spans="1:13">
      <c r="A12" t="s">
        <v>7</v>
      </c>
      <c r="B12" t="s">
        <v>28</v>
      </c>
      <c r="C12" s="4">
        <v>4.3</v>
      </c>
      <c r="D12" s="4">
        <v>1136</v>
      </c>
      <c r="E12" t="s">
        <v>29</v>
      </c>
      <c r="F12" s="4">
        <v>18.927662600000001</v>
      </c>
      <c r="G12">
        <v>72.832998000000003</v>
      </c>
      <c r="H12">
        <f t="shared" si="0"/>
        <v>4884.8</v>
      </c>
      <c r="I12" s="4">
        <f t="shared" si="1"/>
        <v>28400</v>
      </c>
      <c r="J12" s="6">
        <f t="shared" si="2"/>
        <v>350</v>
      </c>
      <c r="K12" s="6">
        <f t="shared" si="3"/>
        <v>9940000</v>
      </c>
      <c r="L12" s="3" t="str">
        <f t="shared" si="4"/>
        <v>Popular</v>
      </c>
    </row>
    <row r="13" spans="1:13">
      <c r="A13" t="s">
        <v>7</v>
      </c>
      <c r="B13" t="s">
        <v>30</v>
      </c>
      <c r="C13" s="4">
        <v>4.2</v>
      </c>
      <c r="D13" s="4">
        <v>542</v>
      </c>
      <c r="E13" t="s">
        <v>31</v>
      </c>
      <c r="F13" s="4">
        <v>18.918294400000001</v>
      </c>
      <c r="G13">
        <v>72.830873699999998</v>
      </c>
      <c r="H13">
        <f t="shared" si="0"/>
        <v>2276.4</v>
      </c>
      <c r="I13" s="4">
        <f t="shared" si="1"/>
        <v>13550</v>
      </c>
      <c r="J13" s="6">
        <f t="shared" si="2"/>
        <v>350</v>
      </c>
      <c r="K13" s="6">
        <f t="shared" si="3"/>
        <v>4742500</v>
      </c>
      <c r="L13" s="3" t="str">
        <f t="shared" si="4"/>
        <v>Popular</v>
      </c>
    </row>
    <row r="14" spans="1:13">
      <c r="A14" t="s">
        <v>7</v>
      </c>
      <c r="B14" t="s">
        <v>32</v>
      </c>
      <c r="C14" s="4">
        <v>4.3</v>
      </c>
      <c r="D14" s="4">
        <v>1395</v>
      </c>
      <c r="E14" t="s">
        <v>33</v>
      </c>
      <c r="F14" s="4">
        <v>18.935252999999999</v>
      </c>
      <c r="G14">
        <v>72.838378599999999</v>
      </c>
      <c r="H14">
        <f t="shared" si="0"/>
        <v>5998.5</v>
      </c>
      <c r="I14" s="4">
        <f t="shared" si="1"/>
        <v>34875</v>
      </c>
      <c r="J14" s="6">
        <f t="shared" si="2"/>
        <v>350</v>
      </c>
      <c r="K14" s="6">
        <f t="shared" si="3"/>
        <v>12206250</v>
      </c>
      <c r="L14" s="3" t="str">
        <f t="shared" si="4"/>
        <v>Popular</v>
      </c>
    </row>
    <row r="15" spans="1:13">
      <c r="A15" t="s">
        <v>7</v>
      </c>
      <c r="B15" t="s">
        <v>34</v>
      </c>
      <c r="C15" s="4">
        <v>4.4000000000000004</v>
      </c>
      <c r="D15" s="4">
        <v>3926</v>
      </c>
      <c r="E15" t="s">
        <v>35</v>
      </c>
      <c r="F15" s="4">
        <v>18.9192596</v>
      </c>
      <c r="G15">
        <v>72.829184499999997</v>
      </c>
      <c r="H15">
        <f t="shared" si="0"/>
        <v>17274.400000000001</v>
      </c>
      <c r="I15" s="4">
        <f t="shared" si="1"/>
        <v>98150</v>
      </c>
      <c r="J15" s="6">
        <f t="shared" si="2"/>
        <v>450</v>
      </c>
      <c r="K15" s="6">
        <f t="shared" si="3"/>
        <v>44167500</v>
      </c>
      <c r="L15" s="3" t="str">
        <f t="shared" si="4"/>
        <v>Popular</v>
      </c>
    </row>
    <row r="16" spans="1:13">
      <c r="A16" t="s">
        <v>7</v>
      </c>
      <c r="B16" t="s">
        <v>36</v>
      </c>
      <c r="C16" s="4">
        <v>3.9</v>
      </c>
      <c r="D16" s="4">
        <v>166</v>
      </c>
      <c r="E16" t="s">
        <v>37</v>
      </c>
      <c r="F16" s="4">
        <v>18.922120400000001</v>
      </c>
      <c r="G16">
        <v>72.832554399999907</v>
      </c>
      <c r="H16">
        <f t="shared" si="0"/>
        <v>647.4</v>
      </c>
      <c r="I16" s="4">
        <f t="shared" si="1"/>
        <v>4150</v>
      </c>
      <c r="J16" s="6">
        <f t="shared" si="2"/>
        <v>350</v>
      </c>
      <c r="K16" s="6">
        <f t="shared" si="3"/>
        <v>1452500</v>
      </c>
      <c r="L16" s="3" t="str">
        <f t="shared" si="4"/>
        <v>Average</v>
      </c>
    </row>
    <row r="17" spans="1:12">
      <c r="A17" t="s">
        <v>7</v>
      </c>
      <c r="B17" t="s">
        <v>38</v>
      </c>
      <c r="C17" s="4">
        <v>3.9</v>
      </c>
      <c r="D17" s="4">
        <v>1747</v>
      </c>
      <c r="E17" t="s">
        <v>39</v>
      </c>
      <c r="F17" s="4">
        <v>18.9190833</v>
      </c>
      <c r="G17">
        <v>72.831969399999906</v>
      </c>
      <c r="H17">
        <f t="shared" si="0"/>
        <v>6813.3</v>
      </c>
      <c r="I17" s="4">
        <f t="shared" si="1"/>
        <v>43675</v>
      </c>
      <c r="J17" s="6">
        <f t="shared" si="2"/>
        <v>350</v>
      </c>
      <c r="K17" s="6">
        <f t="shared" si="3"/>
        <v>15286250</v>
      </c>
      <c r="L17" s="3" t="str">
        <f t="shared" si="4"/>
        <v>Average</v>
      </c>
    </row>
    <row r="18" spans="1:12">
      <c r="A18" t="s">
        <v>7</v>
      </c>
      <c r="B18" t="s">
        <v>40</v>
      </c>
      <c r="C18" s="4">
        <v>4.3</v>
      </c>
      <c r="D18" s="4">
        <v>668</v>
      </c>
      <c r="E18" t="s">
        <v>41</v>
      </c>
      <c r="F18" s="4">
        <v>18.918352899999999</v>
      </c>
      <c r="G18">
        <v>72.827715699999999</v>
      </c>
      <c r="H18">
        <f t="shared" si="0"/>
        <v>2872.4</v>
      </c>
      <c r="I18" s="4">
        <f t="shared" si="1"/>
        <v>16700</v>
      </c>
      <c r="J18" s="6">
        <f t="shared" si="2"/>
        <v>350</v>
      </c>
      <c r="K18" s="6">
        <f t="shared" si="3"/>
        <v>5845000</v>
      </c>
      <c r="L18" s="3" t="str">
        <f t="shared" si="4"/>
        <v>Popular</v>
      </c>
    </row>
    <row r="19" spans="1:12">
      <c r="A19" t="s">
        <v>7</v>
      </c>
      <c r="B19" t="s">
        <v>42</v>
      </c>
      <c r="C19" s="4">
        <v>4.5999999999999996</v>
      </c>
      <c r="D19" s="4">
        <v>3798</v>
      </c>
      <c r="E19" t="s">
        <v>43</v>
      </c>
      <c r="F19" s="4">
        <v>18.900426400000001</v>
      </c>
      <c r="G19">
        <v>72.805011800000003</v>
      </c>
      <c r="H19">
        <f t="shared" si="0"/>
        <v>17470.8</v>
      </c>
      <c r="I19" s="4">
        <f t="shared" si="1"/>
        <v>94950</v>
      </c>
      <c r="J19" s="6">
        <f t="shared" si="2"/>
        <v>450</v>
      </c>
      <c r="K19" s="6">
        <f t="shared" si="3"/>
        <v>42727500</v>
      </c>
      <c r="L19" s="3" t="str">
        <f t="shared" si="4"/>
        <v>Premium</v>
      </c>
    </row>
    <row r="20" spans="1:12">
      <c r="A20" t="s">
        <v>7</v>
      </c>
      <c r="B20" t="s">
        <v>44</v>
      </c>
      <c r="C20" s="4">
        <v>4.3</v>
      </c>
      <c r="D20" s="4">
        <v>335</v>
      </c>
      <c r="E20" t="s">
        <v>45</v>
      </c>
      <c r="F20" s="4">
        <v>18.922621299999999</v>
      </c>
      <c r="G20">
        <v>72.832557199999997</v>
      </c>
      <c r="H20">
        <f t="shared" si="0"/>
        <v>1440.5</v>
      </c>
      <c r="I20" s="4">
        <f t="shared" si="1"/>
        <v>8375</v>
      </c>
      <c r="J20" s="6">
        <f t="shared" si="2"/>
        <v>350</v>
      </c>
      <c r="K20" s="6">
        <f t="shared" si="3"/>
        <v>2931250</v>
      </c>
      <c r="L20" s="3" t="str">
        <f t="shared" si="4"/>
        <v>Popular</v>
      </c>
    </row>
    <row r="21" spans="1:12">
      <c r="A21" t="s">
        <v>7</v>
      </c>
      <c r="B21" t="s">
        <v>46</v>
      </c>
      <c r="C21" s="4">
        <v>4.3</v>
      </c>
      <c r="D21" s="4">
        <v>748</v>
      </c>
      <c r="E21" t="s">
        <v>47</v>
      </c>
      <c r="F21" s="4">
        <v>18.921697399999999</v>
      </c>
      <c r="G21">
        <v>72.8322608</v>
      </c>
      <c r="H21">
        <f t="shared" si="0"/>
        <v>3216.4</v>
      </c>
      <c r="I21" s="4">
        <f t="shared" si="1"/>
        <v>18700</v>
      </c>
      <c r="J21" s="6">
        <f t="shared" si="2"/>
        <v>350</v>
      </c>
      <c r="K21" s="6">
        <f t="shared" si="3"/>
        <v>6545000</v>
      </c>
      <c r="L21" s="3" t="str">
        <f t="shared" si="4"/>
        <v>Popular</v>
      </c>
    </row>
    <row r="22" spans="1:12">
      <c r="A22" t="s">
        <v>7</v>
      </c>
      <c r="B22" t="s">
        <v>48</v>
      </c>
      <c r="C22" s="4">
        <v>4.8</v>
      </c>
      <c r="D22" s="4">
        <v>1251</v>
      </c>
      <c r="E22" t="s">
        <v>49</v>
      </c>
      <c r="F22" s="4">
        <v>18.914994499999999</v>
      </c>
      <c r="G22">
        <v>72.823645099999993</v>
      </c>
      <c r="H22">
        <f t="shared" si="0"/>
        <v>6004.8</v>
      </c>
      <c r="I22" s="4">
        <f t="shared" si="1"/>
        <v>31275</v>
      </c>
      <c r="J22" s="6">
        <f t="shared" si="2"/>
        <v>550</v>
      </c>
      <c r="K22" s="6">
        <f t="shared" si="3"/>
        <v>17201250</v>
      </c>
      <c r="L22" s="3" t="str">
        <f t="shared" si="4"/>
        <v>Premium</v>
      </c>
    </row>
    <row r="23" spans="1:12">
      <c r="A23" t="s">
        <v>7</v>
      </c>
      <c r="B23" t="s">
        <v>50</v>
      </c>
      <c r="C23" s="4">
        <v>4.4000000000000004</v>
      </c>
      <c r="D23" s="4">
        <v>7038</v>
      </c>
      <c r="E23" t="s">
        <v>51</v>
      </c>
      <c r="F23" s="4">
        <v>18.933501499999998</v>
      </c>
      <c r="G23">
        <v>72.826274999999995</v>
      </c>
      <c r="H23">
        <f t="shared" si="0"/>
        <v>30967.200000000001</v>
      </c>
      <c r="I23" s="4">
        <f t="shared" si="1"/>
        <v>175950</v>
      </c>
      <c r="J23" s="6">
        <f t="shared" si="2"/>
        <v>450</v>
      </c>
      <c r="K23" s="6">
        <f t="shared" si="3"/>
        <v>79177500</v>
      </c>
      <c r="L23" s="3" t="str">
        <f t="shared" si="4"/>
        <v>Popular</v>
      </c>
    </row>
    <row r="24" spans="1:12">
      <c r="A24" t="s">
        <v>7</v>
      </c>
      <c r="B24" t="s">
        <v>52</v>
      </c>
      <c r="C24" s="4">
        <v>4.4000000000000004</v>
      </c>
      <c r="D24" s="4">
        <v>1907</v>
      </c>
      <c r="E24" t="s">
        <v>53</v>
      </c>
      <c r="F24" s="4">
        <v>18.922055400000001</v>
      </c>
      <c r="G24">
        <v>72.833038700000003</v>
      </c>
      <c r="H24">
        <f t="shared" si="0"/>
        <v>8390.8000000000011</v>
      </c>
      <c r="I24" s="4">
        <f t="shared" si="1"/>
        <v>47675</v>
      </c>
      <c r="J24" s="6">
        <f t="shared" si="2"/>
        <v>450</v>
      </c>
      <c r="K24" s="6">
        <f t="shared" si="3"/>
        <v>21453750</v>
      </c>
      <c r="L24" s="3" t="str">
        <f t="shared" si="4"/>
        <v>Popular</v>
      </c>
    </row>
    <row r="25" spans="1:12">
      <c r="A25" t="s">
        <v>7</v>
      </c>
      <c r="B25" t="s">
        <v>54</v>
      </c>
      <c r="C25" s="4">
        <v>4.3</v>
      </c>
      <c r="D25" s="4">
        <v>2111</v>
      </c>
      <c r="E25" t="s">
        <v>55</v>
      </c>
      <c r="F25" s="4">
        <v>18.936138199999998</v>
      </c>
      <c r="G25">
        <v>72.837612300000004</v>
      </c>
      <c r="H25">
        <f t="shared" si="0"/>
        <v>9077.2999999999993</v>
      </c>
      <c r="I25" s="4">
        <f t="shared" si="1"/>
        <v>52775</v>
      </c>
      <c r="J25" s="6">
        <f t="shared" si="2"/>
        <v>350</v>
      </c>
      <c r="K25" s="6">
        <f t="shared" si="3"/>
        <v>18471250</v>
      </c>
      <c r="L25" s="3" t="str">
        <f t="shared" si="4"/>
        <v>Popular</v>
      </c>
    </row>
    <row r="26" spans="1:12">
      <c r="A26" t="s">
        <v>7</v>
      </c>
      <c r="B26" t="s">
        <v>56</v>
      </c>
      <c r="C26" s="4">
        <v>4.5</v>
      </c>
      <c r="D26" s="4">
        <v>128</v>
      </c>
      <c r="E26" t="s">
        <v>57</v>
      </c>
      <c r="F26" s="4">
        <v>18.921534000000001</v>
      </c>
      <c r="G26">
        <v>72.828177999999994</v>
      </c>
      <c r="H26">
        <f t="shared" si="0"/>
        <v>576</v>
      </c>
      <c r="I26" s="4">
        <f t="shared" si="1"/>
        <v>3200</v>
      </c>
      <c r="J26" s="6">
        <f t="shared" si="2"/>
        <v>450</v>
      </c>
      <c r="K26" s="6">
        <f t="shared" si="3"/>
        <v>1440000</v>
      </c>
      <c r="L26" s="3" t="str">
        <f t="shared" si="4"/>
        <v>Premium</v>
      </c>
    </row>
    <row r="27" spans="1:12">
      <c r="A27" t="s">
        <v>7</v>
      </c>
      <c r="B27" t="s">
        <v>58</v>
      </c>
      <c r="C27" s="4">
        <v>4</v>
      </c>
      <c r="D27" s="4">
        <v>3057</v>
      </c>
      <c r="E27" t="s">
        <v>59</v>
      </c>
      <c r="F27" s="4">
        <v>18.918354000000001</v>
      </c>
      <c r="G27">
        <v>72.828256499999995</v>
      </c>
      <c r="H27">
        <f t="shared" si="0"/>
        <v>12228</v>
      </c>
      <c r="I27" s="4">
        <f t="shared" si="1"/>
        <v>76425</v>
      </c>
      <c r="J27" s="6">
        <f t="shared" si="2"/>
        <v>350</v>
      </c>
      <c r="K27" s="6">
        <f t="shared" si="3"/>
        <v>26748750</v>
      </c>
      <c r="L27" s="3" t="str">
        <f t="shared" si="4"/>
        <v>Popular</v>
      </c>
    </row>
    <row r="28" spans="1:12">
      <c r="A28" t="s">
        <v>7</v>
      </c>
      <c r="B28" t="s">
        <v>60</v>
      </c>
      <c r="C28" s="4">
        <v>4.5999999999999996</v>
      </c>
      <c r="D28" s="4">
        <v>2871</v>
      </c>
      <c r="E28" t="s">
        <v>61</v>
      </c>
      <c r="F28" s="4">
        <v>18.924175999999999</v>
      </c>
      <c r="G28">
        <v>72.833066899999906</v>
      </c>
      <c r="H28">
        <f t="shared" si="0"/>
        <v>13206.599999999999</v>
      </c>
      <c r="I28" s="4">
        <f t="shared" si="1"/>
        <v>71775</v>
      </c>
      <c r="J28" s="6">
        <f t="shared" si="2"/>
        <v>450</v>
      </c>
      <c r="K28" s="6">
        <f t="shared" si="3"/>
        <v>32298750</v>
      </c>
      <c r="L28" s="3" t="str">
        <f t="shared" si="4"/>
        <v>Premium</v>
      </c>
    </row>
    <row r="29" spans="1:12">
      <c r="A29" t="s">
        <v>7</v>
      </c>
      <c r="B29" t="s">
        <v>62</v>
      </c>
      <c r="C29" s="4">
        <v>4</v>
      </c>
      <c r="D29" s="4">
        <v>373</v>
      </c>
      <c r="E29" t="s">
        <v>63</v>
      </c>
      <c r="F29" s="4">
        <v>18.9175127</v>
      </c>
      <c r="G29">
        <v>72.827568200000002</v>
      </c>
      <c r="H29">
        <f t="shared" si="0"/>
        <v>1492</v>
      </c>
      <c r="I29" s="4">
        <f t="shared" si="1"/>
        <v>9325</v>
      </c>
      <c r="J29" s="6">
        <f t="shared" si="2"/>
        <v>350</v>
      </c>
      <c r="K29" s="6">
        <f t="shared" si="3"/>
        <v>3263750</v>
      </c>
      <c r="L29" s="3" t="str">
        <f t="shared" si="4"/>
        <v>Popular</v>
      </c>
    </row>
    <row r="30" spans="1:12">
      <c r="A30" t="s">
        <v>7</v>
      </c>
      <c r="B30" t="s">
        <v>64</v>
      </c>
      <c r="C30" s="4">
        <v>4.4000000000000004</v>
      </c>
      <c r="D30" s="4">
        <v>1264</v>
      </c>
      <c r="E30" t="s">
        <v>65</v>
      </c>
      <c r="F30" s="4">
        <v>18.921610999999999</v>
      </c>
      <c r="G30">
        <v>72.833305099999905</v>
      </c>
      <c r="H30">
        <f t="shared" si="0"/>
        <v>5561.6</v>
      </c>
      <c r="I30" s="4">
        <f t="shared" si="1"/>
        <v>31600</v>
      </c>
      <c r="J30" s="6">
        <f t="shared" si="2"/>
        <v>450</v>
      </c>
      <c r="K30" s="6">
        <f t="shared" si="3"/>
        <v>14220000</v>
      </c>
      <c r="L30" s="3" t="str">
        <f t="shared" si="4"/>
        <v>Popular</v>
      </c>
    </row>
    <row r="31" spans="1:12">
      <c r="A31" t="s">
        <v>7</v>
      </c>
      <c r="B31" t="s">
        <v>66</v>
      </c>
      <c r="C31" s="4">
        <v>4.5</v>
      </c>
      <c r="D31" s="4">
        <v>690</v>
      </c>
      <c r="E31" t="s">
        <v>67</v>
      </c>
      <c r="F31" s="4">
        <v>18.922055400000001</v>
      </c>
      <c r="G31">
        <v>72.833038700000003</v>
      </c>
      <c r="H31">
        <f t="shared" si="0"/>
        <v>3105</v>
      </c>
      <c r="I31" s="4">
        <f t="shared" si="1"/>
        <v>17250</v>
      </c>
      <c r="J31" s="6">
        <f t="shared" si="2"/>
        <v>450</v>
      </c>
      <c r="K31" s="6">
        <f t="shared" si="3"/>
        <v>7762500</v>
      </c>
      <c r="L31" s="3" t="str">
        <f t="shared" si="4"/>
        <v>Premium</v>
      </c>
    </row>
    <row r="32" spans="1:12">
      <c r="A32" t="s">
        <v>7</v>
      </c>
      <c r="B32" t="s">
        <v>68</v>
      </c>
      <c r="C32" s="4">
        <v>4.5</v>
      </c>
      <c r="D32" s="4">
        <v>3434</v>
      </c>
      <c r="E32" t="s">
        <v>69</v>
      </c>
      <c r="F32" s="4">
        <v>18.9215418</v>
      </c>
      <c r="G32">
        <v>72.832518699999994</v>
      </c>
      <c r="H32">
        <f t="shared" si="0"/>
        <v>15453</v>
      </c>
      <c r="I32" s="4">
        <f t="shared" si="1"/>
        <v>85850</v>
      </c>
      <c r="J32" s="6">
        <f t="shared" si="2"/>
        <v>450</v>
      </c>
      <c r="K32" s="6">
        <f t="shared" si="3"/>
        <v>38632500</v>
      </c>
      <c r="L32" s="3" t="str">
        <f t="shared" si="4"/>
        <v>Premium</v>
      </c>
    </row>
    <row r="33" spans="1:12">
      <c r="A33" t="s">
        <v>7</v>
      </c>
      <c r="B33" t="s">
        <v>70</v>
      </c>
      <c r="C33" s="4">
        <v>4.0999999999999996</v>
      </c>
      <c r="D33" s="4">
        <v>804</v>
      </c>
      <c r="E33" t="s">
        <v>71</v>
      </c>
      <c r="F33" s="4">
        <v>18.922256999999998</v>
      </c>
      <c r="G33">
        <v>72.832141300000004</v>
      </c>
      <c r="H33">
        <f t="shared" si="0"/>
        <v>3296.3999999999996</v>
      </c>
      <c r="I33" s="4">
        <f t="shared" si="1"/>
        <v>20100</v>
      </c>
      <c r="J33" s="6">
        <f t="shared" si="2"/>
        <v>350</v>
      </c>
      <c r="K33" s="6">
        <f t="shared" si="3"/>
        <v>7035000</v>
      </c>
      <c r="L33" s="3" t="str">
        <f t="shared" si="4"/>
        <v>Popular</v>
      </c>
    </row>
    <row r="34" spans="1:12">
      <c r="A34" t="s">
        <v>7</v>
      </c>
      <c r="B34" t="s">
        <v>72</v>
      </c>
      <c r="C34" s="4">
        <v>4.4000000000000004</v>
      </c>
      <c r="D34" s="4">
        <v>4278</v>
      </c>
      <c r="E34" t="s">
        <v>73</v>
      </c>
      <c r="F34" s="4">
        <v>18.928277099999999</v>
      </c>
      <c r="G34">
        <v>72.831861000000004</v>
      </c>
      <c r="H34">
        <f t="shared" si="0"/>
        <v>18823.2</v>
      </c>
      <c r="I34" s="4">
        <f t="shared" si="1"/>
        <v>106950</v>
      </c>
      <c r="J34" s="6">
        <f t="shared" si="2"/>
        <v>450</v>
      </c>
      <c r="K34" s="6">
        <f t="shared" si="3"/>
        <v>48127500</v>
      </c>
      <c r="L34" s="3" t="str">
        <f t="shared" si="4"/>
        <v>Popular</v>
      </c>
    </row>
    <row r="35" spans="1:12">
      <c r="A35" t="s">
        <v>7</v>
      </c>
      <c r="B35" t="s">
        <v>74</v>
      </c>
      <c r="C35" s="4">
        <v>4.4000000000000004</v>
      </c>
      <c r="D35" s="4">
        <v>2316</v>
      </c>
      <c r="E35" t="s">
        <v>75</v>
      </c>
      <c r="F35" s="4">
        <v>18.9248583</v>
      </c>
      <c r="G35">
        <v>72.831855599999997</v>
      </c>
      <c r="H35">
        <f t="shared" si="0"/>
        <v>10190.400000000001</v>
      </c>
      <c r="I35" s="4">
        <f t="shared" si="1"/>
        <v>57900</v>
      </c>
      <c r="J35" s="6">
        <f t="shared" si="2"/>
        <v>450</v>
      </c>
      <c r="K35" s="6">
        <f t="shared" si="3"/>
        <v>26055000</v>
      </c>
      <c r="L35" s="3" t="str">
        <f t="shared" si="4"/>
        <v>Popular</v>
      </c>
    </row>
    <row r="36" spans="1:12">
      <c r="A36" t="s">
        <v>7</v>
      </c>
      <c r="B36" t="s">
        <v>76</v>
      </c>
      <c r="C36" s="4">
        <v>4.4000000000000004</v>
      </c>
      <c r="D36" s="4">
        <v>478</v>
      </c>
      <c r="E36" t="s">
        <v>77</v>
      </c>
      <c r="F36" s="4">
        <v>18.935954500000001</v>
      </c>
      <c r="G36">
        <v>72.840635300000002</v>
      </c>
      <c r="H36">
        <f t="shared" si="0"/>
        <v>2103.2000000000003</v>
      </c>
      <c r="I36" s="4">
        <f t="shared" si="1"/>
        <v>11950</v>
      </c>
      <c r="J36" s="6">
        <f t="shared" si="2"/>
        <v>450</v>
      </c>
      <c r="K36" s="6">
        <f t="shared" si="3"/>
        <v>5377500</v>
      </c>
      <c r="L36" s="3" t="str">
        <f t="shared" si="4"/>
        <v>Popular</v>
      </c>
    </row>
    <row r="37" spans="1:12">
      <c r="A37" t="s">
        <v>7</v>
      </c>
      <c r="B37" t="s">
        <v>78</v>
      </c>
      <c r="C37" s="4">
        <v>3.9</v>
      </c>
      <c r="D37" s="4">
        <v>4866</v>
      </c>
      <c r="E37" t="s">
        <v>79</v>
      </c>
      <c r="F37" s="4">
        <v>18.918294400000001</v>
      </c>
      <c r="G37">
        <v>72.830873699999998</v>
      </c>
      <c r="H37">
        <f t="shared" si="0"/>
        <v>18977.399999999998</v>
      </c>
      <c r="I37" s="4">
        <f t="shared" si="1"/>
        <v>121650</v>
      </c>
      <c r="J37" s="6">
        <f t="shared" si="2"/>
        <v>350</v>
      </c>
      <c r="K37" s="6">
        <f t="shared" si="3"/>
        <v>42577500</v>
      </c>
      <c r="L37" s="3" t="str">
        <f t="shared" si="4"/>
        <v>Average</v>
      </c>
    </row>
    <row r="38" spans="1:12">
      <c r="A38" t="s">
        <v>7</v>
      </c>
      <c r="B38" t="s">
        <v>80</v>
      </c>
      <c r="C38" s="4">
        <v>4.0999999999999996</v>
      </c>
      <c r="D38" s="4">
        <v>1439</v>
      </c>
      <c r="E38" t="s">
        <v>81</v>
      </c>
      <c r="F38" s="4">
        <v>18.937572299999999</v>
      </c>
      <c r="G38">
        <v>72.833657099999996</v>
      </c>
      <c r="H38">
        <f t="shared" si="0"/>
        <v>5899.9</v>
      </c>
      <c r="I38" s="4">
        <f t="shared" si="1"/>
        <v>35975</v>
      </c>
      <c r="J38" s="6">
        <f t="shared" si="2"/>
        <v>350</v>
      </c>
      <c r="K38" s="6">
        <f t="shared" si="3"/>
        <v>12591250</v>
      </c>
      <c r="L38" s="3" t="str">
        <f t="shared" si="4"/>
        <v>Popular</v>
      </c>
    </row>
    <row r="39" spans="1:12">
      <c r="A39" t="s">
        <v>7</v>
      </c>
      <c r="B39" t="s">
        <v>82</v>
      </c>
      <c r="C39" s="4">
        <v>4.5</v>
      </c>
      <c r="D39" s="4">
        <v>139</v>
      </c>
      <c r="E39" t="s">
        <v>83</v>
      </c>
      <c r="F39" s="4">
        <v>18.9200035</v>
      </c>
      <c r="G39">
        <v>72.8301917</v>
      </c>
      <c r="H39">
        <f t="shared" si="0"/>
        <v>625.5</v>
      </c>
      <c r="I39" s="4">
        <f t="shared" si="1"/>
        <v>3475</v>
      </c>
      <c r="J39" s="6">
        <f t="shared" si="2"/>
        <v>450</v>
      </c>
      <c r="K39" s="6">
        <f t="shared" si="3"/>
        <v>1563750</v>
      </c>
      <c r="L39" s="3" t="str">
        <f t="shared" si="4"/>
        <v>Premium</v>
      </c>
    </row>
    <row r="40" spans="1:12">
      <c r="A40" t="s">
        <v>7</v>
      </c>
      <c r="B40" t="s">
        <v>84</v>
      </c>
      <c r="C40" s="4">
        <v>4.3</v>
      </c>
      <c r="D40" s="4">
        <v>66</v>
      </c>
      <c r="E40" t="s">
        <v>85</v>
      </c>
      <c r="F40" s="4">
        <v>18.9176936</v>
      </c>
      <c r="G40">
        <v>72.827708599999994</v>
      </c>
      <c r="H40">
        <f t="shared" si="0"/>
        <v>283.8</v>
      </c>
      <c r="I40" s="4">
        <f t="shared" si="1"/>
        <v>1650</v>
      </c>
      <c r="J40" s="6">
        <f t="shared" si="2"/>
        <v>350</v>
      </c>
      <c r="K40" s="6">
        <f t="shared" si="3"/>
        <v>577500</v>
      </c>
      <c r="L40" s="3" t="str">
        <f t="shared" si="4"/>
        <v>Popular</v>
      </c>
    </row>
    <row r="41" spans="1:12">
      <c r="A41" t="s">
        <v>7</v>
      </c>
      <c r="B41" t="s">
        <v>86</v>
      </c>
      <c r="C41" s="4">
        <v>3.9</v>
      </c>
      <c r="D41" s="4">
        <v>157</v>
      </c>
      <c r="E41" t="s">
        <v>87</v>
      </c>
      <c r="F41" s="4">
        <v>18.919003</v>
      </c>
      <c r="G41">
        <v>72.830482000000003</v>
      </c>
      <c r="H41">
        <f t="shared" si="0"/>
        <v>612.29999999999995</v>
      </c>
      <c r="I41" s="4">
        <f t="shared" si="1"/>
        <v>3925</v>
      </c>
      <c r="J41" s="6">
        <f t="shared" si="2"/>
        <v>350</v>
      </c>
      <c r="K41" s="6">
        <f t="shared" si="3"/>
        <v>1373750</v>
      </c>
      <c r="L41" s="3" t="str">
        <f t="shared" si="4"/>
        <v>Average</v>
      </c>
    </row>
    <row r="42" spans="1:12">
      <c r="A42" t="s">
        <v>7</v>
      </c>
      <c r="B42" t="s">
        <v>88</v>
      </c>
      <c r="C42" s="4">
        <v>3.9</v>
      </c>
      <c r="D42" s="4">
        <v>689</v>
      </c>
      <c r="E42" t="s">
        <v>89</v>
      </c>
      <c r="F42" s="4">
        <v>18.924903700000002</v>
      </c>
      <c r="G42">
        <v>72.831838599999998</v>
      </c>
      <c r="H42">
        <f t="shared" si="0"/>
        <v>2687.1</v>
      </c>
      <c r="I42" s="4">
        <f t="shared" si="1"/>
        <v>17225</v>
      </c>
      <c r="J42" s="6">
        <f t="shared" si="2"/>
        <v>350</v>
      </c>
      <c r="K42" s="6">
        <f t="shared" si="3"/>
        <v>6028750</v>
      </c>
      <c r="L42" s="3" t="str">
        <f t="shared" si="4"/>
        <v>Average</v>
      </c>
    </row>
    <row r="43" spans="1:12">
      <c r="A43" t="s">
        <v>7</v>
      </c>
      <c r="B43" t="s">
        <v>90</v>
      </c>
      <c r="C43" s="4">
        <v>3.7</v>
      </c>
      <c r="D43" s="4">
        <v>24277</v>
      </c>
      <c r="E43" t="s">
        <v>91</v>
      </c>
      <c r="F43" s="4">
        <v>18.923235900000002</v>
      </c>
      <c r="G43">
        <v>72.832522599999905</v>
      </c>
      <c r="H43">
        <f t="shared" si="0"/>
        <v>89824.900000000009</v>
      </c>
      <c r="I43" s="4">
        <f t="shared" si="1"/>
        <v>606925</v>
      </c>
      <c r="J43" s="6">
        <f t="shared" si="2"/>
        <v>350</v>
      </c>
      <c r="K43" s="6">
        <f t="shared" si="3"/>
        <v>212423750</v>
      </c>
      <c r="L43" s="3" t="str">
        <f t="shared" si="4"/>
        <v>Average</v>
      </c>
    </row>
    <row r="44" spans="1:12">
      <c r="A44" t="s">
        <v>7</v>
      </c>
      <c r="B44" t="s">
        <v>92</v>
      </c>
      <c r="C44" s="4">
        <v>4.0999999999999996</v>
      </c>
      <c r="D44" s="4">
        <v>9027</v>
      </c>
      <c r="E44" t="s">
        <v>93</v>
      </c>
      <c r="F44" s="4">
        <v>18.922880599999999</v>
      </c>
      <c r="G44">
        <v>72.832390000000004</v>
      </c>
      <c r="H44">
        <f t="shared" si="0"/>
        <v>37010.699999999997</v>
      </c>
      <c r="I44" s="4">
        <f t="shared" si="1"/>
        <v>225675</v>
      </c>
      <c r="J44" s="6">
        <f t="shared" si="2"/>
        <v>350</v>
      </c>
      <c r="K44" s="6">
        <f t="shared" si="3"/>
        <v>78986250</v>
      </c>
      <c r="L44" s="3" t="str">
        <f t="shared" si="4"/>
        <v>Popular</v>
      </c>
    </row>
    <row r="45" spans="1:12">
      <c r="A45" t="s">
        <v>7</v>
      </c>
      <c r="B45" t="s">
        <v>94</v>
      </c>
      <c r="C45" s="4">
        <v>4.4000000000000004</v>
      </c>
      <c r="D45" s="4">
        <v>3004</v>
      </c>
      <c r="E45" t="s">
        <v>95</v>
      </c>
      <c r="F45" s="4">
        <v>18.928371500000001</v>
      </c>
      <c r="G45">
        <v>72.833741599999996</v>
      </c>
      <c r="H45">
        <f t="shared" si="0"/>
        <v>13217.6</v>
      </c>
      <c r="I45" s="4">
        <f t="shared" si="1"/>
        <v>75100</v>
      </c>
      <c r="J45" s="6">
        <f t="shared" si="2"/>
        <v>450</v>
      </c>
      <c r="K45" s="6">
        <f t="shared" si="3"/>
        <v>33795000</v>
      </c>
      <c r="L45" s="3" t="str">
        <f t="shared" si="4"/>
        <v>Popular</v>
      </c>
    </row>
    <row r="46" spans="1:12">
      <c r="A46" t="s">
        <v>7</v>
      </c>
      <c r="B46" t="s">
        <v>96</v>
      </c>
      <c r="C46" s="4">
        <v>4.3</v>
      </c>
      <c r="D46" s="4">
        <v>1197</v>
      </c>
      <c r="E46" t="s">
        <v>97</v>
      </c>
      <c r="F46" s="4">
        <v>18.9242381</v>
      </c>
      <c r="G46">
        <v>72.833314099999996</v>
      </c>
      <c r="H46">
        <f t="shared" si="0"/>
        <v>5147.0999999999995</v>
      </c>
      <c r="I46" s="4">
        <f t="shared" si="1"/>
        <v>29925</v>
      </c>
      <c r="J46" s="6">
        <f t="shared" si="2"/>
        <v>350</v>
      </c>
      <c r="K46" s="6">
        <f t="shared" si="3"/>
        <v>10473750</v>
      </c>
      <c r="L46" s="3" t="str">
        <f t="shared" si="4"/>
        <v>Popular</v>
      </c>
    </row>
    <row r="47" spans="1:12">
      <c r="A47" t="s">
        <v>7</v>
      </c>
      <c r="B47" t="s">
        <v>98</v>
      </c>
      <c r="C47" s="4">
        <v>4.3</v>
      </c>
      <c r="D47" s="4">
        <v>58</v>
      </c>
      <c r="E47" t="s">
        <v>99</v>
      </c>
      <c r="F47" s="4">
        <v>18.915061099999999</v>
      </c>
      <c r="G47">
        <v>72.824283499999893</v>
      </c>
      <c r="H47">
        <f t="shared" si="0"/>
        <v>249.39999999999998</v>
      </c>
      <c r="I47" s="4">
        <f t="shared" si="1"/>
        <v>1450</v>
      </c>
      <c r="J47" s="6">
        <f t="shared" si="2"/>
        <v>350</v>
      </c>
      <c r="K47" s="6">
        <f t="shared" si="3"/>
        <v>507500</v>
      </c>
      <c r="L47" s="3" t="str">
        <f t="shared" si="4"/>
        <v>Popular</v>
      </c>
    </row>
    <row r="48" spans="1:12">
      <c r="A48" t="s">
        <v>7</v>
      </c>
      <c r="B48" t="s">
        <v>100</v>
      </c>
      <c r="C48" s="4">
        <v>4.4000000000000004</v>
      </c>
      <c r="D48" s="4">
        <v>2503</v>
      </c>
      <c r="E48" t="s">
        <v>101</v>
      </c>
      <c r="F48" s="4">
        <v>18.917366399999999</v>
      </c>
      <c r="G48">
        <v>72.824587199999996</v>
      </c>
      <c r="H48">
        <f t="shared" si="0"/>
        <v>11013.2</v>
      </c>
      <c r="I48" s="4">
        <f t="shared" si="1"/>
        <v>62575</v>
      </c>
      <c r="J48" s="6">
        <f t="shared" si="2"/>
        <v>450</v>
      </c>
      <c r="K48" s="6">
        <f t="shared" si="3"/>
        <v>28158750</v>
      </c>
      <c r="L48" s="3" t="str">
        <f t="shared" si="4"/>
        <v>Popular</v>
      </c>
    </row>
    <row r="49" spans="1:12">
      <c r="A49" t="s">
        <v>7</v>
      </c>
      <c r="B49" t="s">
        <v>102</v>
      </c>
      <c r="C49" s="4">
        <v>4.4000000000000004</v>
      </c>
      <c r="D49" s="4">
        <v>110</v>
      </c>
      <c r="E49" t="s">
        <v>103</v>
      </c>
      <c r="F49" s="4">
        <v>18.923784600000001</v>
      </c>
      <c r="G49">
        <v>72.832608899999997</v>
      </c>
      <c r="H49">
        <f t="shared" si="0"/>
        <v>484.00000000000006</v>
      </c>
      <c r="I49" s="4">
        <f t="shared" si="1"/>
        <v>2750</v>
      </c>
      <c r="J49" s="6">
        <f t="shared" si="2"/>
        <v>450</v>
      </c>
      <c r="K49" s="6">
        <f t="shared" si="3"/>
        <v>1237500</v>
      </c>
      <c r="L49" s="3" t="str">
        <f t="shared" si="4"/>
        <v>Popular</v>
      </c>
    </row>
    <row r="50" spans="1:12">
      <c r="A50" t="s">
        <v>7</v>
      </c>
      <c r="B50" t="s">
        <v>104</v>
      </c>
      <c r="C50" s="4">
        <v>4.4000000000000004</v>
      </c>
      <c r="D50" s="4">
        <v>1569</v>
      </c>
      <c r="E50" t="s">
        <v>105</v>
      </c>
      <c r="F50" s="4">
        <v>18.923695899999998</v>
      </c>
      <c r="G50">
        <v>72.832431599999893</v>
      </c>
      <c r="H50">
        <f t="shared" si="0"/>
        <v>6903.6</v>
      </c>
      <c r="I50" s="4">
        <f t="shared" si="1"/>
        <v>39225</v>
      </c>
      <c r="J50" s="6">
        <f t="shared" si="2"/>
        <v>450</v>
      </c>
      <c r="K50" s="6">
        <f t="shared" si="3"/>
        <v>17651250</v>
      </c>
      <c r="L50" s="3" t="str">
        <f t="shared" si="4"/>
        <v>Popular</v>
      </c>
    </row>
    <row r="51" spans="1:12">
      <c r="A51" t="s">
        <v>7</v>
      </c>
      <c r="B51" t="s">
        <v>106</v>
      </c>
      <c r="C51" s="4">
        <v>4.0999999999999996</v>
      </c>
      <c r="D51" s="4">
        <v>139</v>
      </c>
      <c r="E51" t="s">
        <v>107</v>
      </c>
      <c r="F51" s="4">
        <v>18.923876799999999</v>
      </c>
      <c r="G51">
        <v>72.833338900000001</v>
      </c>
      <c r="H51">
        <f t="shared" si="0"/>
        <v>569.9</v>
      </c>
      <c r="I51" s="4">
        <f t="shared" si="1"/>
        <v>3475</v>
      </c>
      <c r="J51" s="6">
        <f t="shared" si="2"/>
        <v>350</v>
      </c>
      <c r="K51" s="6">
        <f t="shared" si="3"/>
        <v>1216250</v>
      </c>
      <c r="L51" s="3" t="str">
        <f t="shared" si="4"/>
        <v>Popular</v>
      </c>
    </row>
    <row r="52" spans="1:12">
      <c r="A52" t="s">
        <v>7</v>
      </c>
      <c r="B52" t="s">
        <v>108</v>
      </c>
      <c r="C52" s="4">
        <v>4</v>
      </c>
      <c r="D52" s="4">
        <v>2950</v>
      </c>
      <c r="E52" t="s">
        <v>109</v>
      </c>
      <c r="F52" s="4">
        <v>18.9296112</v>
      </c>
      <c r="G52">
        <v>72.834567699999994</v>
      </c>
      <c r="H52">
        <f t="shared" si="0"/>
        <v>11800</v>
      </c>
      <c r="I52" s="4">
        <f t="shared" si="1"/>
        <v>73750</v>
      </c>
      <c r="J52" s="6">
        <f t="shared" si="2"/>
        <v>350</v>
      </c>
      <c r="K52" s="6">
        <f t="shared" si="3"/>
        <v>25812500</v>
      </c>
      <c r="L52" s="3" t="str">
        <f t="shared" si="4"/>
        <v>Popular</v>
      </c>
    </row>
    <row r="53" spans="1:12">
      <c r="A53" t="s">
        <v>7</v>
      </c>
      <c r="B53" t="s">
        <v>110</v>
      </c>
      <c r="C53" s="4">
        <v>4.5</v>
      </c>
      <c r="D53" s="4">
        <v>965</v>
      </c>
      <c r="E53" t="s">
        <v>111</v>
      </c>
      <c r="F53" s="4">
        <v>18.9242223</v>
      </c>
      <c r="G53">
        <v>72.833541499999995</v>
      </c>
      <c r="H53">
        <f t="shared" si="0"/>
        <v>4342.5</v>
      </c>
      <c r="I53" s="4">
        <f t="shared" si="1"/>
        <v>24125</v>
      </c>
      <c r="J53" s="6">
        <f t="shared" si="2"/>
        <v>450</v>
      </c>
      <c r="K53" s="6">
        <f t="shared" si="3"/>
        <v>10856250</v>
      </c>
      <c r="L53" s="3" t="str">
        <f t="shared" si="4"/>
        <v>Premium</v>
      </c>
    </row>
    <row r="54" spans="1:12">
      <c r="A54" t="s">
        <v>7</v>
      </c>
      <c r="B54" t="s">
        <v>112</v>
      </c>
      <c r="C54" s="4">
        <v>4.5999999999999996</v>
      </c>
      <c r="D54" s="4">
        <v>466</v>
      </c>
      <c r="E54" t="s">
        <v>113</v>
      </c>
      <c r="F54" s="4">
        <v>18.9276746</v>
      </c>
      <c r="G54">
        <v>72.820946000000006</v>
      </c>
      <c r="H54">
        <f t="shared" si="0"/>
        <v>2143.6</v>
      </c>
      <c r="I54" s="4">
        <f t="shared" si="1"/>
        <v>11650</v>
      </c>
      <c r="J54" s="6">
        <f t="shared" si="2"/>
        <v>450</v>
      </c>
      <c r="K54" s="6">
        <f t="shared" si="3"/>
        <v>5242500</v>
      </c>
      <c r="L54" s="3" t="str">
        <f t="shared" si="4"/>
        <v>Premium</v>
      </c>
    </row>
    <row r="55" spans="1:12">
      <c r="A55" t="s">
        <v>7</v>
      </c>
      <c r="B55" t="s">
        <v>114</v>
      </c>
      <c r="C55" s="4">
        <v>5</v>
      </c>
      <c r="D55" s="4">
        <v>16</v>
      </c>
      <c r="E55" t="s">
        <v>115</v>
      </c>
      <c r="F55" s="4">
        <v>18.9256998</v>
      </c>
      <c r="G55">
        <v>72.829637199999993</v>
      </c>
      <c r="H55">
        <f t="shared" si="0"/>
        <v>80</v>
      </c>
      <c r="I55" s="4">
        <f t="shared" si="1"/>
        <v>400</v>
      </c>
      <c r="J55" s="6">
        <f t="shared" si="2"/>
        <v>550</v>
      </c>
      <c r="K55" s="6">
        <f t="shared" si="3"/>
        <v>220000</v>
      </c>
      <c r="L55" s="3" t="str">
        <f t="shared" si="4"/>
        <v>Premium</v>
      </c>
    </row>
    <row r="56" spans="1:12">
      <c r="A56" t="s">
        <v>7</v>
      </c>
      <c r="B56" t="s">
        <v>116</v>
      </c>
      <c r="C56" s="4">
        <v>4.4000000000000004</v>
      </c>
      <c r="D56" s="4">
        <v>1239</v>
      </c>
      <c r="E56" t="s">
        <v>117</v>
      </c>
      <c r="F56" s="4">
        <v>18.924139100000001</v>
      </c>
      <c r="G56">
        <v>72.832957100000002</v>
      </c>
      <c r="H56">
        <f t="shared" si="0"/>
        <v>5451.6</v>
      </c>
      <c r="I56" s="4">
        <f t="shared" si="1"/>
        <v>30975</v>
      </c>
      <c r="J56" s="6">
        <f t="shared" si="2"/>
        <v>450</v>
      </c>
      <c r="K56" s="6">
        <f t="shared" si="3"/>
        <v>13938750</v>
      </c>
      <c r="L56" s="3" t="str">
        <f t="shared" si="4"/>
        <v>Popular</v>
      </c>
    </row>
    <row r="57" spans="1:12">
      <c r="A57" t="s">
        <v>7</v>
      </c>
      <c r="B57" t="s">
        <v>118</v>
      </c>
      <c r="C57" s="4">
        <v>4.5</v>
      </c>
      <c r="D57" s="4">
        <v>197</v>
      </c>
      <c r="E57" t="s">
        <v>119</v>
      </c>
      <c r="F57" s="4">
        <v>18.905807200000002</v>
      </c>
      <c r="G57">
        <v>72.816851599999893</v>
      </c>
      <c r="H57">
        <f t="shared" si="0"/>
        <v>886.5</v>
      </c>
      <c r="I57" s="4">
        <f t="shared" si="1"/>
        <v>4925</v>
      </c>
      <c r="J57" s="6">
        <f t="shared" si="2"/>
        <v>450</v>
      </c>
      <c r="K57" s="6">
        <f t="shared" si="3"/>
        <v>2216250</v>
      </c>
      <c r="L57" s="3" t="str">
        <f t="shared" si="4"/>
        <v>Premium</v>
      </c>
    </row>
    <row r="58" spans="1:12">
      <c r="A58" t="s">
        <v>7</v>
      </c>
      <c r="B58" t="s">
        <v>120</v>
      </c>
      <c r="C58" s="4">
        <v>3.6</v>
      </c>
      <c r="D58" s="4">
        <v>96</v>
      </c>
      <c r="E58" t="s">
        <v>65</v>
      </c>
      <c r="F58" s="4">
        <v>18.921908200000001</v>
      </c>
      <c r="G58">
        <v>72.833253299999996</v>
      </c>
      <c r="H58">
        <f t="shared" si="0"/>
        <v>345.6</v>
      </c>
      <c r="I58" s="4">
        <f t="shared" si="1"/>
        <v>2400</v>
      </c>
      <c r="J58" s="6">
        <f t="shared" si="2"/>
        <v>350</v>
      </c>
      <c r="K58" s="6">
        <f t="shared" si="3"/>
        <v>840000</v>
      </c>
      <c r="L58" s="3" t="str">
        <f t="shared" si="4"/>
        <v>Average</v>
      </c>
    </row>
    <row r="59" spans="1:12">
      <c r="A59" t="s">
        <v>7</v>
      </c>
      <c r="B59" t="s">
        <v>121</v>
      </c>
      <c r="C59" s="4">
        <v>4.3</v>
      </c>
      <c r="D59" s="4">
        <v>606</v>
      </c>
      <c r="E59" t="s">
        <v>122</v>
      </c>
      <c r="F59" s="4">
        <v>18.924929800000001</v>
      </c>
      <c r="G59">
        <v>72.821540599999906</v>
      </c>
      <c r="H59">
        <f t="shared" si="0"/>
        <v>2605.7999999999997</v>
      </c>
      <c r="I59" s="4">
        <f t="shared" si="1"/>
        <v>15150</v>
      </c>
      <c r="J59" s="6">
        <f t="shared" si="2"/>
        <v>350</v>
      </c>
      <c r="K59" s="6">
        <f t="shared" si="3"/>
        <v>5302500</v>
      </c>
      <c r="L59" s="3" t="str">
        <f t="shared" si="4"/>
        <v>Popular</v>
      </c>
    </row>
    <row r="60" spans="1:12">
      <c r="A60" t="s">
        <v>7</v>
      </c>
      <c r="B60" t="s">
        <v>123</v>
      </c>
      <c r="C60" s="4">
        <v>4.5</v>
      </c>
      <c r="D60" s="4">
        <v>937</v>
      </c>
      <c r="E60" t="s">
        <v>124</v>
      </c>
      <c r="F60" s="4">
        <v>18.930039000000001</v>
      </c>
      <c r="G60">
        <v>72.826060099999907</v>
      </c>
      <c r="H60">
        <f t="shared" si="0"/>
        <v>4216.5</v>
      </c>
      <c r="I60" s="4">
        <f t="shared" si="1"/>
        <v>23425</v>
      </c>
      <c r="J60" s="6">
        <f t="shared" si="2"/>
        <v>450</v>
      </c>
      <c r="K60" s="6">
        <f t="shared" si="3"/>
        <v>10541250</v>
      </c>
      <c r="L60" s="3" t="str">
        <f t="shared" si="4"/>
        <v>Premium</v>
      </c>
    </row>
    <row r="61" spans="1:12">
      <c r="A61" t="s">
        <v>7</v>
      </c>
      <c r="B61" t="s">
        <v>125</v>
      </c>
      <c r="C61" s="4">
        <v>4.4000000000000004</v>
      </c>
      <c r="D61" s="4">
        <v>1130</v>
      </c>
      <c r="E61" t="s">
        <v>126</v>
      </c>
      <c r="F61" s="4">
        <v>18.902339099999999</v>
      </c>
      <c r="G61">
        <v>72.8080085</v>
      </c>
      <c r="H61">
        <f t="shared" si="0"/>
        <v>4972</v>
      </c>
      <c r="I61" s="4">
        <f t="shared" si="1"/>
        <v>28250</v>
      </c>
      <c r="J61" s="6">
        <f t="shared" si="2"/>
        <v>450</v>
      </c>
      <c r="K61" s="6">
        <f t="shared" si="3"/>
        <v>12712500</v>
      </c>
      <c r="L61" s="3" t="str">
        <f t="shared" si="4"/>
        <v>Popular</v>
      </c>
    </row>
    <row r="62" spans="1:12">
      <c r="A62" t="s">
        <v>127</v>
      </c>
      <c r="B62" t="s">
        <v>50</v>
      </c>
      <c r="C62" s="4">
        <v>4.4000000000000004</v>
      </c>
      <c r="D62" s="4">
        <v>7038</v>
      </c>
      <c r="E62" t="s">
        <v>51</v>
      </c>
      <c r="F62" s="4">
        <v>18.933501499999998</v>
      </c>
      <c r="G62">
        <v>72.826274999999995</v>
      </c>
      <c r="H62">
        <f t="shared" si="0"/>
        <v>30967.200000000001</v>
      </c>
      <c r="I62" s="4">
        <f t="shared" si="1"/>
        <v>175950</v>
      </c>
      <c r="J62" s="6">
        <f t="shared" si="2"/>
        <v>450</v>
      </c>
      <c r="K62" s="6">
        <f t="shared" si="3"/>
        <v>79177500</v>
      </c>
      <c r="L62" s="3" t="str">
        <f t="shared" si="4"/>
        <v>Popular</v>
      </c>
    </row>
    <row r="63" spans="1:12">
      <c r="A63" t="s">
        <v>127</v>
      </c>
      <c r="B63" t="s">
        <v>24</v>
      </c>
      <c r="C63" s="4">
        <v>4.4000000000000004</v>
      </c>
      <c r="D63" s="4">
        <v>3447</v>
      </c>
      <c r="E63" t="s">
        <v>25</v>
      </c>
      <c r="F63" s="4">
        <v>18.928066999999999</v>
      </c>
      <c r="G63">
        <v>72.832415999999995</v>
      </c>
      <c r="H63">
        <f t="shared" si="0"/>
        <v>15166.800000000001</v>
      </c>
      <c r="I63" s="4">
        <f t="shared" si="1"/>
        <v>86175</v>
      </c>
      <c r="J63" s="6">
        <f t="shared" si="2"/>
        <v>450</v>
      </c>
      <c r="K63" s="6">
        <f t="shared" si="3"/>
        <v>38778750</v>
      </c>
      <c r="L63" s="3" t="str">
        <f t="shared" si="4"/>
        <v>Popular</v>
      </c>
    </row>
    <row r="64" spans="1:12">
      <c r="A64" t="s">
        <v>127</v>
      </c>
      <c r="B64" t="s">
        <v>123</v>
      </c>
      <c r="C64" s="4">
        <v>4.5</v>
      </c>
      <c r="D64" s="4">
        <v>937</v>
      </c>
      <c r="E64" t="s">
        <v>124</v>
      </c>
      <c r="F64" s="4">
        <v>18.930039000000001</v>
      </c>
      <c r="G64">
        <v>72.826060099999907</v>
      </c>
      <c r="H64">
        <f t="shared" si="0"/>
        <v>4216.5</v>
      </c>
      <c r="I64" s="4">
        <f t="shared" si="1"/>
        <v>23425</v>
      </c>
      <c r="J64" s="6">
        <f t="shared" si="2"/>
        <v>450</v>
      </c>
      <c r="K64" s="6">
        <f t="shared" si="3"/>
        <v>10541250</v>
      </c>
      <c r="L64" s="3" t="str">
        <f t="shared" si="4"/>
        <v>Premium</v>
      </c>
    </row>
    <row r="65" spans="1:12">
      <c r="A65" t="s">
        <v>127</v>
      </c>
      <c r="B65" t="s">
        <v>128</v>
      </c>
      <c r="C65" s="4">
        <v>4</v>
      </c>
      <c r="D65" s="4">
        <v>921</v>
      </c>
      <c r="E65" t="s">
        <v>129</v>
      </c>
      <c r="F65" s="4">
        <v>18.9337105</v>
      </c>
      <c r="G65">
        <v>72.827086299999905</v>
      </c>
      <c r="H65">
        <f t="shared" si="0"/>
        <v>3684</v>
      </c>
      <c r="I65" s="4">
        <f t="shared" si="1"/>
        <v>23025</v>
      </c>
      <c r="J65" s="6">
        <f t="shared" si="2"/>
        <v>350</v>
      </c>
      <c r="K65" s="6">
        <f t="shared" si="3"/>
        <v>8058750</v>
      </c>
      <c r="L65" s="3" t="str">
        <f t="shared" si="4"/>
        <v>Popular</v>
      </c>
    </row>
    <row r="66" spans="1:12">
      <c r="A66" t="s">
        <v>127</v>
      </c>
      <c r="B66" t="s">
        <v>130</v>
      </c>
      <c r="C66" s="4">
        <v>4.0999999999999996</v>
      </c>
      <c r="D66" s="4">
        <v>306</v>
      </c>
      <c r="E66" t="s">
        <v>131</v>
      </c>
      <c r="F66" s="4">
        <v>18.9318071</v>
      </c>
      <c r="G66">
        <v>72.828059999999994</v>
      </c>
      <c r="H66">
        <f t="shared" ref="H66:H129" si="5">C66*D66</f>
        <v>1254.5999999999999</v>
      </c>
      <c r="I66" s="4">
        <f t="shared" ref="I66:I129" si="6">D66*25</f>
        <v>7650</v>
      </c>
      <c r="J66" s="6">
        <f t="shared" ref="J66:J129" si="7">IF(C66&gt;=4.7,550,IF(C66&gt;=4.4,450,IF(C66&gt;=O68,350,250)))</f>
        <v>350</v>
      </c>
      <c r="K66" s="6">
        <f t="shared" ref="K66:K129" si="8">I66*J66</f>
        <v>2677500</v>
      </c>
      <c r="L66" s="3" t="str">
        <f t="shared" ref="L66:L129" si="9">IF(C66&gt;=4.5,"Premium",IF(C66&gt;=4,"Popular","Average"))</f>
        <v>Popular</v>
      </c>
    </row>
    <row r="67" spans="1:12">
      <c r="A67" t="s">
        <v>127</v>
      </c>
      <c r="B67" t="s">
        <v>132</v>
      </c>
      <c r="C67" s="4">
        <v>4.5</v>
      </c>
      <c r="D67" s="4">
        <v>27</v>
      </c>
      <c r="E67" t="s">
        <v>133</v>
      </c>
      <c r="F67" s="4">
        <v>18.931263900000001</v>
      </c>
      <c r="G67">
        <v>72.826985899999997</v>
      </c>
      <c r="H67">
        <f t="shared" si="5"/>
        <v>121.5</v>
      </c>
      <c r="I67" s="4">
        <f t="shared" si="6"/>
        <v>675</v>
      </c>
      <c r="J67" s="6">
        <f t="shared" si="7"/>
        <v>450</v>
      </c>
      <c r="K67" s="6">
        <f t="shared" si="8"/>
        <v>303750</v>
      </c>
      <c r="L67" s="3" t="str">
        <f t="shared" si="9"/>
        <v>Premium</v>
      </c>
    </row>
    <row r="68" spans="1:12">
      <c r="A68" t="s">
        <v>127</v>
      </c>
      <c r="B68" t="s">
        <v>32</v>
      </c>
      <c r="C68" s="4">
        <v>4.3</v>
      </c>
      <c r="D68" s="4">
        <v>1395</v>
      </c>
      <c r="E68" t="s">
        <v>33</v>
      </c>
      <c r="F68" s="4">
        <v>18.935252999999999</v>
      </c>
      <c r="G68">
        <v>72.838378599999999</v>
      </c>
      <c r="H68">
        <f t="shared" si="5"/>
        <v>5998.5</v>
      </c>
      <c r="I68" s="4">
        <f t="shared" si="6"/>
        <v>34875</v>
      </c>
      <c r="J68" s="6">
        <f t="shared" si="7"/>
        <v>350</v>
      </c>
      <c r="K68" s="6">
        <f t="shared" si="8"/>
        <v>12206250</v>
      </c>
      <c r="L68" s="3" t="str">
        <f t="shared" si="9"/>
        <v>Popular</v>
      </c>
    </row>
    <row r="69" spans="1:12">
      <c r="A69" t="s">
        <v>127</v>
      </c>
      <c r="B69" t="s">
        <v>134</v>
      </c>
      <c r="C69" s="4">
        <v>3.8</v>
      </c>
      <c r="D69" s="4">
        <v>1431</v>
      </c>
      <c r="E69" t="s">
        <v>135</v>
      </c>
      <c r="F69" s="4">
        <v>18.9334913</v>
      </c>
      <c r="G69">
        <v>72.8270287</v>
      </c>
      <c r="H69">
        <f t="shared" si="5"/>
        <v>5437.8</v>
      </c>
      <c r="I69" s="4">
        <f t="shared" si="6"/>
        <v>35775</v>
      </c>
      <c r="J69" s="6">
        <f t="shared" si="7"/>
        <v>350</v>
      </c>
      <c r="K69" s="6">
        <f t="shared" si="8"/>
        <v>12521250</v>
      </c>
      <c r="L69" s="3" t="str">
        <f t="shared" si="9"/>
        <v>Average</v>
      </c>
    </row>
    <row r="70" spans="1:12">
      <c r="A70" t="s">
        <v>127</v>
      </c>
      <c r="B70" t="s">
        <v>28</v>
      </c>
      <c r="C70" s="4">
        <v>4.3</v>
      </c>
      <c r="D70" s="4">
        <v>1136</v>
      </c>
      <c r="E70" t="s">
        <v>29</v>
      </c>
      <c r="F70" s="4">
        <v>18.927662600000001</v>
      </c>
      <c r="G70">
        <v>72.832998000000003</v>
      </c>
      <c r="H70">
        <f t="shared" si="5"/>
        <v>4884.8</v>
      </c>
      <c r="I70" s="4">
        <f t="shared" si="6"/>
        <v>28400</v>
      </c>
      <c r="J70" s="6">
        <f t="shared" si="7"/>
        <v>350</v>
      </c>
      <c r="K70" s="6">
        <f t="shared" si="8"/>
        <v>9940000</v>
      </c>
      <c r="L70" s="3" t="str">
        <f t="shared" si="9"/>
        <v>Popular</v>
      </c>
    </row>
    <row r="71" spans="1:12">
      <c r="A71" t="s">
        <v>127</v>
      </c>
      <c r="B71" t="s">
        <v>136</v>
      </c>
      <c r="C71" s="4">
        <v>4.0999999999999996</v>
      </c>
      <c r="D71" s="4">
        <v>501</v>
      </c>
      <c r="E71" t="s">
        <v>137</v>
      </c>
      <c r="F71" s="4">
        <v>18.9324944</v>
      </c>
      <c r="G71">
        <v>72.827559999999906</v>
      </c>
      <c r="H71">
        <f t="shared" si="5"/>
        <v>2054.1</v>
      </c>
      <c r="I71" s="4">
        <f t="shared" si="6"/>
        <v>12525</v>
      </c>
      <c r="J71" s="6">
        <f t="shared" si="7"/>
        <v>350</v>
      </c>
      <c r="K71" s="6">
        <f t="shared" si="8"/>
        <v>4383750</v>
      </c>
      <c r="L71" s="3" t="str">
        <f t="shared" si="9"/>
        <v>Popular</v>
      </c>
    </row>
    <row r="72" spans="1:12">
      <c r="A72" t="s">
        <v>127</v>
      </c>
      <c r="B72" t="s">
        <v>26</v>
      </c>
      <c r="C72" s="4">
        <v>4.3</v>
      </c>
      <c r="D72" s="4">
        <v>4955</v>
      </c>
      <c r="E72" t="s">
        <v>27</v>
      </c>
      <c r="F72" s="4">
        <v>18.928495399999999</v>
      </c>
      <c r="G72">
        <v>72.8322067</v>
      </c>
      <c r="H72">
        <f t="shared" si="5"/>
        <v>21306.5</v>
      </c>
      <c r="I72" s="4">
        <f t="shared" si="6"/>
        <v>123875</v>
      </c>
      <c r="J72" s="6">
        <f t="shared" si="7"/>
        <v>350</v>
      </c>
      <c r="K72" s="6">
        <f t="shared" si="8"/>
        <v>43356250</v>
      </c>
      <c r="L72" s="3" t="str">
        <f t="shared" si="9"/>
        <v>Popular</v>
      </c>
    </row>
    <row r="73" spans="1:12">
      <c r="A73" t="s">
        <v>127</v>
      </c>
      <c r="B73" t="s">
        <v>138</v>
      </c>
      <c r="C73" s="4">
        <v>4.4000000000000004</v>
      </c>
      <c r="D73" s="4">
        <v>997</v>
      </c>
      <c r="E73" t="s">
        <v>139</v>
      </c>
      <c r="F73" s="4">
        <v>18.937878999999999</v>
      </c>
      <c r="G73">
        <v>72.832886599999995</v>
      </c>
      <c r="H73">
        <f t="shared" si="5"/>
        <v>4386.8</v>
      </c>
      <c r="I73" s="4">
        <f t="shared" si="6"/>
        <v>24925</v>
      </c>
      <c r="J73" s="6">
        <f t="shared" si="7"/>
        <v>450</v>
      </c>
      <c r="K73" s="6">
        <f t="shared" si="8"/>
        <v>11216250</v>
      </c>
      <c r="L73" s="3" t="str">
        <f t="shared" si="9"/>
        <v>Popular</v>
      </c>
    </row>
    <row r="74" spans="1:12">
      <c r="A74" t="s">
        <v>127</v>
      </c>
      <c r="B74" t="s">
        <v>140</v>
      </c>
      <c r="C74" s="4">
        <v>4.0999999999999996</v>
      </c>
      <c r="D74" s="4">
        <v>2742</v>
      </c>
      <c r="E74" t="s">
        <v>141</v>
      </c>
      <c r="F74" s="4">
        <v>18.932700499999999</v>
      </c>
      <c r="G74">
        <v>72.823598199999907</v>
      </c>
      <c r="H74">
        <f t="shared" si="5"/>
        <v>11242.199999999999</v>
      </c>
      <c r="I74" s="4">
        <f t="shared" si="6"/>
        <v>68550</v>
      </c>
      <c r="J74" s="6">
        <f t="shared" si="7"/>
        <v>350</v>
      </c>
      <c r="K74" s="6">
        <f t="shared" si="8"/>
        <v>23992500</v>
      </c>
      <c r="L74" s="3" t="str">
        <f t="shared" si="9"/>
        <v>Popular</v>
      </c>
    </row>
    <row r="75" spans="1:12">
      <c r="A75" t="s">
        <v>127</v>
      </c>
      <c r="B75" t="s">
        <v>142</v>
      </c>
      <c r="C75" s="4">
        <v>4.2</v>
      </c>
      <c r="D75" s="4">
        <v>4235</v>
      </c>
      <c r="E75" t="s">
        <v>143</v>
      </c>
      <c r="F75" s="4">
        <v>18.930181999999999</v>
      </c>
      <c r="G75">
        <v>72.826759799999905</v>
      </c>
      <c r="H75">
        <f t="shared" si="5"/>
        <v>17787</v>
      </c>
      <c r="I75" s="4">
        <f t="shared" si="6"/>
        <v>105875</v>
      </c>
      <c r="J75" s="6">
        <f t="shared" si="7"/>
        <v>350</v>
      </c>
      <c r="K75" s="6">
        <f t="shared" si="8"/>
        <v>37056250</v>
      </c>
      <c r="L75" s="3" t="str">
        <f t="shared" si="9"/>
        <v>Popular</v>
      </c>
    </row>
    <row r="76" spans="1:12">
      <c r="A76" t="s">
        <v>127</v>
      </c>
      <c r="B76" t="s">
        <v>80</v>
      </c>
      <c r="C76" s="4">
        <v>4.0999999999999996</v>
      </c>
      <c r="D76" s="4">
        <v>1439</v>
      </c>
      <c r="E76" t="s">
        <v>81</v>
      </c>
      <c r="F76" s="4">
        <v>18.937572299999999</v>
      </c>
      <c r="G76">
        <v>72.833657099999996</v>
      </c>
      <c r="H76">
        <f t="shared" si="5"/>
        <v>5899.9</v>
      </c>
      <c r="I76" s="4">
        <f t="shared" si="6"/>
        <v>35975</v>
      </c>
      <c r="J76" s="6">
        <f t="shared" si="7"/>
        <v>350</v>
      </c>
      <c r="K76" s="6">
        <f t="shared" si="8"/>
        <v>12591250</v>
      </c>
      <c r="L76" s="3" t="str">
        <f t="shared" si="9"/>
        <v>Popular</v>
      </c>
    </row>
    <row r="77" spans="1:12">
      <c r="A77" t="s">
        <v>127</v>
      </c>
      <c r="B77" t="s">
        <v>144</v>
      </c>
      <c r="C77" s="4">
        <v>3.9</v>
      </c>
      <c r="D77" s="4">
        <v>1897</v>
      </c>
      <c r="E77" t="s">
        <v>145</v>
      </c>
      <c r="F77" s="4">
        <v>18.932120999999999</v>
      </c>
      <c r="G77">
        <v>72.828144199999997</v>
      </c>
      <c r="H77">
        <f t="shared" si="5"/>
        <v>7398.3</v>
      </c>
      <c r="I77" s="4">
        <f t="shared" si="6"/>
        <v>47425</v>
      </c>
      <c r="J77" s="6">
        <f t="shared" si="7"/>
        <v>350</v>
      </c>
      <c r="K77" s="6">
        <f t="shared" si="8"/>
        <v>16598750</v>
      </c>
      <c r="L77" s="3" t="str">
        <f t="shared" si="9"/>
        <v>Average</v>
      </c>
    </row>
    <row r="78" spans="1:12">
      <c r="A78" t="s">
        <v>127</v>
      </c>
      <c r="B78" t="s">
        <v>123</v>
      </c>
      <c r="C78" s="4">
        <v>4.4000000000000004</v>
      </c>
      <c r="D78" s="4">
        <v>2996</v>
      </c>
      <c r="E78" t="s">
        <v>146</v>
      </c>
      <c r="F78" s="4">
        <v>18.927624000000002</v>
      </c>
      <c r="G78">
        <v>72.822002999999995</v>
      </c>
      <c r="H78">
        <f t="shared" si="5"/>
        <v>13182.400000000001</v>
      </c>
      <c r="I78" s="4">
        <f t="shared" si="6"/>
        <v>74900</v>
      </c>
      <c r="J78" s="6">
        <f t="shared" si="7"/>
        <v>450</v>
      </c>
      <c r="K78" s="6">
        <f t="shared" si="8"/>
        <v>33705000</v>
      </c>
      <c r="L78" s="3" t="str">
        <f t="shared" si="9"/>
        <v>Popular</v>
      </c>
    </row>
    <row r="79" spans="1:12">
      <c r="A79" t="s">
        <v>127</v>
      </c>
      <c r="B79" t="s">
        <v>123</v>
      </c>
      <c r="C79" s="4">
        <v>4.5999999999999996</v>
      </c>
      <c r="D79" s="4">
        <v>2399</v>
      </c>
      <c r="E79" t="s">
        <v>147</v>
      </c>
      <c r="F79" s="4">
        <v>18.932224300000001</v>
      </c>
      <c r="G79">
        <v>72.834240199999996</v>
      </c>
      <c r="H79">
        <f t="shared" si="5"/>
        <v>11035.4</v>
      </c>
      <c r="I79" s="4">
        <f t="shared" si="6"/>
        <v>59975</v>
      </c>
      <c r="J79" s="6">
        <f t="shared" si="7"/>
        <v>450</v>
      </c>
      <c r="K79" s="6">
        <f t="shared" si="8"/>
        <v>26988750</v>
      </c>
      <c r="L79" s="3" t="str">
        <f t="shared" si="9"/>
        <v>Premium</v>
      </c>
    </row>
    <row r="80" spans="1:12">
      <c r="A80" t="s">
        <v>127</v>
      </c>
      <c r="B80" t="s">
        <v>148</v>
      </c>
      <c r="C80" s="4">
        <v>4.3</v>
      </c>
      <c r="D80" s="4">
        <v>29</v>
      </c>
      <c r="E80" t="s">
        <v>149</v>
      </c>
      <c r="F80" s="4">
        <v>18.929934599999999</v>
      </c>
      <c r="G80">
        <v>72.826206999999997</v>
      </c>
      <c r="H80">
        <f t="shared" si="5"/>
        <v>124.69999999999999</v>
      </c>
      <c r="I80" s="4">
        <f t="shared" si="6"/>
        <v>725</v>
      </c>
      <c r="J80" s="6">
        <f t="shared" si="7"/>
        <v>350</v>
      </c>
      <c r="K80" s="6">
        <f t="shared" si="8"/>
        <v>253750</v>
      </c>
      <c r="L80" s="3" t="str">
        <f t="shared" si="9"/>
        <v>Popular</v>
      </c>
    </row>
    <row r="81" spans="1:12">
      <c r="A81" t="s">
        <v>127</v>
      </c>
      <c r="B81" t="s">
        <v>72</v>
      </c>
      <c r="C81" s="4">
        <v>4.4000000000000004</v>
      </c>
      <c r="D81" s="4">
        <v>4278</v>
      </c>
      <c r="E81" t="s">
        <v>73</v>
      </c>
      <c r="F81" s="4">
        <v>18.928277099999999</v>
      </c>
      <c r="G81">
        <v>72.831861000000004</v>
      </c>
      <c r="H81">
        <f t="shared" si="5"/>
        <v>18823.2</v>
      </c>
      <c r="I81" s="4">
        <f t="shared" si="6"/>
        <v>106950</v>
      </c>
      <c r="J81" s="6">
        <f t="shared" si="7"/>
        <v>450</v>
      </c>
      <c r="K81" s="6">
        <f t="shared" si="8"/>
        <v>48127500</v>
      </c>
      <c r="L81" s="3" t="str">
        <f t="shared" si="9"/>
        <v>Popular</v>
      </c>
    </row>
    <row r="82" spans="1:12">
      <c r="A82" t="s">
        <v>127</v>
      </c>
      <c r="B82" t="s">
        <v>76</v>
      </c>
      <c r="C82" s="4">
        <v>4.4000000000000004</v>
      </c>
      <c r="D82" s="4">
        <v>478</v>
      </c>
      <c r="E82" t="s">
        <v>77</v>
      </c>
      <c r="F82" s="4">
        <v>18.935954500000001</v>
      </c>
      <c r="G82">
        <v>72.840635300000002</v>
      </c>
      <c r="H82">
        <f t="shared" si="5"/>
        <v>2103.2000000000003</v>
      </c>
      <c r="I82" s="4">
        <f t="shared" si="6"/>
        <v>11950</v>
      </c>
      <c r="J82" s="6">
        <f t="shared" si="7"/>
        <v>450</v>
      </c>
      <c r="K82" s="6">
        <f t="shared" si="8"/>
        <v>5377500</v>
      </c>
      <c r="L82" s="3" t="str">
        <f t="shared" si="9"/>
        <v>Popular</v>
      </c>
    </row>
    <row r="83" spans="1:12">
      <c r="A83" t="s">
        <v>127</v>
      </c>
      <c r="B83" t="s">
        <v>150</v>
      </c>
      <c r="C83" s="4">
        <v>4</v>
      </c>
      <c r="D83" s="4">
        <v>2692</v>
      </c>
      <c r="E83" t="s">
        <v>151</v>
      </c>
      <c r="F83" s="4">
        <v>18.9427208</v>
      </c>
      <c r="G83">
        <v>72.826841000000002</v>
      </c>
      <c r="H83">
        <f t="shared" si="5"/>
        <v>10768</v>
      </c>
      <c r="I83" s="4">
        <f t="shared" si="6"/>
        <v>67300</v>
      </c>
      <c r="J83" s="6">
        <f t="shared" si="7"/>
        <v>350</v>
      </c>
      <c r="K83" s="6">
        <f t="shared" si="8"/>
        <v>23555000</v>
      </c>
      <c r="L83" s="3" t="str">
        <f t="shared" si="9"/>
        <v>Popular</v>
      </c>
    </row>
    <row r="84" spans="1:12">
      <c r="A84" t="s">
        <v>127</v>
      </c>
      <c r="B84" t="s">
        <v>12</v>
      </c>
      <c r="C84" s="4">
        <v>4.2</v>
      </c>
      <c r="D84" s="4">
        <v>3443</v>
      </c>
      <c r="E84" t="s">
        <v>13</v>
      </c>
      <c r="F84" s="4">
        <v>18.918851400000001</v>
      </c>
      <c r="G84">
        <v>72.831991500000001</v>
      </c>
      <c r="H84">
        <f t="shared" si="5"/>
        <v>14460.6</v>
      </c>
      <c r="I84" s="4">
        <f t="shared" si="6"/>
        <v>86075</v>
      </c>
      <c r="J84" s="6">
        <f t="shared" si="7"/>
        <v>350</v>
      </c>
      <c r="K84" s="6">
        <f t="shared" si="8"/>
        <v>30126250</v>
      </c>
      <c r="L84" s="3" t="str">
        <f t="shared" si="9"/>
        <v>Popular</v>
      </c>
    </row>
    <row r="85" spans="1:12">
      <c r="A85" t="s">
        <v>127</v>
      </c>
      <c r="B85" t="s">
        <v>152</v>
      </c>
      <c r="C85" s="4">
        <v>4.0999999999999996</v>
      </c>
      <c r="D85" s="4">
        <v>3015</v>
      </c>
      <c r="E85" t="s">
        <v>153</v>
      </c>
      <c r="F85" s="4">
        <v>18.930776699999999</v>
      </c>
      <c r="G85">
        <v>72.832023999999905</v>
      </c>
      <c r="H85">
        <f t="shared" si="5"/>
        <v>12361.499999999998</v>
      </c>
      <c r="I85" s="4">
        <f t="shared" si="6"/>
        <v>75375</v>
      </c>
      <c r="J85" s="6">
        <f t="shared" si="7"/>
        <v>350</v>
      </c>
      <c r="K85" s="6">
        <f t="shared" si="8"/>
        <v>26381250</v>
      </c>
      <c r="L85" s="3" t="str">
        <f t="shared" si="9"/>
        <v>Popular</v>
      </c>
    </row>
    <row r="86" spans="1:12">
      <c r="A86" t="s">
        <v>127</v>
      </c>
      <c r="B86" t="s">
        <v>154</v>
      </c>
      <c r="C86" s="4">
        <v>4.2</v>
      </c>
      <c r="D86" s="4">
        <v>94</v>
      </c>
      <c r="E86" t="s">
        <v>155</v>
      </c>
      <c r="F86" s="4">
        <v>18.930410999999999</v>
      </c>
      <c r="G86">
        <v>72.826265999999904</v>
      </c>
      <c r="H86">
        <f t="shared" si="5"/>
        <v>394.8</v>
      </c>
      <c r="I86" s="4">
        <f t="shared" si="6"/>
        <v>2350</v>
      </c>
      <c r="J86" s="6">
        <f t="shared" si="7"/>
        <v>350</v>
      </c>
      <c r="K86" s="6">
        <f t="shared" si="8"/>
        <v>822500</v>
      </c>
      <c r="L86" s="3" t="str">
        <f t="shared" si="9"/>
        <v>Popular</v>
      </c>
    </row>
    <row r="87" spans="1:12">
      <c r="A87" t="s">
        <v>127</v>
      </c>
      <c r="B87" t="s">
        <v>156</v>
      </c>
      <c r="C87" s="4">
        <v>4.2</v>
      </c>
      <c r="D87" s="4">
        <v>7287</v>
      </c>
      <c r="E87" t="s">
        <v>157</v>
      </c>
      <c r="F87" s="4">
        <v>18.932879</v>
      </c>
      <c r="G87">
        <v>72.826101299999905</v>
      </c>
      <c r="H87">
        <f t="shared" si="5"/>
        <v>30605.4</v>
      </c>
      <c r="I87" s="4">
        <f t="shared" si="6"/>
        <v>182175</v>
      </c>
      <c r="J87" s="6">
        <f t="shared" si="7"/>
        <v>350</v>
      </c>
      <c r="K87" s="6">
        <f t="shared" si="8"/>
        <v>63761250</v>
      </c>
      <c r="L87" s="3" t="str">
        <f t="shared" si="9"/>
        <v>Popular</v>
      </c>
    </row>
    <row r="88" spans="1:12">
      <c r="A88" t="s">
        <v>127</v>
      </c>
      <c r="B88" t="s">
        <v>54</v>
      </c>
      <c r="C88" s="4">
        <v>4.3</v>
      </c>
      <c r="D88" s="4">
        <v>2111</v>
      </c>
      <c r="E88" t="s">
        <v>55</v>
      </c>
      <c r="F88" s="4">
        <v>18.936138199999998</v>
      </c>
      <c r="G88">
        <v>72.837612300000004</v>
      </c>
      <c r="H88">
        <f t="shared" si="5"/>
        <v>9077.2999999999993</v>
      </c>
      <c r="I88" s="4">
        <f t="shared" si="6"/>
        <v>52775</v>
      </c>
      <c r="J88" s="6">
        <f t="shared" si="7"/>
        <v>350</v>
      </c>
      <c r="K88" s="6">
        <f t="shared" si="8"/>
        <v>18471250</v>
      </c>
      <c r="L88" s="3" t="str">
        <f t="shared" si="9"/>
        <v>Popular</v>
      </c>
    </row>
    <row r="89" spans="1:12">
      <c r="A89" t="s">
        <v>127</v>
      </c>
      <c r="B89" t="s">
        <v>10</v>
      </c>
      <c r="C89" s="4">
        <v>4.2</v>
      </c>
      <c r="D89" s="4">
        <v>29972</v>
      </c>
      <c r="E89" t="s">
        <v>11</v>
      </c>
      <c r="F89" s="4">
        <v>18.9226402</v>
      </c>
      <c r="G89">
        <v>72.831640100000001</v>
      </c>
      <c r="H89">
        <f t="shared" si="5"/>
        <v>125882.40000000001</v>
      </c>
      <c r="I89" s="4">
        <f t="shared" si="6"/>
        <v>749300</v>
      </c>
      <c r="J89" s="6">
        <f t="shared" si="7"/>
        <v>350</v>
      </c>
      <c r="K89" s="6">
        <f t="shared" si="8"/>
        <v>262255000</v>
      </c>
      <c r="L89" s="3" t="str">
        <f t="shared" si="9"/>
        <v>Popular</v>
      </c>
    </row>
    <row r="90" spans="1:12">
      <c r="A90" t="s">
        <v>127</v>
      </c>
      <c r="B90" t="s">
        <v>158</v>
      </c>
      <c r="C90" s="4">
        <v>4</v>
      </c>
      <c r="D90" s="4">
        <v>141</v>
      </c>
      <c r="E90" t="s">
        <v>159</v>
      </c>
      <c r="F90" s="4">
        <v>18.933803600000001</v>
      </c>
      <c r="G90">
        <v>72.824869999999905</v>
      </c>
      <c r="H90">
        <f t="shared" si="5"/>
        <v>564</v>
      </c>
      <c r="I90" s="4">
        <f t="shared" si="6"/>
        <v>3525</v>
      </c>
      <c r="J90" s="6">
        <f t="shared" si="7"/>
        <v>350</v>
      </c>
      <c r="K90" s="6">
        <f t="shared" si="8"/>
        <v>1233750</v>
      </c>
      <c r="L90" s="3" t="str">
        <f t="shared" si="9"/>
        <v>Popular</v>
      </c>
    </row>
    <row r="91" spans="1:12">
      <c r="A91" t="s">
        <v>127</v>
      </c>
      <c r="B91" t="s">
        <v>112</v>
      </c>
      <c r="C91" s="4">
        <v>4.5999999999999996</v>
      </c>
      <c r="D91" s="4">
        <v>466</v>
      </c>
      <c r="E91" t="s">
        <v>113</v>
      </c>
      <c r="F91" s="4">
        <v>18.9276746</v>
      </c>
      <c r="G91">
        <v>72.820946000000006</v>
      </c>
      <c r="H91">
        <f t="shared" si="5"/>
        <v>2143.6</v>
      </c>
      <c r="I91" s="4">
        <f t="shared" si="6"/>
        <v>11650</v>
      </c>
      <c r="J91" s="6">
        <f t="shared" si="7"/>
        <v>450</v>
      </c>
      <c r="K91" s="6">
        <f t="shared" si="8"/>
        <v>5242500</v>
      </c>
      <c r="L91" s="3" t="str">
        <f t="shared" si="9"/>
        <v>Premium</v>
      </c>
    </row>
    <row r="92" spans="1:12">
      <c r="A92" t="s">
        <v>127</v>
      </c>
      <c r="B92" t="s">
        <v>14</v>
      </c>
      <c r="C92" s="4">
        <v>4.3</v>
      </c>
      <c r="D92" s="4">
        <v>2868</v>
      </c>
      <c r="E92" t="s">
        <v>15</v>
      </c>
      <c r="F92" s="4">
        <v>18.919908100000001</v>
      </c>
      <c r="G92">
        <v>72.830269099999995</v>
      </c>
      <c r="H92">
        <f t="shared" si="5"/>
        <v>12332.4</v>
      </c>
      <c r="I92" s="4">
        <f t="shared" si="6"/>
        <v>71700</v>
      </c>
      <c r="J92" s="6">
        <f t="shared" si="7"/>
        <v>350</v>
      </c>
      <c r="K92" s="6">
        <f t="shared" si="8"/>
        <v>25095000</v>
      </c>
      <c r="L92" s="3" t="str">
        <f t="shared" si="9"/>
        <v>Popular</v>
      </c>
    </row>
    <row r="93" spans="1:12">
      <c r="A93" t="s">
        <v>127</v>
      </c>
      <c r="B93" t="s">
        <v>160</v>
      </c>
      <c r="C93" s="4">
        <v>4.3</v>
      </c>
      <c r="D93" s="4">
        <v>660</v>
      </c>
      <c r="E93" t="s">
        <v>161</v>
      </c>
      <c r="F93" s="4">
        <v>18.9312024</v>
      </c>
      <c r="G93">
        <v>72.823126199999905</v>
      </c>
      <c r="H93">
        <f t="shared" si="5"/>
        <v>2838</v>
      </c>
      <c r="I93" s="4">
        <f t="shared" si="6"/>
        <v>16500</v>
      </c>
      <c r="J93" s="6">
        <f t="shared" si="7"/>
        <v>350</v>
      </c>
      <c r="K93" s="6">
        <f t="shared" si="8"/>
        <v>5775000</v>
      </c>
      <c r="L93" s="3" t="str">
        <f t="shared" si="9"/>
        <v>Popular</v>
      </c>
    </row>
    <row r="94" spans="1:12">
      <c r="A94" t="s">
        <v>127</v>
      </c>
      <c r="B94" t="s">
        <v>162</v>
      </c>
      <c r="C94" s="4">
        <v>4.0999999999999996</v>
      </c>
      <c r="D94" s="4">
        <v>163</v>
      </c>
      <c r="E94" t="s">
        <v>163</v>
      </c>
      <c r="F94" s="4">
        <v>18.9430169</v>
      </c>
      <c r="G94">
        <v>72.8276477</v>
      </c>
      <c r="H94">
        <f t="shared" si="5"/>
        <v>668.3</v>
      </c>
      <c r="I94" s="4">
        <f t="shared" si="6"/>
        <v>4075</v>
      </c>
      <c r="J94" s="6">
        <f t="shared" si="7"/>
        <v>350</v>
      </c>
      <c r="K94" s="6">
        <f t="shared" si="8"/>
        <v>1426250</v>
      </c>
      <c r="L94" s="3" t="str">
        <f t="shared" si="9"/>
        <v>Popular</v>
      </c>
    </row>
    <row r="95" spans="1:12">
      <c r="A95" t="s">
        <v>127</v>
      </c>
      <c r="B95" t="s">
        <v>164</v>
      </c>
      <c r="C95" s="4">
        <v>4.2</v>
      </c>
      <c r="D95" s="4">
        <v>698</v>
      </c>
      <c r="E95" t="s">
        <v>165</v>
      </c>
      <c r="F95" s="4">
        <v>18.9350323</v>
      </c>
      <c r="G95">
        <v>72.824201000000002</v>
      </c>
      <c r="H95">
        <f t="shared" si="5"/>
        <v>2931.6</v>
      </c>
      <c r="I95" s="4">
        <f t="shared" si="6"/>
        <v>17450</v>
      </c>
      <c r="J95" s="6">
        <f t="shared" si="7"/>
        <v>350</v>
      </c>
      <c r="K95" s="6">
        <f t="shared" si="8"/>
        <v>6107500</v>
      </c>
      <c r="L95" s="3" t="str">
        <f t="shared" si="9"/>
        <v>Popular</v>
      </c>
    </row>
    <row r="96" spans="1:12">
      <c r="A96" t="s">
        <v>127</v>
      </c>
      <c r="B96" t="s">
        <v>166</v>
      </c>
      <c r="C96" s="4">
        <v>4.2</v>
      </c>
      <c r="D96" s="4">
        <v>3225</v>
      </c>
      <c r="E96" t="s">
        <v>167</v>
      </c>
      <c r="F96" s="4">
        <v>18.957948200000001</v>
      </c>
      <c r="G96">
        <v>72.810955399999997</v>
      </c>
      <c r="H96">
        <f t="shared" si="5"/>
        <v>13545</v>
      </c>
      <c r="I96" s="4">
        <f t="shared" si="6"/>
        <v>80625</v>
      </c>
      <c r="J96" s="6">
        <f t="shared" si="7"/>
        <v>350</v>
      </c>
      <c r="K96" s="6">
        <f t="shared" si="8"/>
        <v>28218750</v>
      </c>
      <c r="L96" s="3" t="str">
        <f t="shared" si="9"/>
        <v>Popular</v>
      </c>
    </row>
    <row r="97" spans="1:12">
      <c r="A97" t="s">
        <v>127</v>
      </c>
      <c r="B97" t="s">
        <v>168</v>
      </c>
      <c r="C97" s="4">
        <v>4.3</v>
      </c>
      <c r="D97" s="4">
        <v>46</v>
      </c>
      <c r="E97" t="s">
        <v>169</v>
      </c>
      <c r="F97" s="4">
        <v>18.931485500000001</v>
      </c>
      <c r="G97">
        <v>72.827008599999999</v>
      </c>
      <c r="H97">
        <f t="shared" si="5"/>
        <v>197.79999999999998</v>
      </c>
      <c r="I97" s="4">
        <f t="shared" si="6"/>
        <v>1150</v>
      </c>
      <c r="J97" s="6">
        <f t="shared" si="7"/>
        <v>350</v>
      </c>
      <c r="K97" s="6">
        <f t="shared" si="8"/>
        <v>402500</v>
      </c>
      <c r="L97" s="3" t="str">
        <f t="shared" si="9"/>
        <v>Popular</v>
      </c>
    </row>
    <row r="98" spans="1:12">
      <c r="A98" t="s">
        <v>127</v>
      </c>
      <c r="B98" t="s">
        <v>38</v>
      </c>
      <c r="C98" s="4">
        <v>3.9</v>
      </c>
      <c r="D98" s="4">
        <v>1747</v>
      </c>
      <c r="E98" t="s">
        <v>39</v>
      </c>
      <c r="F98" s="4">
        <v>18.9190833</v>
      </c>
      <c r="G98">
        <v>72.831969399999906</v>
      </c>
      <c r="H98">
        <f t="shared" si="5"/>
        <v>6813.3</v>
      </c>
      <c r="I98" s="4">
        <f t="shared" si="6"/>
        <v>43675</v>
      </c>
      <c r="J98" s="6">
        <f t="shared" si="7"/>
        <v>350</v>
      </c>
      <c r="K98" s="6">
        <f t="shared" si="8"/>
        <v>15286250</v>
      </c>
      <c r="L98" s="3" t="str">
        <f t="shared" si="9"/>
        <v>Average</v>
      </c>
    </row>
    <row r="99" spans="1:12">
      <c r="A99" t="s">
        <v>127</v>
      </c>
      <c r="B99" t="s">
        <v>170</v>
      </c>
      <c r="C99" s="4">
        <v>4.8</v>
      </c>
      <c r="D99" s="4">
        <v>279</v>
      </c>
      <c r="E99" t="s">
        <v>171</v>
      </c>
      <c r="F99" s="4">
        <v>18.953211</v>
      </c>
      <c r="G99">
        <v>72.817983299999995</v>
      </c>
      <c r="H99">
        <f t="shared" si="5"/>
        <v>1339.2</v>
      </c>
      <c r="I99" s="4">
        <f t="shared" si="6"/>
        <v>6975</v>
      </c>
      <c r="J99" s="6">
        <f t="shared" si="7"/>
        <v>550</v>
      </c>
      <c r="K99" s="6">
        <f t="shared" si="8"/>
        <v>3836250</v>
      </c>
      <c r="L99" s="3" t="str">
        <f t="shared" si="9"/>
        <v>Premium</v>
      </c>
    </row>
    <row r="100" spans="1:12">
      <c r="A100" t="s">
        <v>127</v>
      </c>
      <c r="B100" t="s">
        <v>94</v>
      </c>
      <c r="C100" s="4">
        <v>4.4000000000000004</v>
      </c>
      <c r="D100" s="4">
        <v>3004</v>
      </c>
      <c r="E100" t="s">
        <v>95</v>
      </c>
      <c r="F100" s="4">
        <v>18.928371500000001</v>
      </c>
      <c r="G100">
        <v>72.833741599999996</v>
      </c>
      <c r="H100">
        <f t="shared" si="5"/>
        <v>13217.6</v>
      </c>
      <c r="I100" s="4">
        <f t="shared" si="6"/>
        <v>75100</v>
      </c>
      <c r="J100" s="6">
        <f t="shared" si="7"/>
        <v>450</v>
      </c>
      <c r="K100" s="6">
        <f t="shared" si="8"/>
        <v>33795000</v>
      </c>
      <c r="L100" s="3" t="str">
        <f t="shared" si="9"/>
        <v>Popular</v>
      </c>
    </row>
    <row r="101" spans="1:12">
      <c r="A101" t="s">
        <v>127</v>
      </c>
      <c r="B101" t="s">
        <v>172</v>
      </c>
      <c r="C101" s="4">
        <v>4.4000000000000004</v>
      </c>
      <c r="D101" s="4">
        <v>13597</v>
      </c>
      <c r="E101" t="s">
        <v>173</v>
      </c>
      <c r="F101" s="4">
        <v>18.933139099999998</v>
      </c>
      <c r="G101">
        <v>72.824899500000001</v>
      </c>
      <c r="H101">
        <f t="shared" si="5"/>
        <v>59826.8</v>
      </c>
      <c r="I101" s="4">
        <f t="shared" si="6"/>
        <v>339925</v>
      </c>
      <c r="J101" s="6">
        <f t="shared" si="7"/>
        <v>450</v>
      </c>
      <c r="K101" s="6">
        <f t="shared" si="8"/>
        <v>152966250</v>
      </c>
      <c r="L101" s="3" t="str">
        <f t="shared" si="9"/>
        <v>Popular</v>
      </c>
    </row>
    <row r="102" spans="1:12">
      <c r="A102" t="s">
        <v>127</v>
      </c>
      <c r="B102" t="s">
        <v>18</v>
      </c>
      <c r="C102" s="4">
        <v>4.4000000000000004</v>
      </c>
      <c r="D102" s="4">
        <v>4578</v>
      </c>
      <c r="E102" t="s">
        <v>19</v>
      </c>
      <c r="F102" s="4">
        <v>18.924050300000001</v>
      </c>
      <c r="G102">
        <v>72.832154700000004</v>
      </c>
      <c r="H102">
        <f t="shared" si="5"/>
        <v>20143.2</v>
      </c>
      <c r="I102" s="4">
        <f t="shared" si="6"/>
        <v>114450</v>
      </c>
      <c r="J102" s="6">
        <f t="shared" si="7"/>
        <v>450</v>
      </c>
      <c r="K102" s="6">
        <f t="shared" si="8"/>
        <v>51502500</v>
      </c>
      <c r="L102" s="3" t="str">
        <f t="shared" si="9"/>
        <v>Popular</v>
      </c>
    </row>
    <row r="103" spans="1:12">
      <c r="A103" t="s">
        <v>127</v>
      </c>
      <c r="B103" t="s">
        <v>174</v>
      </c>
      <c r="C103" s="4">
        <v>4.4000000000000004</v>
      </c>
      <c r="D103" s="4">
        <v>1105</v>
      </c>
      <c r="E103" t="s">
        <v>175</v>
      </c>
      <c r="F103" s="4">
        <v>18.928695900000001</v>
      </c>
      <c r="G103">
        <v>72.822745599999905</v>
      </c>
      <c r="H103">
        <f t="shared" si="5"/>
        <v>4862</v>
      </c>
      <c r="I103" s="4">
        <f t="shared" si="6"/>
        <v>27625</v>
      </c>
      <c r="J103" s="6">
        <f t="shared" si="7"/>
        <v>450</v>
      </c>
      <c r="K103" s="6">
        <f t="shared" si="8"/>
        <v>12431250</v>
      </c>
      <c r="L103" s="3" t="str">
        <f t="shared" si="9"/>
        <v>Popular</v>
      </c>
    </row>
    <row r="104" spans="1:12">
      <c r="A104" t="s">
        <v>127</v>
      </c>
      <c r="B104" t="s">
        <v>176</v>
      </c>
      <c r="C104" s="4">
        <v>4.2</v>
      </c>
      <c r="D104" s="4">
        <v>144</v>
      </c>
      <c r="E104" t="s">
        <v>177</v>
      </c>
      <c r="F104" s="4">
        <v>18.931060200000001</v>
      </c>
      <c r="G104">
        <v>72.8339888</v>
      </c>
      <c r="H104">
        <f t="shared" si="5"/>
        <v>604.80000000000007</v>
      </c>
      <c r="I104" s="4">
        <f t="shared" si="6"/>
        <v>3600</v>
      </c>
      <c r="J104" s="6">
        <f t="shared" si="7"/>
        <v>350</v>
      </c>
      <c r="K104" s="6">
        <f t="shared" si="8"/>
        <v>1260000</v>
      </c>
      <c r="L104" s="3" t="str">
        <f t="shared" si="9"/>
        <v>Popular</v>
      </c>
    </row>
    <row r="105" spans="1:12">
      <c r="A105" t="s">
        <v>127</v>
      </c>
      <c r="B105" t="s">
        <v>178</v>
      </c>
      <c r="C105" s="4">
        <v>4.8</v>
      </c>
      <c r="D105" s="4">
        <v>101</v>
      </c>
      <c r="E105" t="s">
        <v>179</v>
      </c>
      <c r="F105" s="4">
        <v>18.926181700000001</v>
      </c>
      <c r="G105">
        <v>72.825935000000001</v>
      </c>
      <c r="H105">
        <f t="shared" si="5"/>
        <v>484.79999999999995</v>
      </c>
      <c r="I105" s="4">
        <f t="shared" si="6"/>
        <v>2525</v>
      </c>
      <c r="J105" s="6">
        <f t="shared" si="7"/>
        <v>550</v>
      </c>
      <c r="K105" s="6">
        <f t="shared" si="8"/>
        <v>1388750</v>
      </c>
      <c r="L105" s="3" t="str">
        <f t="shared" si="9"/>
        <v>Premium</v>
      </c>
    </row>
    <row r="106" spans="1:12">
      <c r="A106" t="s">
        <v>127</v>
      </c>
      <c r="B106" t="s">
        <v>180</v>
      </c>
      <c r="C106" s="4">
        <v>4</v>
      </c>
      <c r="D106" s="4">
        <v>138</v>
      </c>
      <c r="E106" t="s">
        <v>181</v>
      </c>
      <c r="F106" s="4">
        <v>18.942909799999999</v>
      </c>
      <c r="G106">
        <v>72.828975</v>
      </c>
      <c r="H106">
        <f t="shared" si="5"/>
        <v>552</v>
      </c>
      <c r="I106" s="4">
        <f t="shared" si="6"/>
        <v>3450</v>
      </c>
      <c r="J106" s="6">
        <f t="shared" si="7"/>
        <v>350</v>
      </c>
      <c r="K106" s="6">
        <f t="shared" si="8"/>
        <v>1207500</v>
      </c>
      <c r="L106" s="3" t="str">
        <f t="shared" si="9"/>
        <v>Popular</v>
      </c>
    </row>
    <row r="107" spans="1:12">
      <c r="A107" t="s">
        <v>127</v>
      </c>
      <c r="B107" t="s">
        <v>182</v>
      </c>
      <c r="C107" s="4">
        <v>4.9000000000000004</v>
      </c>
      <c r="D107" s="4">
        <v>478</v>
      </c>
      <c r="E107" t="s">
        <v>183</v>
      </c>
      <c r="F107" s="4">
        <v>18.931219800000001</v>
      </c>
      <c r="G107">
        <v>72.833408899999995</v>
      </c>
      <c r="H107">
        <f t="shared" si="5"/>
        <v>2342.2000000000003</v>
      </c>
      <c r="I107" s="4">
        <f t="shared" si="6"/>
        <v>11950</v>
      </c>
      <c r="J107" s="6">
        <f t="shared" si="7"/>
        <v>550</v>
      </c>
      <c r="K107" s="6">
        <f t="shared" si="8"/>
        <v>6572500</v>
      </c>
      <c r="L107" s="3" t="str">
        <f t="shared" si="9"/>
        <v>Premium</v>
      </c>
    </row>
    <row r="108" spans="1:12">
      <c r="A108" t="s">
        <v>127</v>
      </c>
      <c r="B108" t="s">
        <v>184</v>
      </c>
      <c r="C108" s="4">
        <v>4.4000000000000004</v>
      </c>
      <c r="D108" s="4">
        <v>5385</v>
      </c>
      <c r="E108" t="s">
        <v>185</v>
      </c>
      <c r="F108" s="4">
        <v>18.930366299999999</v>
      </c>
      <c r="G108">
        <v>72.826398099999906</v>
      </c>
      <c r="H108">
        <f t="shared" si="5"/>
        <v>23694.000000000004</v>
      </c>
      <c r="I108" s="4">
        <f t="shared" si="6"/>
        <v>134625</v>
      </c>
      <c r="J108" s="6">
        <f t="shared" si="7"/>
        <v>450</v>
      </c>
      <c r="K108" s="6">
        <f t="shared" si="8"/>
        <v>60581250</v>
      </c>
      <c r="L108" s="3" t="str">
        <f t="shared" si="9"/>
        <v>Popular</v>
      </c>
    </row>
    <row r="109" spans="1:12">
      <c r="A109" t="s">
        <v>127</v>
      </c>
      <c r="B109" t="s">
        <v>186</v>
      </c>
      <c r="C109" s="4">
        <v>4.5999999999999996</v>
      </c>
      <c r="D109" s="4">
        <v>420</v>
      </c>
      <c r="E109" t="s">
        <v>187</v>
      </c>
      <c r="F109" s="4">
        <v>18.9286554</v>
      </c>
      <c r="G109">
        <v>72.832139799999993</v>
      </c>
      <c r="H109">
        <f t="shared" si="5"/>
        <v>1931.9999999999998</v>
      </c>
      <c r="I109" s="4">
        <f t="shared" si="6"/>
        <v>10500</v>
      </c>
      <c r="J109" s="6">
        <f t="shared" si="7"/>
        <v>450</v>
      </c>
      <c r="K109" s="6">
        <f t="shared" si="8"/>
        <v>4725000</v>
      </c>
      <c r="L109" s="3" t="str">
        <f t="shared" si="9"/>
        <v>Premium</v>
      </c>
    </row>
    <row r="110" spans="1:12">
      <c r="A110" t="s">
        <v>127</v>
      </c>
      <c r="B110" t="s">
        <v>188</v>
      </c>
      <c r="C110" s="4">
        <v>4.3</v>
      </c>
      <c r="D110" s="4">
        <v>330</v>
      </c>
      <c r="E110" t="s">
        <v>189</v>
      </c>
      <c r="F110" s="4">
        <v>18.926452099999999</v>
      </c>
      <c r="G110">
        <v>72.822676899999905</v>
      </c>
      <c r="H110">
        <f t="shared" si="5"/>
        <v>1419</v>
      </c>
      <c r="I110" s="4">
        <f t="shared" si="6"/>
        <v>8250</v>
      </c>
      <c r="J110" s="6">
        <f t="shared" si="7"/>
        <v>350</v>
      </c>
      <c r="K110" s="6">
        <f t="shared" si="8"/>
        <v>2887500</v>
      </c>
      <c r="L110" s="3" t="str">
        <f t="shared" si="9"/>
        <v>Popular</v>
      </c>
    </row>
    <row r="111" spans="1:12">
      <c r="A111" t="s">
        <v>127</v>
      </c>
      <c r="B111" t="s">
        <v>190</v>
      </c>
      <c r="C111" s="4">
        <v>4.3</v>
      </c>
      <c r="D111" s="4">
        <v>1469</v>
      </c>
      <c r="E111" t="s">
        <v>191</v>
      </c>
      <c r="F111" s="4">
        <v>18.928684799999999</v>
      </c>
      <c r="G111">
        <v>72.832267899999906</v>
      </c>
      <c r="H111">
        <f t="shared" si="5"/>
        <v>6316.7</v>
      </c>
      <c r="I111" s="4">
        <f t="shared" si="6"/>
        <v>36725</v>
      </c>
      <c r="J111" s="6">
        <f t="shared" si="7"/>
        <v>350</v>
      </c>
      <c r="K111" s="6">
        <f t="shared" si="8"/>
        <v>12853750</v>
      </c>
      <c r="L111" s="3" t="str">
        <f t="shared" si="9"/>
        <v>Popular</v>
      </c>
    </row>
    <row r="112" spans="1:12">
      <c r="A112" t="s">
        <v>127</v>
      </c>
      <c r="B112" t="s">
        <v>192</v>
      </c>
      <c r="C112" s="4">
        <v>4.5999999999999996</v>
      </c>
      <c r="D112" s="4">
        <v>619</v>
      </c>
      <c r="E112" t="s">
        <v>193</v>
      </c>
      <c r="F112" s="4">
        <v>18.954806600000001</v>
      </c>
      <c r="G112">
        <v>72.823354999999907</v>
      </c>
      <c r="H112">
        <f t="shared" si="5"/>
        <v>2847.3999999999996</v>
      </c>
      <c r="I112" s="4">
        <f t="shared" si="6"/>
        <v>15475</v>
      </c>
      <c r="J112" s="6">
        <f t="shared" si="7"/>
        <v>450</v>
      </c>
      <c r="K112" s="6">
        <f t="shared" si="8"/>
        <v>6963750</v>
      </c>
      <c r="L112" s="3" t="str">
        <f t="shared" si="9"/>
        <v>Premium</v>
      </c>
    </row>
    <row r="113" spans="1:12">
      <c r="A113" t="s">
        <v>127</v>
      </c>
      <c r="B113" t="s">
        <v>48</v>
      </c>
      <c r="C113" s="4">
        <v>4.5999999999999996</v>
      </c>
      <c r="D113" s="4">
        <v>443</v>
      </c>
      <c r="E113" t="s">
        <v>194</v>
      </c>
      <c r="F113" s="4">
        <v>18.955420199999999</v>
      </c>
      <c r="G113">
        <v>72.813679699999994</v>
      </c>
      <c r="H113">
        <f t="shared" si="5"/>
        <v>2037.8</v>
      </c>
      <c r="I113" s="4">
        <f t="shared" si="6"/>
        <v>11075</v>
      </c>
      <c r="J113" s="6">
        <f t="shared" si="7"/>
        <v>450</v>
      </c>
      <c r="K113" s="6">
        <f t="shared" si="8"/>
        <v>4983750</v>
      </c>
      <c r="L113" s="3" t="str">
        <f t="shared" si="9"/>
        <v>Premium</v>
      </c>
    </row>
    <row r="114" spans="1:12">
      <c r="A114" t="s">
        <v>127</v>
      </c>
      <c r="B114" t="s">
        <v>195</v>
      </c>
      <c r="C114" s="4">
        <v>4</v>
      </c>
      <c r="D114" s="4">
        <v>1586</v>
      </c>
      <c r="E114" t="s">
        <v>196</v>
      </c>
      <c r="F114" s="4">
        <v>18.942869399999999</v>
      </c>
      <c r="G114">
        <v>72.828422699999905</v>
      </c>
      <c r="H114">
        <f t="shared" si="5"/>
        <v>6344</v>
      </c>
      <c r="I114" s="4">
        <f t="shared" si="6"/>
        <v>39650</v>
      </c>
      <c r="J114" s="6">
        <f t="shared" si="7"/>
        <v>350</v>
      </c>
      <c r="K114" s="6">
        <f t="shared" si="8"/>
        <v>13877500</v>
      </c>
      <c r="L114" s="3" t="str">
        <f t="shared" si="9"/>
        <v>Popular</v>
      </c>
    </row>
    <row r="115" spans="1:12">
      <c r="A115" t="s">
        <v>127</v>
      </c>
      <c r="B115" t="s">
        <v>197</v>
      </c>
      <c r="C115" s="4">
        <v>4.4000000000000004</v>
      </c>
      <c r="D115" s="4">
        <v>16</v>
      </c>
      <c r="E115" t="s">
        <v>198</v>
      </c>
      <c r="F115" s="4">
        <v>18.939498799999999</v>
      </c>
      <c r="G115">
        <v>72.828173699999994</v>
      </c>
      <c r="H115">
        <f t="shared" si="5"/>
        <v>70.400000000000006</v>
      </c>
      <c r="I115" s="4">
        <f t="shared" si="6"/>
        <v>400</v>
      </c>
      <c r="J115" s="6">
        <f t="shared" si="7"/>
        <v>450</v>
      </c>
      <c r="K115" s="6">
        <f t="shared" si="8"/>
        <v>180000</v>
      </c>
      <c r="L115" s="3" t="str">
        <f t="shared" si="9"/>
        <v>Popular</v>
      </c>
    </row>
    <row r="116" spans="1:12">
      <c r="A116" t="s">
        <v>127</v>
      </c>
      <c r="B116" t="s">
        <v>48</v>
      </c>
      <c r="C116" s="4">
        <v>4.8</v>
      </c>
      <c r="D116" s="4">
        <v>1251</v>
      </c>
      <c r="E116" t="s">
        <v>49</v>
      </c>
      <c r="F116" s="4">
        <v>18.914994499999999</v>
      </c>
      <c r="G116">
        <v>72.823645099999993</v>
      </c>
      <c r="H116">
        <f t="shared" si="5"/>
        <v>6004.8</v>
      </c>
      <c r="I116" s="4">
        <f t="shared" si="6"/>
        <v>31275</v>
      </c>
      <c r="J116" s="6">
        <f t="shared" si="7"/>
        <v>550</v>
      </c>
      <c r="K116" s="6">
        <f t="shared" si="8"/>
        <v>17201250</v>
      </c>
      <c r="L116" s="3" t="str">
        <f t="shared" si="9"/>
        <v>Premium</v>
      </c>
    </row>
    <row r="117" spans="1:12">
      <c r="A117" t="s">
        <v>127</v>
      </c>
      <c r="B117" t="s">
        <v>199</v>
      </c>
      <c r="C117" s="4">
        <v>4.4000000000000004</v>
      </c>
      <c r="D117" s="4">
        <v>134</v>
      </c>
      <c r="E117" t="s">
        <v>200</v>
      </c>
      <c r="F117" s="4">
        <v>18.9414567</v>
      </c>
      <c r="G117">
        <v>72.827862499999995</v>
      </c>
      <c r="H117">
        <f t="shared" si="5"/>
        <v>589.6</v>
      </c>
      <c r="I117" s="4">
        <f t="shared" si="6"/>
        <v>3350</v>
      </c>
      <c r="J117" s="6">
        <f t="shared" si="7"/>
        <v>450</v>
      </c>
      <c r="K117" s="6">
        <f t="shared" si="8"/>
        <v>1507500</v>
      </c>
      <c r="L117" s="3" t="str">
        <f t="shared" si="9"/>
        <v>Popular</v>
      </c>
    </row>
    <row r="118" spans="1:12">
      <c r="A118" t="s">
        <v>127</v>
      </c>
      <c r="B118" t="s">
        <v>201</v>
      </c>
      <c r="C118" s="4">
        <v>4.2</v>
      </c>
      <c r="D118" s="4">
        <v>25681</v>
      </c>
      <c r="E118" t="s">
        <v>202</v>
      </c>
      <c r="F118" s="4">
        <v>18.933391499999999</v>
      </c>
      <c r="G118">
        <v>72.823882099999906</v>
      </c>
      <c r="H118">
        <f t="shared" si="5"/>
        <v>107860.20000000001</v>
      </c>
      <c r="I118" s="4">
        <f t="shared" si="6"/>
        <v>642025</v>
      </c>
      <c r="J118" s="6">
        <f t="shared" si="7"/>
        <v>350</v>
      </c>
      <c r="K118" s="6">
        <f t="shared" si="8"/>
        <v>224708750</v>
      </c>
      <c r="L118" s="3" t="str">
        <f t="shared" si="9"/>
        <v>Popular</v>
      </c>
    </row>
    <row r="119" spans="1:12">
      <c r="A119" t="s">
        <v>127</v>
      </c>
      <c r="B119" t="s">
        <v>203</v>
      </c>
      <c r="C119" s="4">
        <v>4.4000000000000004</v>
      </c>
      <c r="D119" s="4">
        <v>255</v>
      </c>
      <c r="E119" t="s">
        <v>204</v>
      </c>
      <c r="F119" s="4">
        <v>18.932031599999998</v>
      </c>
      <c r="G119">
        <v>72.831901500000001</v>
      </c>
      <c r="H119">
        <f t="shared" si="5"/>
        <v>1122</v>
      </c>
      <c r="I119" s="4">
        <f t="shared" si="6"/>
        <v>6375</v>
      </c>
      <c r="J119" s="6">
        <f t="shared" si="7"/>
        <v>450</v>
      </c>
      <c r="K119" s="6">
        <f t="shared" si="8"/>
        <v>2868750</v>
      </c>
      <c r="L119" s="3" t="str">
        <f t="shared" si="9"/>
        <v>Popular</v>
      </c>
    </row>
    <row r="120" spans="1:12">
      <c r="A120" t="s">
        <v>127</v>
      </c>
      <c r="B120" t="s">
        <v>205</v>
      </c>
      <c r="C120" s="4">
        <v>4.0999999999999996</v>
      </c>
      <c r="D120" s="4">
        <v>2934</v>
      </c>
      <c r="E120" t="s">
        <v>206</v>
      </c>
      <c r="F120" s="4">
        <v>18.955721</v>
      </c>
      <c r="G120">
        <v>72.813020299999906</v>
      </c>
      <c r="H120">
        <f t="shared" si="5"/>
        <v>12029.4</v>
      </c>
      <c r="I120" s="4">
        <f t="shared" si="6"/>
        <v>73350</v>
      </c>
      <c r="J120" s="6">
        <f t="shared" si="7"/>
        <v>350</v>
      </c>
      <c r="K120" s="6">
        <f t="shared" si="8"/>
        <v>25672500</v>
      </c>
      <c r="L120" s="3" t="str">
        <f t="shared" si="9"/>
        <v>Popular</v>
      </c>
    </row>
    <row r="121" spans="1:12">
      <c r="A121" t="s">
        <v>127</v>
      </c>
      <c r="B121" t="s">
        <v>22</v>
      </c>
      <c r="C121" s="4">
        <v>4.2</v>
      </c>
      <c r="D121" s="4">
        <v>9490</v>
      </c>
      <c r="E121" t="s">
        <v>23</v>
      </c>
      <c r="F121" s="4">
        <v>18.9216619</v>
      </c>
      <c r="G121">
        <v>72.832298399999999</v>
      </c>
      <c r="H121">
        <f t="shared" si="5"/>
        <v>39858</v>
      </c>
      <c r="I121" s="4">
        <f t="shared" si="6"/>
        <v>237250</v>
      </c>
      <c r="J121" s="6">
        <f t="shared" si="7"/>
        <v>350</v>
      </c>
      <c r="K121" s="6">
        <f t="shared" si="8"/>
        <v>83037500</v>
      </c>
      <c r="L121" s="3" t="str">
        <f t="shared" si="9"/>
        <v>Popular</v>
      </c>
    </row>
    <row r="122" spans="1:12">
      <c r="A122" t="s">
        <v>207</v>
      </c>
      <c r="B122" t="s">
        <v>208</v>
      </c>
      <c r="C122" s="4">
        <v>4.0999999999999996</v>
      </c>
      <c r="D122" s="4">
        <v>8457</v>
      </c>
      <c r="E122" t="s">
        <v>209</v>
      </c>
      <c r="F122" s="4">
        <v>19.0168049</v>
      </c>
      <c r="G122">
        <v>72.846186899999907</v>
      </c>
      <c r="H122">
        <f t="shared" si="5"/>
        <v>34673.699999999997</v>
      </c>
      <c r="I122" s="4">
        <f t="shared" si="6"/>
        <v>211425</v>
      </c>
      <c r="J122" s="6">
        <f t="shared" si="7"/>
        <v>350</v>
      </c>
      <c r="K122" s="6">
        <f t="shared" si="8"/>
        <v>73998750</v>
      </c>
      <c r="L122" s="3" t="str">
        <f t="shared" si="9"/>
        <v>Popular</v>
      </c>
    </row>
    <row r="123" spans="1:12">
      <c r="A123" t="s">
        <v>207</v>
      </c>
      <c r="B123" t="s">
        <v>210</v>
      </c>
      <c r="C123" s="4">
        <v>4</v>
      </c>
      <c r="D123" s="4">
        <v>1561</v>
      </c>
      <c r="E123" t="s">
        <v>211</v>
      </c>
      <c r="F123" s="4">
        <v>19.016320799999999</v>
      </c>
      <c r="G123">
        <v>72.835219999999893</v>
      </c>
      <c r="H123">
        <f t="shared" si="5"/>
        <v>6244</v>
      </c>
      <c r="I123" s="4">
        <f t="shared" si="6"/>
        <v>39025</v>
      </c>
      <c r="J123" s="6">
        <f t="shared" si="7"/>
        <v>350</v>
      </c>
      <c r="K123" s="6">
        <f t="shared" si="8"/>
        <v>13658750</v>
      </c>
      <c r="L123" s="3" t="str">
        <f t="shared" si="9"/>
        <v>Popular</v>
      </c>
    </row>
    <row r="124" spans="1:12">
      <c r="A124" t="s">
        <v>207</v>
      </c>
      <c r="B124" t="s">
        <v>212</v>
      </c>
      <c r="C124" s="4">
        <v>4.2</v>
      </c>
      <c r="D124" s="4">
        <v>1898</v>
      </c>
      <c r="E124" t="s">
        <v>213</v>
      </c>
      <c r="F124" s="4">
        <v>19.028188100000001</v>
      </c>
      <c r="G124">
        <v>72.841099</v>
      </c>
      <c r="H124">
        <f t="shared" si="5"/>
        <v>7971.6</v>
      </c>
      <c r="I124" s="4">
        <f t="shared" si="6"/>
        <v>47450</v>
      </c>
      <c r="J124" s="6">
        <f t="shared" si="7"/>
        <v>350</v>
      </c>
      <c r="K124" s="6">
        <f t="shared" si="8"/>
        <v>16607500</v>
      </c>
      <c r="L124" s="3" t="str">
        <f t="shared" si="9"/>
        <v>Popular</v>
      </c>
    </row>
    <row r="125" spans="1:12">
      <c r="A125" t="s">
        <v>207</v>
      </c>
      <c r="B125" t="s">
        <v>214</v>
      </c>
      <c r="C125" s="4">
        <v>4.5999999999999996</v>
      </c>
      <c r="D125" s="4">
        <v>375</v>
      </c>
      <c r="E125" t="s">
        <v>215</v>
      </c>
      <c r="F125" s="4">
        <v>19.015682699999999</v>
      </c>
      <c r="G125">
        <v>72.837904899999998</v>
      </c>
      <c r="H125">
        <f t="shared" si="5"/>
        <v>1724.9999999999998</v>
      </c>
      <c r="I125" s="4">
        <f t="shared" si="6"/>
        <v>9375</v>
      </c>
      <c r="J125" s="6">
        <f t="shared" si="7"/>
        <v>450</v>
      </c>
      <c r="K125" s="6">
        <f t="shared" si="8"/>
        <v>4218750</v>
      </c>
      <c r="L125" s="3" t="str">
        <f t="shared" si="9"/>
        <v>Premium</v>
      </c>
    </row>
    <row r="126" spans="1:12">
      <c r="A126" t="s">
        <v>207</v>
      </c>
      <c r="B126" t="s">
        <v>216</v>
      </c>
      <c r="C126" s="4">
        <v>4.2</v>
      </c>
      <c r="D126" s="4">
        <v>846</v>
      </c>
      <c r="E126" t="s">
        <v>217</v>
      </c>
      <c r="F126" s="4">
        <v>19.017466299999999</v>
      </c>
      <c r="G126">
        <v>72.848709299999996</v>
      </c>
      <c r="H126">
        <f t="shared" si="5"/>
        <v>3553.2000000000003</v>
      </c>
      <c r="I126" s="4">
        <f t="shared" si="6"/>
        <v>21150</v>
      </c>
      <c r="J126" s="6">
        <f t="shared" si="7"/>
        <v>350</v>
      </c>
      <c r="K126" s="6">
        <f t="shared" si="8"/>
        <v>7402500</v>
      </c>
      <c r="L126" s="3" t="str">
        <f t="shared" si="9"/>
        <v>Popular</v>
      </c>
    </row>
    <row r="127" spans="1:12">
      <c r="A127" t="s">
        <v>207</v>
      </c>
      <c r="B127" t="s">
        <v>218</v>
      </c>
      <c r="C127" s="4">
        <v>4</v>
      </c>
      <c r="D127" s="4">
        <v>117</v>
      </c>
      <c r="E127" t="s">
        <v>219</v>
      </c>
      <c r="F127" s="4">
        <v>19.021225900000001</v>
      </c>
      <c r="G127">
        <v>72.836906999999997</v>
      </c>
      <c r="H127">
        <f t="shared" si="5"/>
        <v>468</v>
      </c>
      <c r="I127" s="4">
        <f t="shared" si="6"/>
        <v>2925</v>
      </c>
      <c r="J127" s="6">
        <f t="shared" si="7"/>
        <v>350</v>
      </c>
      <c r="K127" s="6">
        <f t="shared" si="8"/>
        <v>1023750</v>
      </c>
      <c r="L127" s="3" t="str">
        <f t="shared" si="9"/>
        <v>Popular</v>
      </c>
    </row>
    <row r="128" spans="1:12">
      <c r="A128" t="s">
        <v>207</v>
      </c>
      <c r="B128" t="s">
        <v>220</v>
      </c>
      <c r="C128" s="4">
        <v>4.7</v>
      </c>
      <c r="D128" s="4">
        <v>175</v>
      </c>
      <c r="E128" t="s">
        <v>221</v>
      </c>
      <c r="F128" s="4">
        <v>19.0118069</v>
      </c>
      <c r="G128">
        <v>72.845613299999997</v>
      </c>
      <c r="H128">
        <f t="shared" si="5"/>
        <v>822.5</v>
      </c>
      <c r="I128" s="4">
        <f t="shared" si="6"/>
        <v>4375</v>
      </c>
      <c r="J128" s="6">
        <f t="shared" si="7"/>
        <v>550</v>
      </c>
      <c r="K128" s="6">
        <f t="shared" si="8"/>
        <v>2406250</v>
      </c>
      <c r="L128" s="3" t="str">
        <f t="shared" si="9"/>
        <v>Premium</v>
      </c>
    </row>
    <row r="129" spans="1:12">
      <c r="A129" t="s">
        <v>207</v>
      </c>
      <c r="B129" t="s">
        <v>222</v>
      </c>
      <c r="C129" s="4">
        <v>4.3</v>
      </c>
      <c r="D129" s="4">
        <v>2687</v>
      </c>
      <c r="E129" t="s">
        <v>223</v>
      </c>
      <c r="F129" s="4">
        <v>19.006262400000001</v>
      </c>
      <c r="G129">
        <v>72.840791799999906</v>
      </c>
      <c r="H129">
        <f t="shared" si="5"/>
        <v>11554.1</v>
      </c>
      <c r="I129" s="4">
        <f t="shared" si="6"/>
        <v>67175</v>
      </c>
      <c r="J129" s="6">
        <f t="shared" si="7"/>
        <v>350</v>
      </c>
      <c r="K129" s="6">
        <f t="shared" si="8"/>
        <v>23511250</v>
      </c>
      <c r="L129" s="3" t="str">
        <f t="shared" si="9"/>
        <v>Popular</v>
      </c>
    </row>
    <row r="130" spans="1:12">
      <c r="A130" t="s">
        <v>207</v>
      </c>
      <c r="B130" t="s">
        <v>224</v>
      </c>
      <c r="C130" s="4">
        <v>4</v>
      </c>
      <c r="D130" s="4">
        <v>1104</v>
      </c>
      <c r="E130" t="s">
        <v>225</v>
      </c>
      <c r="F130" s="4">
        <v>19.0186867</v>
      </c>
      <c r="G130">
        <v>72.846830999999995</v>
      </c>
      <c r="H130">
        <f t="shared" ref="H130:H193" si="10">C130*D130</f>
        <v>4416</v>
      </c>
      <c r="I130" s="4">
        <f t="shared" ref="I130:I193" si="11">D130*25</f>
        <v>27600</v>
      </c>
      <c r="J130" s="6">
        <f t="shared" ref="J130:J193" si="12">IF(C130&gt;=4.7,550,IF(C130&gt;=4.4,450,IF(C130&gt;=O132,350,250)))</f>
        <v>350</v>
      </c>
      <c r="K130" s="6">
        <f t="shared" ref="K130:K193" si="13">I130*J130</f>
        <v>9660000</v>
      </c>
      <c r="L130" s="3" t="str">
        <f t="shared" ref="L130:L193" si="14">IF(C130&gt;=4.5,"Premium",IF(C130&gt;=4,"Popular","Average"))</f>
        <v>Popular</v>
      </c>
    </row>
    <row r="131" spans="1:12">
      <c r="A131" t="s">
        <v>207</v>
      </c>
      <c r="B131" t="s">
        <v>226</v>
      </c>
      <c r="C131" s="4">
        <v>4.8</v>
      </c>
      <c r="D131" s="4">
        <v>325</v>
      </c>
      <c r="E131" t="s">
        <v>227</v>
      </c>
      <c r="F131" s="4">
        <v>19.011390599999999</v>
      </c>
      <c r="G131">
        <v>72.835269199999999</v>
      </c>
      <c r="H131">
        <f t="shared" si="10"/>
        <v>1560</v>
      </c>
      <c r="I131" s="4">
        <f t="shared" si="11"/>
        <v>8125</v>
      </c>
      <c r="J131" s="6">
        <f t="shared" si="12"/>
        <v>550</v>
      </c>
      <c r="K131" s="6">
        <f t="shared" si="13"/>
        <v>4468750</v>
      </c>
      <c r="L131" s="3" t="str">
        <f t="shared" si="14"/>
        <v>Premium</v>
      </c>
    </row>
    <row r="132" spans="1:12">
      <c r="A132" t="s">
        <v>207</v>
      </c>
      <c r="B132" t="s">
        <v>228</v>
      </c>
      <c r="C132" s="4">
        <v>3.9</v>
      </c>
      <c r="D132" s="4">
        <v>2130</v>
      </c>
      <c r="E132" t="s">
        <v>229</v>
      </c>
      <c r="F132" s="4">
        <v>19.017140300000001</v>
      </c>
      <c r="G132">
        <v>72.844657499999997</v>
      </c>
      <c r="H132">
        <f t="shared" si="10"/>
        <v>8307</v>
      </c>
      <c r="I132" s="4">
        <f t="shared" si="11"/>
        <v>53250</v>
      </c>
      <c r="J132" s="6">
        <f t="shared" si="12"/>
        <v>350</v>
      </c>
      <c r="K132" s="6">
        <f t="shared" si="13"/>
        <v>18637500</v>
      </c>
      <c r="L132" s="3" t="str">
        <f t="shared" si="14"/>
        <v>Average</v>
      </c>
    </row>
    <row r="133" spans="1:12">
      <c r="A133" t="s">
        <v>207</v>
      </c>
      <c r="B133" t="s">
        <v>230</v>
      </c>
      <c r="C133" s="4">
        <v>4.5</v>
      </c>
      <c r="D133" s="4">
        <v>774</v>
      </c>
      <c r="E133" t="s">
        <v>231</v>
      </c>
      <c r="F133" s="4">
        <v>19.019539099999999</v>
      </c>
      <c r="G133">
        <v>72.831898199999998</v>
      </c>
      <c r="H133">
        <f t="shared" si="10"/>
        <v>3483</v>
      </c>
      <c r="I133" s="4">
        <f t="shared" si="11"/>
        <v>19350</v>
      </c>
      <c r="J133" s="6">
        <f t="shared" si="12"/>
        <v>450</v>
      </c>
      <c r="K133" s="6">
        <f t="shared" si="13"/>
        <v>8707500</v>
      </c>
      <c r="L133" s="3" t="str">
        <f t="shared" si="14"/>
        <v>Premium</v>
      </c>
    </row>
    <row r="134" spans="1:12">
      <c r="A134" t="s">
        <v>207</v>
      </c>
      <c r="B134" t="s">
        <v>232</v>
      </c>
      <c r="C134" s="4">
        <v>4.5</v>
      </c>
      <c r="D134" s="4">
        <v>92</v>
      </c>
      <c r="E134" t="s">
        <v>233</v>
      </c>
      <c r="F134" s="4">
        <v>19.025475799999999</v>
      </c>
      <c r="G134">
        <v>72.835516999999996</v>
      </c>
      <c r="H134">
        <f t="shared" si="10"/>
        <v>414</v>
      </c>
      <c r="I134" s="4">
        <f t="shared" si="11"/>
        <v>2300</v>
      </c>
      <c r="J134" s="6">
        <f t="shared" si="12"/>
        <v>450</v>
      </c>
      <c r="K134" s="6">
        <f t="shared" si="13"/>
        <v>1035000</v>
      </c>
      <c r="L134" s="3" t="str">
        <f t="shared" si="14"/>
        <v>Premium</v>
      </c>
    </row>
    <row r="135" spans="1:12">
      <c r="A135" t="s">
        <v>207</v>
      </c>
      <c r="B135" t="s">
        <v>234</v>
      </c>
      <c r="C135" s="4">
        <v>4.5</v>
      </c>
      <c r="D135" s="4">
        <v>23</v>
      </c>
      <c r="E135" t="s">
        <v>235</v>
      </c>
      <c r="F135" s="4">
        <v>19.0255689</v>
      </c>
      <c r="G135">
        <v>72.840978800000002</v>
      </c>
      <c r="H135">
        <f t="shared" si="10"/>
        <v>103.5</v>
      </c>
      <c r="I135" s="4">
        <f t="shared" si="11"/>
        <v>575</v>
      </c>
      <c r="J135" s="6">
        <f t="shared" si="12"/>
        <v>450</v>
      </c>
      <c r="K135" s="6">
        <f t="shared" si="13"/>
        <v>258750</v>
      </c>
      <c r="L135" s="3" t="str">
        <f t="shared" si="14"/>
        <v>Premium</v>
      </c>
    </row>
    <row r="136" spans="1:12">
      <c r="A136" t="s">
        <v>207</v>
      </c>
      <c r="B136" t="s">
        <v>236</v>
      </c>
      <c r="C136" s="4">
        <v>4.8</v>
      </c>
      <c r="D136" s="4">
        <v>17</v>
      </c>
      <c r="E136" t="s">
        <v>237</v>
      </c>
      <c r="F136" s="4">
        <v>19.016491500000001</v>
      </c>
      <c r="G136">
        <v>72.835392799999994</v>
      </c>
      <c r="H136">
        <f t="shared" si="10"/>
        <v>81.599999999999994</v>
      </c>
      <c r="I136" s="4">
        <f t="shared" si="11"/>
        <v>425</v>
      </c>
      <c r="J136" s="6">
        <f t="shared" si="12"/>
        <v>550</v>
      </c>
      <c r="K136" s="6">
        <f t="shared" si="13"/>
        <v>233750</v>
      </c>
      <c r="L136" s="3" t="str">
        <f t="shared" si="14"/>
        <v>Premium</v>
      </c>
    </row>
    <row r="137" spans="1:12">
      <c r="A137" t="s">
        <v>207</v>
      </c>
      <c r="B137" t="s">
        <v>238</v>
      </c>
      <c r="C137" s="4">
        <v>4.4000000000000004</v>
      </c>
      <c r="D137" s="4">
        <v>24600</v>
      </c>
      <c r="E137" t="s">
        <v>239</v>
      </c>
      <c r="F137" s="4">
        <v>19.027620299999999</v>
      </c>
      <c r="G137">
        <v>72.855041499999999</v>
      </c>
      <c r="H137">
        <f t="shared" si="10"/>
        <v>108240.00000000001</v>
      </c>
      <c r="I137" s="4">
        <f t="shared" si="11"/>
        <v>615000</v>
      </c>
      <c r="J137" s="6">
        <f t="shared" si="12"/>
        <v>450</v>
      </c>
      <c r="K137" s="6">
        <f t="shared" si="13"/>
        <v>276750000</v>
      </c>
      <c r="L137" s="3" t="str">
        <f t="shared" si="14"/>
        <v>Popular</v>
      </c>
    </row>
    <row r="138" spans="1:12">
      <c r="A138" t="s">
        <v>207</v>
      </c>
      <c r="B138" t="s">
        <v>240</v>
      </c>
      <c r="C138" s="4">
        <v>4.0999999999999996</v>
      </c>
      <c r="D138" s="4">
        <v>583</v>
      </c>
      <c r="E138" t="s">
        <v>241</v>
      </c>
      <c r="F138" s="4">
        <v>19.029471399999998</v>
      </c>
      <c r="G138">
        <v>72.840066399999998</v>
      </c>
      <c r="H138">
        <f t="shared" si="10"/>
        <v>2390.2999999999997</v>
      </c>
      <c r="I138" s="4">
        <f t="shared" si="11"/>
        <v>14575</v>
      </c>
      <c r="J138" s="6">
        <f t="shared" si="12"/>
        <v>350</v>
      </c>
      <c r="K138" s="6">
        <f t="shared" si="13"/>
        <v>5101250</v>
      </c>
      <c r="L138" s="3" t="str">
        <f t="shared" si="14"/>
        <v>Popular</v>
      </c>
    </row>
    <row r="139" spans="1:12">
      <c r="A139" t="s">
        <v>207</v>
      </c>
      <c r="B139" t="s">
        <v>140</v>
      </c>
      <c r="C139" s="4">
        <v>3.9</v>
      </c>
      <c r="D139" s="4">
        <v>1392</v>
      </c>
      <c r="E139" t="s">
        <v>242</v>
      </c>
      <c r="F139" s="4">
        <v>19.0290097</v>
      </c>
      <c r="G139">
        <v>72.838479199999995</v>
      </c>
      <c r="H139">
        <f t="shared" si="10"/>
        <v>5428.8</v>
      </c>
      <c r="I139" s="4">
        <f t="shared" si="11"/>
        <v>34800</v>
      </c>
      <c r="J139" s="6">
        <f t="shared" si="12"/>
        <v>350</v>
      </c>
      <c r="K139" s="6">
        <f t="shared" si="13"/>
        <v>12180000</v>
      </c>
      <c r="L139" s="3" t="str">
        <f t="shared" si="14"/>
        <v>Average</v>
      </c>
    </row>
    <row r="140" spans="1:12">
      <c r="A140" t="s">
        <v>207</v>
      </c>
      <c r="B140" t="s">
        <v>48</v>
      </c>
      <c r="C140" s="4">
        <v>4.7</v>
      </c>
      <c r="D140" s="4">
        <v>1415</v>
      </c>
      <c r="E140" t="s">
        <v>243</v>
      </c>
      <c r="F140" s="4">
        <v>19.0408896</v>
      </c>
      <c r="G140">
        <v>72.846201800000003</v>
      </c>
      <c r="H140">
        <f t="shared" si="10"/>
        <v>6650.5</v>
      </c>
      <c r="I140" s="4">
        <f t="shared" si="11"/>
        <v>35375</v>
      </c>
      <c r="J140" s="6">
        <f t="shared" si="12"/>
        <v>550</v>
      </c>
      <c r="K140" s="6">
        <f t="shared" si="13"/>
        <v>19456250</v>
      </c>
      <c r="L140" s="3" t="str">
        <f t="shared" si="14"/>
        <v>Premium</v>
      </c>
    </row>
    <row r="141" spans="1:12">
      <c r="A141" t="s">
        <v>207</v>
      </c>
      <c r="B141" t="s">
        <v>244</v>
      </c>
      <c r="C141" s="4">
        <v>4.5</v>
      </c>
      <c r="D141" s="4">
        <v>31</v>
      </c>
      <c r="E141" t="s">
        <v>245</v>
      </c>
      <c r="F141" s="4">
        <v>19.016371100000001</v>
      </c>
      <c r="G141">
        <v>72.830413399999998</v>
      </c>
      <c r="H141">
        <f t="shared" si="10"/>
        <v>139.5</v>
      </c>
      <c r="I141" s="4">
        <f t="shared" si="11"/>
        <v>775</v>
      </c>
      <c r="J141" s="6">
        <f t="shared" si="12"/>
        <v>450</v>
      </c>
      <c r="K141" s="6">
        <f t="shared" si="13"/>
        <v>348750</v>
      </c>
      <c r="L141" s="3" t="str">
        <f t="shared" si="14"/>
        <v>Premium</v>
      </c>
    </row>
    <row r="142" spans="1:12">
      <c r="A142" t="s">
        <v>207</v>
      </c>
      <c r="B142" t="s">
        <v>246</v>
      </c>
      <c r="C142" s="4">
        <v>4.4000000000000004</v>
      </c>
      <c r="D142" s="4">
        <v>5790</v>
      </c>
      <c r="E142" t="s">
        <v>247</v>
      </c>
      <c r="F142" s="4">
        <v>19.0390084</v>
      </c>
      <c r="G142">
        <v>72.842680099999995</v>
      </c>
      <c r="H142">
        <f t="shared" si="10"/>
        <v>25476.000000000004</v>
      </c>
      <c r="I142" s="4">
        <f t="shared" si="11"/>
        <v>144750</v>
      </c>
      <c r="J142" s="6">
        <f t="shared" si="12"/>
        <v>450</v>
      </c>
      <c r="K142" s="6">
        <f t="shared" si="13"/>
        <v>65137500</v>
      </c>
      <c r="L142" s="3" t="str">
        <f t="shared" si="14"/>
        <v>Popular</v>
      </c>
    </row>
    <row r="143" spans="1:12">
      <c r="A143" t="s">
        <v>207</v>
      </c>
      <c r="B143" t="s">
        <v>248</v>
      </c>
      <c r="C143" s="4">
        <v>4.8</v>
      </c>
      <c r="D143" s="4">
        <v>55</v>
      </c>
      <c r="E143" t="s">
        <v>249</v>
      </c>
      <c r="F143" s="4">
        <v>19.011507999999999</v>
      </c>
      <c r="G143">
        <v>72.846718499999994</v>
      </c>
      <c r="H143">
        <f t="shared" si="10"/>
        <v>264</v>
      </c>
      <c r="I143" s="4">
        <f t="shared" si="11"/>
        <v>1375</v>
      </c>
      <c r="J143" s="6">
        <f t="shared" si="12"/>
        <v>550</v>
      </c>
      <c r="K143" s="6">
        <f t="shared" si="13"/>
        <v>756250</v>
      </c>
      <c r="L143" s="3" t="str">
        <f t="shared" si="14"/>
        <v>Premium</v>
      </c>
    </row>
    <row r="144" spans="1:12">
      <c r="A144" t="s">
        <v>207</v>
      </c>
      <c r="B144" t="s">
        <v>250</v>
      </c>
      <c r="C144" s="4">
        <v>4.2</v>
      </c>
      <c r="D144" s="4">
        <v>4162</v>
      </c>
      <c r="E144" t="s">
        <v>251</v>
      </c>
      <c r="F144" s="4">
        <v>19.031528699999999</v>
      </c>
      <c r="G144">
        <v>72.838803900000002</v>
      </c>
      <c r="H144">
        <f t="shared" si="10"/>
        <v>17480.400000000001</v>
      </c>
      <c r="I144" s="4">
        <f t="shared" si="11"/>
        <v>104050</v>
      </c>
      <c r="J144" s="6">
        <f t="shared" si="12"/>
        <v>350</v>
      </c>
      <c r="K144" s="6">
        <f t="shared" si="13"/>
        <v>36417500</v>
      </c>
      <c r="L144" s="3" t="str">
        <f t="shared" si="14"/>
        <v>Popular</v>
      </c>
    </row>
    <row r="145" spans="1:12">
      <c r="A145" t="s">
        <v>207</v>
      </c>
      <c r="B145" t="s">
        <v>252</v>
      </c>
      <c r="C145" s="4">
        <v>4.7</v>
      </c>
      <c r="D145" s="4">
        <v>38</v>
      </c>
      <c r="E145" t="s">
        <v>253</v>
      </c>
      <c r="F145" s="4">
        <v>19.026431500000001</v>
      </c>
      <c r="G145">
        <v>72.834798399999997</v>
      </c>
      <c r="H145">
        <f t="shared" si="10"/>
        <v>178.6</v>
      </c>
      <c r="I145" s="4">
        <f t="shared" si="11"/>
        <v>950</v>
      </c>
      <c r="J145" s="6">
        <f t="shared" si="12"/>
        <v>550</v>
      </c>
      <c r="K145" s="6">
        <f t="shared" si="13"/>
        <v>522500</v>
      </c>
      <c r="L145" s="3" t="str">
        <f t="shared" si="14"/>
        <v>Premium</v>
      </c>
    </row>
    <row r="146" spans="1:12">
      <c r="A146" t="s">
        <v>207</v>
      </c>
      <c r="B146" t="s">
        <v>254</v>
      </c>
      <c r="C146" s="4">
        <v>4.0999999999999996</v>
      </c>
      <c r="D146" s="4">
        <v>1093</v>
      </c>
      <c r="E146" t="s">
        <v>255</v>
      </c>
      <c r="F146" s="4">
        <v>19.029337300000002</v>
      </c>
      <c r="G146">
        <v>72.838066400000002</v>
      </c>
      <c r="H146">
        <f t="shared" si="10"/>
        <v>4481.2999999999993</v>
      </c>
      <c r="I146" s="4">
        <f t="shared" si="11"/>
        <v>27325</v>
      </c>
      <c r="J146" s="6">
        <f t="shared" si="12"/>
        <v>350</v>
      </c>
      <c r="K146" s="6">
        <f t="shared" si="13"/>
        <v>9563750</v>
      </c>
      <c r="L146" s="3" t="str">
        <f t="shared" si="14"/>
        <v>Popular</v>
      </c>
    </row>
    <row r="147" spans="1:12">
      <c r="A147" t="s">
        <v>207</v>
      </c>
      <c r="B147" t="s">
        <v>256</v>
      </c>
      <c r="C147" s="4">
        <v>4.3</v>
      </c>
      <c r="D147" s="4">
        <v>251</v>
      </c>
      <c r="E147" t="s">
        <v>257</v>
      </c>
      <c r="F147" s="4">
        <v>19.0182802</v>
      </c>
      <c r="G147">
        <v>72.839340500000006</v>
      </c>
      <c r="H147">
        <f t="shared" si="10"/>
        <v>1079.3</v>
      </c>
      <c r="I147" s="4">
        <f t="shared" si="11"/>
        <v>6275</v>
      </c>
      <c r="J147" s="6">
        <f t="shared" si="12"/>
        <v>350</v>
      </c>
      <c r="K147" s="6">
        <f t="shared" si="13"/>
        <v>2196250</v>
      </c>
      <c r="L147" s="3" t="str">
        <f t="shared" si="14"/>
        <v>Popular</v>
      </c>
    </row>
    <row r="148" spans="1:12">
      <c r="A148" t="s">
        <v>207</v>
      </c>
      <c r="B148" t="s">
        <v>258</v>
      </c>
      <c r="C148" s="4">
        <v>4.5999999999999996</v>
      </c>
      <c r="D148" s="4">
        <v>475</v>
      </c>
      <c r="E148" t="s">
        <v>259</v>
      </c>
      <c r="F148" s="4">
        <v>19.019210099999999</v>
      </c>
      <c r="G148">
        <v>72.837106399999996</v>
      </c>
      <c r="H148">
        <f t="shared" si="10"/>
        <v>2185</v>
      </c>
      <c r="I148" s="4">
        <f t="shared" si="11"/>
        <v>11875</v>
      </c>
      <c r="J148" s="6">
        <f t="shared" si="12"/>
        <v>450</v>
      </c>
      <c r="K148" s="6">
        <f t="shared" si="13"/>
        <v>5343750</v>
      </c>
      <c r="L148" s="3" t="str">
        <f t="shared" si="14"/>
        <v>Premium</v>
      </c>
    </row>
    <row r="149" spans="1:12">
      <c r="A149" t="s">
        <v>207</v>
      </c>
      <c r="B149" t="s">
        <v>260</v>
      </c>
      <c r="C149" s="4">
        <v>4.4000000000000004</v>
      </c>
      <c r="D149" s="4">
        <v>611</v>
      </c>
      <c r="E149" t="s">
        <v>261</v>
      </c>
      <c r="F149" s="4">
        <v>19.000219999999999</v>
      </c>
      <c r="G149">
        <v>72.830248999999995</v>
      </c>
      <c r="H149">
        <f t="shared" si="10"/>
        <v>2688.4</v>
      </c>
      <c r="I149" s="4">
        <f t="shared" si="11"/>
        <v>15275</v>
      </c>
      <c r="J149" s="6">
        <f t="shared" si="12"/>
        <v>450</v>
      </c>
      <c r="K149" s="6">
        <f t="shared" si="13"/>
        <v>6873750</v>
      </c>
      <c r="L149" s="3" t="str">
        <f t="shared" si="14"/>
        <v>Popular</v>
      </c>
    </row>
    <row r="150" spans="1:12">
      <c r="A150" t="s">
        <v>207</v>
      </c>
      <c r="B150" t="s">
        <v>262</v>
      </c>
      <c r="C150" s="4">
        <v>4.0999999999999996</v>
      </c>
      <c r="D150" s="4">
        <v>3936</v>
      </c>
      <c r="E150" t="s">
        <v>263</v>
      </c>
      <c r="F150" s="4">
        <v>19.016950900000001</v>
      </c>
      <c r="G150">
        <v>72.845926199999994</v>
      </c>
      <c r="H150">
        <f t="shared" si="10"/>
        <v>16137.599999999999</v>
      </c>
      <c r="I150" s="4">
        <f t="shared" si="11"/>
        <v>98400</v>
      </c>
      <c r="J150" s="6">
        <f t="shared" si="12"/>
        <v>350</v>
      </c>
      <c r="K150" s="6">
        <f t="shared" si="13"/>
        <v>34440000</v>
      </c>
      <c r="L150" s="3" t="str">
        <f t="shared" si="14"/>
        <v>Popular</v>
      </c>
    </row>
    <row r="151" spans="1:12">
      <c r="A151" t="s">
        <v>207</v>
      </c>
      <c r="B151" t="s">
        <v>264</v>
      </c>
      <c r="C151" s="4">
        <v>4</v>
      </c>
      <c r="D151" s="4">
        <v>1011</v>
      </c>
      <c r="E151" t="s">
        <v>265</v>
      </c>
      <c r="F151" s="4">
        <v>19.024792900000001</v>
      </c>
      <c r="G151">
        <v>72.841970899999893</v>
      </c>
      <c r="H151">
        <f t="shared" si="10"/>
        <v>4044</v>
      </c>
      <c r="I151" s="4">
        <f t="shared" si="11"/>
        <v>25275</v>
      </c>
      <c r="J151" s="6">
        <f t="shared" si="12"/>
        <v>350</v>
      </c>
      <c r="K151" s="6">
        <f t="shared" si="13"/>
        <v>8846250</v>
      </c>
      <c r="L151" s="3" t="str">
        <f t="shared" si="14"/>
        <v>Popular</v>
      </c>
    </row>
    <row r="152" spans="1:12">
      <c r="A152" t="s">
        <v>207</v>
      </c>
      <c r="B152" t="s">
        <v>266</v>
      </c>
      <c r="C152" s="4">
        <v>3.9</v>
      </c>
      <c r="D152" s="4">
        <v>30</v>
      </c>
      <c r="E152" t="s">
        <v>267</v>
      </c>
      <c r="F152" s="4">
        <v>19.024669500000002</v>
      </c>
      <c r="G152">
        <v>72.842014199999994</v>
      </c>
      <c r="H152">
        <f t="shared" si="10"/>
        <v>117</v>
      </c>
      <c r="I152" s="4">
        <f t="shared" si="11"/>
        <v>750</v>
      </c>
      <c r="J152" s="6">
        <f t="shared" si="12"/>
        <v>350</v>
      </c>
      <c r="K152" s="6">
        <f t="shared" si="13"/>
        <v>262500</v>
      </c>
      <c r="L152" s="3" t="str">
        <f t="shared" si="14"/>
        <v>Average</v>
      </c>
    </row>
    <row r="153" spans="1:12">
      <c r="A153" t="s">
        <v>207</v>
      </c>
      <c r="B153" t="s">
        <v>176</v>
      </c>
      <c r="C153" s="4">
        <v>4.2</v>
      </c>
      <c r="D153" s="4">
        <v>1675</v>
      </c>
      <c r="E153" t="s">
        <v>268</v>
      </c>
      <c r="F153" s="4">
        <v>19.005612599999999</v>
      </c>
      <c r="G153">
        <v>72.831034599999995</v>
      </c>
      <c r="H153">
        <f t="shared" si="10"/>
        <v>7035</v>
      </c>
      <c r="I153" s="4">
        <f t="shared" si="11"/>
        <v>41875</v>
      </c>
      <c r="J153" s="6">
        <f t="shared" si="12"/>
        <v>350</v>
      </c>
      <c r="K153" s="6">
        <f t="shared" si="13"/>
        <v>14656250</v>
      </c>
      <c r="L153" s="3" t="str">
        <f t="shared" si="14"/>
        <v>Popular</v>
      </c>
    </row>
    <row r="154" spans="1:12">
      <c r="A154" t="s">
        <v>207</v>
      </c>
      <c r="B154" t="s">
        <v>269</v>
      </c>
      <c r="C154" s="4">
        <v>3.9</v>
      </c>
      <c r="D154" s="4">
        <v>3574</v>
      </c>
      <c r="E154" t="s">
        <v>270</v>
      </c>
      <c r="F154" s="4">
        <v>19.024196</v>
      </c>
      <c r="G154">
        <v>72.837619000000004</v>
      </c>
      <c r="H154">
        <f t="shared" si="10"/>
        <v>13938.6</v>
      </c>
      <c r="I154" s="4">
        <f t="shared" si="11"/>
        <v>89350</v>
      </c>
      <c r="J154" s="6">
        <f t="shared" si="12"/>
        <v>350</v>
      </c>
      <c r="K154" s="6">
        <f t="shared" si="13"/>
        <v>31272500</v>
      </c>
      <c r="L154" s="3" t="str">
        <f t="shared" si="14"/>
        <v>Average</v>
      </c>
    </row>
    <row r="155" spans="1:12">
      <c r="A155" t="s">
        <v>207</v>
      </c>
      <c r="B155" t="s">
        <v>271</v>
      </c>
      <c r="C155" s="4">
        <v>4.7</v>
      </c>
      <c r="D155" s="4">
        <v>25</v>
      </c>
      <c r="E155" t="s">
        <v>272</v>
      </c>
      <c r="F155" s="4">
        <v>19.019376600000001</v>
      </c>
      <c r="G155">
        <v>72.836246000000003</v>
      </c>
      <c r="H155">
        <f t="shared" si="10"/>
        <v>117.5</v>
      </c>
      <c r="I155" s="4">
        <f t="shared" si="11"/>
        <v>625</v>
      </c>
      <c r="J155" s="6">
        <f t="shared" si="12"/>
        <v>550</v>
      </c>
      <c r="K155" s="6">
        <f t="shared" si="13"/>
        <v>343750</v>
      </c>
      <c r="L155" s="3" t="str">
        <f t="shared" si="14"/>
        <v>Premium</v>
      </c>
    </row>
    <row r="156" spans="1:12">
      <c r="A156" t="s">
        <v>207</v>
      </c>
      <c r="B156" t="s">
        <v>273</v>
      </c>
      <c r="C156" s="4">
        <v>4.4000000000000004</v>
      </c>
      <c r="D156" s="4">
        <v>154</v>
      </c>
      <c r="E156" t="s">
        <v>274</v>
      </c>
      <c r="F156" s="4">
        <v>19.027432699999999</v>
      </c>
      <c r="G156">
        <v>72.857090900000003</v>
      </c>
      <c r="H156">
        <f t="shared" si="10"/>
        <v>677.6</v>
      </c>
      <c r="I156" s="4">
        <f t="shared" si="11"/>
        <v>3850</v>
      </c>
      <c r="J156" s="6">
        <f t="shared" si="12"/>
        <v>450</v>
      </c>
      <c r="K156" s="6">
        <f t="shared" si="13"/>
        <v>1732500</v>
      </c>
      <c r="L156" s="3" t="str">
        <f t="shared" si="14"/>
        <v>Popular</v>
      </c>
    </row>
    <row r="157" spans="1:12">
      <c r="A157" t="s">
        <v>207</v>
      </c>
      <c r="B157" t="s">
        <v>275</v>
      </c>
      <c r="C157" s="4">
        <v>4.4000000000000004</v>
      </c>
      <c r="D157" s="4">
        <v>258</v>
      </c>
      <c r="E157" t="s">
        <v>276</v>
      </c>
      <c r="F157" s="4">
        <v>19.0012553</v>
      </c>
      <c r="G157">
        <v>72.829367599999998</v>
      </c>
      <c r="H157">
        <f t="shared" si="10"/>
        <v>1135.2</v>
      </c>
      <c r="I157" s="4">
        <f t="shared" si="11"/>
        <v>6450</v>
      </c>
      <c r="J157" s="6">
        <f t="shared" si="12"/>
        <v>450</v>
      </c>
      <c r="K157" s="6">
        <f t="shared" si="13"/>
        <v>2902500</v>
      </c>
      <c r="L157" s="3" t="str">
        <f t="shared" si="14"/>
        <v>Popular</v>
      </c>
    </row>
    <row r="158" spans="1:12">
      <c r="A158" t="s">
        <v>207</v>
      </c>
      <c r="B158" t="s">
        <v>277</v>
      </c>
      <c r="C158" s="4">
        <v>4.5999999999999996</v>
      </c>
      <c r="D158" s="4">
        <v>62</v>
      </c>
      <c r="E158" t="s">
        <v>278</v>
      </c>
      <c r="F158" s="4">
        <v>19.023062100000001</v>
      </c>
      <c r="G158">
        <v>72.849080499999999</v>
      </c>
      <c r="H158">
        <f t="shared" si="10"/>
        <v>285.2</v>
      </c>
      <c r="I158" s="4">
        <f t="shared" si="11"/>
        <v>1550</v>
      </c>
      <c r="J158" s="6">
        <f t="shared" si="12"/>
        <v>450</v>
      </c>
      <c r="K158" s="6">
        <f t="shared" si="13"/>
        <v>697500</v>
      </c>
      <c r="L158" s="3" t="str">
        <f t="shared" si="14"/>
        <v>Premium</v>
      </c>
    </row>
    <row r="159" spans="1:12">
      <c r="A159" t="s">
        <v>207</v>
      </c>
      <c r="B159" t="s">
        <v>279</v>
      </c>
      <c r="C159" s="4">
        <v>4.4000000000000004</v>
      </c>
      <c r="D159" s="4">
        <v>176</v>
      </c>
      <c r="E159" t="s">
        <v>280</v>
      </c>
      <c r="F159" s="4">
        <v>19.0019192</v>
      </c>
      <c r="G159">
        <v>72.829302499999997</v>
      </c>
      <c r="H159">
        <f t="shared" si="10"/>
        <v>774.40000000000009</v>
      </c>
      <c r="I159" s="4">
        <f t="shared" si="11"/>
        <v>4400</v>
      </c>
      <c r="J159" s="6">
        <f t="shared" si="12"/>
        <v>450</v>
      </c>
      <c r="K159" s="6">
        <f t="shared" si="13"/>
        <v>1980000</v>
      </c>
      <c r="L159" s="3" t="str">
        <f t="shared" si="14"/>
        <v>Popular</v>
      </c>
    </row>
    <row r="160" spans="1:12">
      <c r="A160" t="s">
        <v>207</v>
      </c>
      <c r="B160" t="s">
        <v>281</v>
      </c>
      <c r="C160" s="4">
        <v>4.0999999999999996</v>
      </c>
      <c r="D160" s="4">
        <v>2470</v>
      </c>
      <c r="E160" t="s">
        <v>282</v>
      </c>
      <c r="F160" s="4">
        <v>19.0241069</v>
      </c>
      <c r="G160">
        <v>72.837660999999997</v>
      </c>
      <c r="H160">
        <f t="shared" si="10"/>
        <v>10127</v>
      </c>
      <c r="I160" s="4">
        <f t="shared" si="11"/>
        <v>61750</v>
      </c>
      <c r="J160" s="6">
        <f t="shared" si="12"/>
        <v>350</v>
      </c>
      <c r="K160" s="6">
        <f t="shared" si="13"/>
        <v>21612500</v>
      </c>
      <c r="L160" s="3" t="str">
        <f t="shared" si="14"/>
        <v>Popular</v>
      </c>
    </row>
    <row r="161" spans="1:12">
      <c r="A161" t="s">
        <v>207</v>
      </c>
      <c r="B161" t="s">
        <v>283</v>
      </c>
      <c r="C161" s="4">
        <v>4.4000000000000004</v>
      </c>
      <c r="D161" s="4">
        <v>3727</v>
      </c>
      <c r="E161" t="s">
        <v>284</v>
      </c>
      <c r="F161" s="4">
        <v>19.0256738</v>
      </c>
      <c r="G161">
        <v>72.835225299999905</v>
      </c>
      <c r="H161">
        <f t="shared" si="10"/>
        <v>16398.800000000003</v>
      </c>
      <c r="I161" s="4">
        <f t="shared" si="11"/>
        <v>93175</v>
      </c>
      <c r="J161" s="6">
        <f t="shared" si="12"/>
        <v>450</v>
      </c>
      <c r="K161" s="6">
        <f t="shared" si="13"/>
        <v>41928750</v>
      </c>
      <c r="L161" s="3" t="str">
        <f t="shared" si="14"/>
        <v>Popular</v>
      </c>
    </row>
    <row r="162" spans="1:12">
      <c r="A162" t="s">
        <v>207</v>
      </c>
      <c r="B162" t="s">
        <v>123</v>
      </c>
      <c r="C162" s="4">
        <v>4.3</v>
      </c>
      <c r="D162" s="4">
        <v>2352</v>
      </c>
      <c r="E162" t="s">
        <v>285</v>
      </c>
      <c r="F162" s="4">
        <v>19.012695999999998</v>
      </c>
      <c r="G162">
        <v>72.823788999999906</v>
      </c>
      <c r="H162">
        <f t="shared" si="10"/>
        <v>10113.6</v>
      </c>
      <c r="I162" s="4">
        <f t="shared" si="11"/>
        <v>58800</v>
      </c>
      <c r="J162" s="6">
        <f t="shared" si="12"/>
        <v>350</v>
      </c>
      <c r="K162" s="6">
        <f t="shared" si="13"/>
        <v>20580000</v>
      </c>
      <c r="L162" s="3" t="str">
        <f t="shared" si="14"/>
        <v>Popular</v>
      </c>
    </row>
    <row r="163" spans="1:12">
      <c r="A163" t="s">
        <v>207</v>
      </c>
      <c r="B163" t="s">
        <v>286</v>
      </c>
      <c r="C163" s="4">
        <v>4.5999999999999996</v>
      </c>
      <c r="D163" s="4">
        <v>287</v>
      </c>
      <c r="E163" t="s">
        <v>287</v>
      </c>
      <c r="F163" s="4">
        <v>19.0067083</v>
      </c>
      <c r="G163">
        <v>72.832725499999995</v>
      </c>
      <c r="H163">
        <f t="shared" si="10"/>
        <v>1320.1999999999998</v>
      </c>
      <c r="I163" s="4">
        <f t="shared" si="11"/>
        <v>7175</v>
      </c>
      <c r="J163" s="6">
        <f t="shared" si="12"/>
        <v>450</v>
      </c>
      <c r="K163" s="6">
        <f t="shared" si="13"/>
        <v>3228750</v>
      </c>
      <c r="L163" s="3" t="str">
        <f t="shared" si="14"/>
        <v>Premium</v>
      </c>
    </row>
    <row r="164" spans="1:12">
      <c r="A164" t="s">
        <v>207</v>
      </c>
      <c r="B164" t="s">
        <v>288</v>
      </c>
      <c r="C164" s="4">
        <v>4.2</v>
      </c>
      <c r="D164" s="4">
        <v>505</v>
      </c>
      <c r="E164" t="s">
        <v>289</v>
      </c>
      <c r="F164" s="4">
        <v>19.025401299999999</v>
      </c>
      <c r="G164">
        <v>72.839640500000002</v>
      </c>
      <c r="H164">
        <f t="shared" si="10"/>
        <v>2121</v>
      </c>
      <c r="I164" s="4">
        <f t="shared" si="11"/>
        <v>12625</v>
      </c>
      <c r="J164" s="6">
        <f t="shared" si="12"/>
        <v>350</v>
      </c>
      <c r="K164" s="6">
        <f t="shared" si="13"/>
        <v>4418750</v>
      </c>
      <c r="L164" s="3" t="str">
        <f t="shared" si="14"/>
        <v>Popular</v>
      </c>
    </row>
    <row r="165" spans="1:12">
      <c r="A165" t="s">
        <v>207</v>
      </c>
      <c r="B165" t="s">
        <v>123</v>
      </c>
      <c r="C165" s="4">
        <v>4.4000000000000004</v>
      </c>
      <c r="D165" s="4">
        <v>724</v>
      </c>
      <c r="E165" t="s">
        <v>290</v>
      </c>
      <c r="F165" s="4">
        <v>19.025138599999998</v>
      </c>
      <c r="G165">
        <v>72.835923600000001</v>
      </c>
      <c r="H165">
        <f t="shared" si="10"/>
        <v>3185.6000000000004</v>
      </c>
      <c r="I165" s="4">
        <f t="shared" si="11"/>
        <v>18100</v>
      </c>
      <c r="J165" s="6">
        <f t="shared" si="12"/>
        <v>450</v>
      </c>
      <c r="K165" s="6">
        <f t="shared" si="13"/>
        <v>8145000</v>
      </c>
      <c r="L165" s="3" t="str">
        <f t="shared" si="14"/>
        <v>Popular</v>
      </c>
    </row>
    <row r="166" spans="1:12">
      <c r="A166" t="s">
        <v>207</v>
      </c>
      <c r="B166" t="s">
        <v>291</v>
      </c>
      <c r="C166" s="4">
        <v>4.2</v>
      </c>
      <c r="D166" s="4">
        <v>188</v>
      </c>
      <c r="E166" t="s">
        <v>292</v>
      </c>
      <c r="F166" s="4">
        <v>19.010125800000001</v>
      </c>
      <c r="G166">
        <v>72.842715099999893</v>
      </c>
      <c r="H166">
        <f t="shared" si="10"/>
        <v>789.6</v>
      </c>
      <c r="I166" s="4">
        <f t="shared" si="11"/>
        <v>4700</v>
      </c>
      <c r="J166" s="6">
        <f t="shared" si="12"/>
        <v>350</v>
      </c>
      <c r="K166" s="6">
        <f t="shared" si="13"/>
        <v>1645000</v>
      </c>
      <c r="L166" s="3" t="str">
        <f t="shared" si="14"/>
        <v>Popular</v>
      </c>
    </row>
    <row r="167" spans="1:12">
      <c r="A167" t="s">
        <v>207</v>
      </c>
      <c r="B167" t="s">
        <v>293</v>
      </c>
      <c r="C167" s="4">
        <v>4.3</v>
      </c>
      <c r="D167" s="4">
        <v>1817</v>
      </c>
      <c r="E167" t="s">
        <v>294</v>
      </c>
      <c r="F167" s="4">
        <v>19.0272942</v>
      </c>
      <c r="G167">
        <v>72.854620299999993</v>
      </c>
      <c r="H167">
        <f t="shared" si="10"/>
        <v>7813.0999999999995</v>
      </c>
      <c r="I167" s="4">
        <f t="shared" si="11"/>
        <v>45425</v>
      </c>
      <c r="J167" s="6">
        <f t="shared" si="12"/>
        <v>350</v>
      </c>
      <c r="K167" s="6">
        <f t="shared" si="13"/>
        <v>15898750</v>
      </c>
      <c r="L167" s="3" t="str">
        <f t="shared" si="14"/>
        <v>Popular</v>
      </c>
    </row>
    <row r="168" spans="1:12">
      <c r="A168" t="s">
        <v>207</v>
      </c>
      <c r="B168" t="s">
        <v>295</v>
      </c>
      <c r="C168" s="4">
        <v>4.5</v>
      </c>
      <c r="D168" s="4">
        <v>257</v>
      </c>
      <c r="E168" t="s">
        <v>296</v>
      </c>
      <c r="F168" s="4">
        <v>18.992530299999999</v>
      </c>
      <c r="G168">
        <v>72.831305799999996</v>
      </c>
      <c r="H168">
        <f t="shared" si="10"/>
        <v>1156.5</v>
      </c>
      <c r="I168" s="4">
        <f t="shared" si="11"/>
        <v>6425</v>
      </c>
      <c r="J168" s="6">
        <f t="shared" si="12"/>
        <v>450</v>
      </c>
      <c r="K168" s="6">
        <f t="shared" si="13"/>
        <v>2891250</v>
      </c>
      <c r="L168" s="3" t="str">
        <f t="shared" si="14"/>
        <v>Premium</v>
      </c>
    </row>
    <row r="169" spans="1:12">
      <c r="A169" t="s">
        <v>207</v>
      </c>
      <c r="B169" t="s">
        <v>297</v>
      </c>
      <c r="C169" s="4">
        <v>4.3</v>
      </c>
      <c r="D169" s="4">
        <v>675</v>
      </c>
      <c r="E169" t="s">
        <v>298</v>
      </c>
      <c r="F169" s="4">
        <v>19.026518599999999</v>
      </c>
      <c r="G169">
        <v>72.856184499999998</v>
      </c>
      <c r="H169">
        <f t="shared" si="10"/>
        <v>2902.5</v>
      </c>
      <c r="I169" s="4">
        <f t="shared" si="11"/>
        <v>16875</v>
      </c>
      <c r="J169" s="6">
        <f t="shared" si="12"/>
        <v>350</v>
      </c>
      <c r="K169" s="6">
        <f t="shared" si="13"/>
        <v>5906250</v>
      </c>
      <c r="L169" s="3" t="str">
        <f t="shared" si="14"/>
        <v>Popular</v>
      </c>
    </row>
    <row r="170" spans="1:12">
      <c r="A170" t="s">
        <v>207</v>
      </c>
      <c r="B170" t="s">
        <v>299</v>
      </c>
      <c r="C170" s="4">
        <v>4.9000000000000004</v>
      </c>
      <c r="D170" s="4">
        <v>12</v>
      </c>
      <c r="E170" t="s">
        <v>300</v>
      </c>
      <c r="F170" s="4">
        <v>19.014835399999999</v>
      </c>
      <c r="G170">
        <v>72.832108399999996</v>
      </c>
      <c r="H170">
        <f t="shared" si="10"/>
        <v>58.800000000000004</v>
      </c>
      <c r="I170" s="4">
        <f t="shared" si="11"/>
        <v>300</v>
      </c>
      <c r="J170" s="6">
        <f t="shared" si="12"/>
        <v>550</v>
      </c>
      <c r="K170" s="6">
        <f t="shared" si="13"/>
        <v>165000</v>
      </c>
      <c r="L170" s="3" t="str">
        <f t="shared" si="14"/>
        <v>Premium</v>
      </c>
    </row>
    <row r="171" spans="1:12">
      <c r="A171" t="s">
        <v>207</v>
      </c>
      <c r="B171" t="s">
        <v>301</v>
      </c>
      <c r="C171" s="4">
        <v>4.7</v>
      </c>
      <c r="D171" s="4">
        <v>215</v>
      </c>
      <c r="E171" t="s">
        <v>302</v>
      </c>
      <c r="F171" s="4">
        <v>19.030428100000002</v>
      </c>
      <c r="G171">
        <v>72.838623600000005</v>
      </c>
      <c r="H171">
        <f t="shared" si="10"/>
        <v>1010.5</v>
      </c>
      <c r="I171" s="4">
        <f t="shared" si="11"/>
        <v>5375</v>
      </c>
      <c r="J171" s="6">
        <f t="shared" si="12"/>
        <v>550</v>
      </c>
      <c r="K171" s="6">
        <f t="shared" si="13"/>
        <v>2956250</v>
      </c>
      <c r="L171" s="3" t="str">
        <f t="shared" si="14"/>
        <v>Premium</v>
      </c>
    </row>
    <row r="172" spans="1:12">
      <c r="A172" t="s">
        <v>207</v>
      </c>
      <c r="B172" t="s">
        <v>303</v>
      </c>
      <c r="C172" s="4">
        <v>3.9</v>
      </c>
      <c r="D172" s="4">
        <v>511</v>
      </c>
      <c r="E172" t="s">
        <v>304</v>
      </c>
      <c r="F172" s="4">
        <v>19.011612899999999</v>
      </c>
      <c r="G172">
        <v>72.843729499999995</v>
      </c>
      <c r="H172">
        <f t="shared" si="10"/>
        <v>1992.8999999999999</v>
      </c>
      <c r="I172" s="4">
        <f t="shared" si="11"/>
        <v>12775</v>
      </c>
      <c r="J172" s="6">
        <f t="shared" si="12"/>
        <v>350</v>
      </c>
      <c r="K172" s="6">
        <f t="shared" si="13"/>
        <v>4471250</v>
      </c>
      <c r="L172" s="3" t="str">
        <f t="shared" si="14"/>
        <v>Average</v>
      </c>
    </row>
    <row r="173" spans="1:12">
      <c r="A173" t="s">
        <v>207</v>
      </c>
      <c r="B173" t="s">
        <v>305</v>
      </c>
      <c r="C173" s="4">
        <v>3.5</v>
      </c>
      <c r="D173" s="4">
        <v>3943</v>
      </c>
      <c r="E173" t="s">
        <v>306</v>
      </c>
      <c r="F173" s="4">
        <v>19.026073400000001</v>
      </c>
      <c r="G173">
        <v>72.854984599999995</v>
      </c>
      <c r="H173">
        <f t="shared" si="10"/>
        <v>13800.5</v>
      </c>
      <c r="I173" s="4">
        <f t="shared" si="11"/>
        <v>98575</v>
      </c>
      <c r="J173" s="6">
        <f t="shared" si="12"/>
        <v>350</v>
      </c>
      <c r="K173" s="6">
        <f t="shared" si="13"/>
        <v>34501250</v>
      </c>
      <c r="L173" s="3" t="str">
        <f t="shared" si="14"/>
        <v>Average</v>
      </c>
    </row>
    <row r="174" spans="1:12">
      <c r="A174" t="s">
        <v>207</v>
      </c>
      <c r="B174" t="s">
        <v>307</v>
      </c>
      <c r="C174" s="4">
        <v>4.8</v>
      </c>
      <c r="D174" s="4">
        <v>145</v>
      </c>
      <c r="E174" t="s">
        <v>308</v>
      </c>
      <c r="F174" s="4">
        <v>19.0276757</v>
      </c>
      <c r="G174">
        <v>72.851663000000002</v>
      </c>
      <c r="H174">
        <f t="shared" si="10"/>
        <v>696</v>
      </c>
      <c r="I174" s="4">
        <f t="shared" si="11"/>
        <v>3625</v>
      </c>
      <c r="J174" s="6">
        <f t="shared" si="12"/>
        <v>550</v>
      </c>
      <c r="K174" s="6">
        <f t="shared" si="13"/>
        <v>1993750</v>
      </c>
      <c r="L174" s="3" t="str">
        <f t="shared" si="14"/>
        <v>Premium</v>
      </c>
    </row>
    <row r="175" spans="1:12">
      <c r="A175" t="s">
        <v>207</v>
      </c>
      <c r="B175" t="s">
        <v>309</v>
      </c>
      <c r="C175" s="4">
        <v>3.9</v>
      </c>
      <c r="D175" s="4">
        <v>90</v>
      </c>
      <c r="E175" t="s">
        <v>310</v>
      </c>
      <c r="F175" s="4">
        <v>19.025843699999999</v>
      </c>
      <c r="G175">
        <v>72.835785200000004</v>
      </c>
      <c r="H175">
        <f t="shared" si="10"/>
        <v>351</v>
      </c>
      <c r="I175" s="4">
        <f t="shared" si="11"/>
        <v>2250</v>
      </c>
      <c r="J175" s="6">
        <f t="shared" si="12"/>
        <v>350</v>
      </c>
      <c r="K175" s="6">
        <f t="shared" si="13"/>
        <v>787500</v>
      </c>
      <c r="L175" s="3" t="str">
        <f t="shared" si="14"/>
        <v>Average</v>
      </c>
    </row>
    <row r="176" spans="1:12">
      <c r="A176" t="s">
        <v>207</v>
      </c>
      <c r="B176" t="s">
        <v>311</v>
      </c>
      <c r="C176" s="4">
        <v>4.3</v>
      </c>
      <c r="D176" s="4">
        <v>7730</v>
      </c>
      <c r="E176" t="s">
        <v>312</v>
      </c>
      <c r="F176" s="4">
        <v>19.023957800000002</v>
      </c>
      <c r="G176">
        <v>72.837996700000005</v>
      </c>
      <c r="H176">
        <f t="shared" si="10"/>
        <v>33239</v>
      </c>
      <c r="I176" s="4">
        <f t="shared" si="11"/>
        <v>193250</v>
      </c>
      <c r="J176" s="6">
        <f t="shared" si="12"/>
        <v>350</v>
      </c>
      <c r="K176" s="6">
        <f t="shared" si="13"/>
        <v>67637500</v>
      </c>
      <c r="L176" s="3" t="str">
        <f t="shared" si="14"/>
        <v>Popular</v>
      </c>
    </row>
    <row r="177" spans="1:12">
      <c r="A177" t="s">
        <v>207</v>
      </c>
      <c r="B177" t="s">
        <v>313</v>
      </c>
      <c r="C177" s="4">
        <v>4.2</v>
      </c>
      <c r="D177" s="4">
        <v>5086</v>
      </c>
      <c r="E177" t="s">
        <v>314</v>
      </c>
      <c r="F177" s="4">
        <v>19.0276064</v>
      </c>
      <c r="G177">
        <v>72.855504400000001</v>
      </c>
      <c r="H177">
        <f t="shared" si="10"/>
        <v>21361.200000000001</v>
      </c>
      <c r="I177" s="4">
        <f t="shared" si="11"/>
        <v>127150</v>
      </c>
      <c r="J177" s="6">
        <f t="shared" si="12"/>
        <v>350</v>
      </c>
      <c r="K177" s="6">
        <f t="shared" si="13"/>
        <v>44502500</v>
      </c>
      <c r="L177" s="3" t="str">
        <f t="shared" si="14"/>
        <v>Popular</v>
      </c>
    </row>
    <row r="178" spans="1:12">
      <c r="A178" t="s">
        <v>207</v>
      </c>
      <c r="B178" t="s">
        <v>315</v>
      </c>
      <c r="C178" s="4">
        <v>4.0999999999999996</v>
      </c>
      <c r="D178" s="4">
        <v>810</v>
      </c>
      <c r="E178" t="s">
        <v>316</v>
      </c>
      <c r="F178" s="4">
        <v>19.018442</v>
      </c>
      <c r="G178">
        <v>72.856666899999993</v>
      </c>
      <c r="H178">
        <f t="shared" si="10"/>
        <v>3320.9999999999995</v>
      </c>
      <c r="I178" s="4">
        <f t="shared" si="11"/>
        <v>20250</v>
      </c>
      <c r="J178" s="6">
        <f t="shared" si="12"/>
        <v>350</v>
      </c>
      <c r="K178" s="6">
        <f t="shared" si="13"/>
        <v>7087500</v>
      </c>
      <c r="L178" s="3" t="str">
        <f t="shared" si="14"/>
        <v>Popular</v>
      </c>
    </row>
    <row r="179" spans="1:12">
      <c r="A179" t="s">
        <v>207</v>
      </c>
      <c r="B179" t="s">
        <v>123</v>
      </c>
      <c r="C179" s="4">
        <v>4.4000000000000004</v>
      </c>
      <c r="D179" s="4">
        <v>789</v>
      </c>
      <c r="E179" t="s">
        <v>317</v>
      </c>
      <c r="F179" s="4">
        <v>19.010279499999999</v>
      </c>
      <c r="G179">
        <v>72.835153300000002</v>
      </c>
      <c r="H179">
        <f t="shared" si="10"/>
        <v>3471.6000000000004</v>
      </c>
      <c r="I179" s="4">
        <f t="shared" si="11"/>
        <v>19725</v>
      </c>
      <c r="J179" s="6">
        <f t="shared" si="12"/>
        <v>450</v>
      </c>
      <c r="K179" s="6">
        <f t="shared" si="13"/>
        <v>8876250</v>
      </c>
      <c r="L179" s="3" t="str">
        <f t="shared" si="14"/>
        <v>Popular</v>
      </c>
    </row>
    <row r="180" spans="1:12">
      <c r="A180" t="s">
        <v>207</v>
      </c>
      <c r="B180" t="s">
        <v>318</v>
      </c>
      <c r="C180" s="4">
        <v>4.9000000000000004</v>
      </c>
      <c r="D180" s="4">
        <v>18</v>
      </c>
      <c r="E180" t="s">
        <v>319</v>
      </c>
      <c r="F180" s="4">
        <v>19.024987100000001</v>
      </c>
      <c r="G180">
        <v>72.841512299999906</v>
      </c>
      <c r="H180">
        <f t="shared" si="10"/>
        <v>88.2</v>
      </c>
      <c r="I180" s="4">
        <f t="shared" si="11"/>
        <v>450</v>
      </c>
      <c r="J180" s="6">
        <f t="shared" si="12"/>
        <v>550</v>
      </c>
      <c r="K180" s="6">
        <f t="shared" si="13"/>
        <v>247500</v>
      </c>
      <c r="L180" s="3" t="str">
        <f t="shared" si="14"/>
        <v>Premium</v>
      </c>
    </row>
    <row r="181" spans="1:12">
      <c r="A181" t="s">
        <v>207</v>
      </c>
      <c r="B181" t="s">
        <v>320</v>
      </c>
      <c r="C181" s="4">
        <v>4.2</v>
      </c>
      <c r="D181" s="4">
        <v>64</v>
      </c>
      <c r="E181" t="s">
        <v>321</v>
      </c>
      <c r="F181" s="4">
        <v>19.031223099999998</v>
      </c>
      <c r="G181">
        <v>72.838468699999893</v>
      </c>
      <c r="H181">
        <f t="shared" si="10"/>
        <v>268.8</v>
      </c>
      <c r="I181" s="4">
        <f t="shared" si="11"/>
        <v>1600</v>
      </c>
      <c r="J181" s="6">
        <f t="shared" si="12"/>
        <v>350</v>
      </c>
      <c r="K181" s="6">
        <f t="shared" si="13"/>
        <v>560000</v>
      </c>
      <c r="L181" s="3" t="str">
        <f t="shared" si="14"/>
        <v>Popular</v>
      </c>
    </row>
    <row r="182" spans="1:12">
      <c r="A182" t="s">
        <v>322</v>
      </c>
      <c r="B182" t="s">
        <v>323</v>
      </c>
      <c r="C182" s="4">
        <v>3.9</v>
      </c>
      <c r="D182" s="4">
        <v>3213</v>
      </c>
      <c r="E182" t="s">
        <v>324</v>
      </c>
      <c r="F182" s="4">
        <v>18.994295600000001</v>
      </c>
      <c r="G182">
        <v>72.814949499999997</v>
      </c>
      <c r="H182">
        <f t="shared" si="10"/>
        <v>12530.699999999999</v>
      </c>
      <c r="I182" s="4">
        <f t="shared" si="11"/>
        <v>80325</v>
      </c>
      <c r="J182" s="6">
        <f t="shared" si="12"/>
        <v>350</v>
      </c>
      <c r="K182" s="6">
        <f t="shared" si="13"/>
        <v>28113750</v>
      </c>
      <c r="L182" s="3" t="str">
        <f t="shared" si="14"/>
        <v>Average</v>
      </c>
    </row>
    <row r="183" spans="1:12">
      <c r="A183" t="s">
        <v>322</v>
      </c>
      <c r="B183" t="s">
        <v>325</v>
      </c>
      <c r="C183" s="4">
        <v>4.2</v>
      </c>
      <c r="D183" s="4">
        <v>206</v>
      </c>
      <c r="E183" t="s">
        <v>326</v>
      </c>
      <c r="F183" s="4">
        <v>19.0023096</v>
      </c>
      <c r="G183">
        <v>72.827494099999996</v>
      </c>
      <c r="H183">
        <f t="shared" si="10"/>
        <v>865.2</v>
      </c>
      <c r="I183" s="4">
        <f t="shared" si="11"/>
        <v>5150</v>
      </c>
      <c r="J183" s="6">
        <f t="shared" si="12"/>
        <v>350</v>
      </c>
      <c r="K183" s="6">
        <f t="shared" si="13"/>
        <v>1802500</v>
      </c>
      <c r="L183" s="3" t="str">
        <f t="shared" si="14"/>
        <v>Popular</v>
      </c>
    </row>
    <row r="184" spans="1:12">
      <c r="A184" t="s">
        <v>322</v>
      </c>
      <c r="B184" t="s">
        <v>327</v>
      </c>
      <c r="C184" s="4">
        <v>4.0999999999999996</v>
      </c>
      <c r="D184" s="4">
        <v>142</v>
      </c>
      <c r="E184" t="s">
        <v>328</v>
      </c>
      <c r="F184" s="4">
        <v>19.0014295</v>
      </c>
      <c r="G184">
        <v>72.8149327</v>
      </c>
      <c r="H184">
        <f t="shared" si="10"/>
        <v>582.19999999999993</v>
      </c>
      <c r="I184" s="4">
        <f t="shared" si="11"/>
        <v>3550</v>
      </c>
      <c r="J184" s="6">
        <f t="shared" si="12"/>
        <v>350</v>
      </c>
      <c r="K184" s="6">
        <f t="shared" si="13"/>
        <v>1242500</v>
      </c>
      <c r="L184" s="3" t="str">
        <f t="shared" si="14"/>
        <v>Popular</v>
      </c>
    </row>
    <row r="185" spans="1:12">
      <c r="A185" t="s">
        <v>322</v>
      </c>
      <c r="B185" t="s">
        <v>329</v>
      </c>
      <c r="C185" s="4">
        <v>4.9000000000000004</v>
      </c>
      <c r="D185" s="4">
        <v>109</v>
      </c>
      <c r="E185" t="s">
        <v>330</v>
      </c>
      <c r="F185" s="4">
        <v>19.012579299999999</v>
      </c>
      <c r="G185">
        <v>72.821957400000002</v>
      </c>
      <c r="H185">
        <f t="shared" si="10"/>
        <v>534.1</v>
      </c>
      <c r="I185" s="4">
        <f t="shared" si="11"/>
        <v>2725</v>
      </c>
      <c r="J185" s="6">
        <f t="shared" si="12"/>
        <v>550</v>
      </c>
      <c r="K185" s="6">
        <f t="shared" si="13"/>
        <v>1498750</v>
      </c>
      <c r="L185" s="3" t="str">
        <f t="shared" si="14"/>
        <v>Premium</v>
      </c>
    </row>
    <row r="186" spans="1:12">
      <c r="A186" t="s">
        <v>322</v>
      </c>
      <c r="B186" t="s">
        <v>176</v>
      </c>
      <c r="C186" s="4">
        <v>4.2</v>
      </c>
      <c r="D186" s="4">
        <v>1675</v>
      </c>
      <c r="E186" t="s">
        <v>268</v>
      </c>
      <c r="F186" s="4">
        <v>19.005612599999999</v>
      </c>
      <c r="G186">
        <v>72.831034599999995</v>
      </c>
      <c r="H186">
        <f t="shared" si="10"/>
        <v>7035</v>
      </c>
      <c r="I186" s="4">
        <f t="shared" si="11"/>
        <v>41875</v>
      </c>
      <c r="J186" s="6">
        <f t="shared" si="12"/>
        <v>350</v>
      </c>
      <c r="K186" s="6">
        <f t="shared" si="13"/>
        <v>14656250</v>
      </c>
      <c r="L186" s="3" t="str">
        <f t="shared" si="14"/>
        <v>Popular</v>
      </c>
    </row>
    <row r="187" spans="1:12">
      <c r="A187" t="s">
        <v>322</v>
      </c>
      <c r="B187" t="s">
        <v>331</v>
      </c>
      <c r="C187" s="4">
        <v>4.5999999999999996</v>
      </c>
      <c r="D187" s="4">
        <v>385</v>
      </c>
      <c r="E187" t="s">
        <v>332</v>
      </c>
      <c r="F187" s="4">
        <v>18.988186500000001</v>
      </c>
      <c r="G187">
        <v>72.824329599999999</v>
      </c>
      <c r="H187">
        <f t="shared" si="10"/>
        <v>1770.9999999999998</v>
      </c>
      <c r="I187" s="4">
        <f t="shared" si="11"/>
        <v>9625</v>
      </c>
      <c r="J187" s="6">
        <f t="shared" si="12"/>
        <v>450</v>
      </c>
      <c r="K187" s="6">
        <f t="shared" si="13"/>
        <v>4331250</v>
      </c>
      <c r="L187" s="3" t="str">
        <f t="shared" si="14"/>
        <v>Premium</v>
      </c>
    </row>
    <row r="188" spans="1:12">
      <c r="A188" t="s">
        <v>322</v>
      </c>
      <c r="B188" t="s">
        <v>123</v>
      </c>
      <c r="C188" s="4">
        <v>4.3</v>
      </c>
      <c r="D188" s="4">
        <v>2352</v>
      </c>
      <c r="E188" t="s">
        <v>285</v>
      </c>
      <c r="F188" s="4">
        <v>19.012695999999998</v>
      </c>
      <c r="G188">
        <v>72.823788999999906</v>
      </c>
      <c r="H188">
        <f t="shared" si="10"/>
        <v>10113.6</v>
      </c>
      <c r="I188" s="4">
        <f t="shared" si="11"/>
        <v>58800</v>
      </c>
      <c r="J188" s="6">
        <f t="shared" si="12"/>
        <v>350</v>
      </c>
      <c r="K188" s="6">
        <f t="shared" si="13"/>
        <v>20580000</v>
      </c>
      <c r="L188" s="3" t="str">
        <f t="shared" si="14"/>
        <v>Popular</v>
      </c>
    </row>
    <row r="189" spans="1:12">
      <c r="A189" t="s">
        <v>322</v>
      </c>
      <c r="B189" t="s">
        <v>333</v>
      </c>
      <c r="C189" s="4">
        <v>4.9000000000000004</v>
      </c>
      <c r="D189" s="4">
        <v>58</v>
      </c>
      <c r="E189" t="s">
        <v>334</v>
      </c>
      <c r="F189" s="4">
        <v>18.995413599999999</v>
      </c>
      <c r="G189">
        <v>72.822766599999994</v>
      </c>
      <c r="H189">
        <f t="shared" si="10"/>
        <v>284.20000000000005</v>
      </c>
      <c r="I189" s="4">
        <f t="shared" si="11"/>
        <v>1450</v>
      </c>
      <c r="J189" s="6">
        <f t="shared" si="12"/>
        <v>550</v>
      </c>
      <c r="K189" s="6">
        <f t="shared" si="13"/>
        <v>797500</v>
      </c>
      <c r="L189" s="3" t="str">
        <f t="shared" si="14"/>
        <v>Premium</v>
      </c>
    </row>
    <row r="190" spans="1:12">
      <c r="A190" t="s">
        <v>322</v>
      </c>
      <c r="B190" t="s">
        <v>222</v>
      </c>
      <c r="C190" s="4">
        <v>4.3</v>
      </c>
      <c r="D190" s="4">
        <v>2687</v>
      </c>
      <c r="E190" t="s">
        <v>223</v>
      </c>
      <c r="F190" s="4">
        <v>19.006262400000001</v>
      </c>
      <c r="G190">
        <v>72.840791799999906</v>
      </c>
      <c r="H190">
        <f t="shared" si="10"/>
        <v>11554.1</v>
      </c>
      <c r="I190" s="4">
        <f t="shared" si="11"/>
        <v>67175</v>
      </c>
      <c r="J190" s="6">
        <f t="shared" si="12"/>
        <v>350</v>
      </c>
      <c r="K190" s="6">
        <f t="shared" si="13"/>
        <v>23511250</v>
      </c>
      <c r="L190" s="3" t="str">
        <f t="shared" si="14"/>
        <v>Popular</v>
      </c>
    </row>
    <row r="191" spans="1:12">
      <c r="A191" t="s">
        <v>322</v>
      </c>
      <c r="B191" t="s">
        <v>260</v>
      </c>
      <c r="C191" s="4">
        <v>4.4000000000000004</v>
      </c>
      <c r="D191" s="4">
        <v>611</v>
      </c>
      <c r="E191" t="s">
        <v>261</v>
      </c>
      <c r="F191" s="4">
        <v>19.000219999999999</v>
      </c>
      <c r="G191">
        <v>72.830248999999995</v>
      </c>
      <c r="H191">
        <f t="shared" si="10"/>
        <v>2688.4</v>
      </c>
      <c r="I191" s="4">
        <f t="shared" si="11"/>
        <v>15275</v>
      </c>
      <c r="J191" s="6">
        <f t="shared" si="12"/>
        <v>450</v>
      </c>
      <c r="K191" s="6">
        <f t="shared" si="13"/>
        <v>6873750</v>
      </c>
      <c r="L191" s="3" t="str">
        <f t="shared" si="14"/>
        <v>Popular</v>
      </c>
    </row>
    <row r="192" spans="1:12">
      <c r="A192" t="s">
        <v>322</v>
      </c>
      <c r="B192" t="s">
        <v>275</v>
      </c>
      <c r="C192" s="4">
        <v>4.4000000000000004</v>
      </c>
      <c r="D192" s="4">
        <v>258</v>
      </c>
      <c r="E192" t="s">
        <v>276</v>
      </c>
      <c r="F192" s="4">
        <v>19.0012553</v>
      </c>
      <c r="G192">
        <v>72.829367599999998</v>
      </c>
      <c r="H192">
        <f t="shared" si="10"/>
        <v>1135.2</v>
      </c>
      <c r="I192" s="4">
        <f t="shared" si="11"/>
        <v>6450</v>
      </c>
      <c r="J192" s="6">
        <f t="shared" si="12"/>
        <v>450</v>
      </c>
      <c r="K192" s="6">
        <f t="shared" si="13"/>
        <v>2902500</v>
      </c>
      <c r="L192" s="3" t="str">
        <f t="shared" si="14"/>
        <v>Popular</v>
      </c>
    </row>
    <row r="193" spans="1:12">
      <c r="A193" t="s">
        <v>322</v>
      </c>
      <c r="B193" t="s">
        <v>335</v>
      </c>
      <c r="C193" s="4">
        <v>4.3</v>
      </c>
      <c r="D193" s="4">
        <v>190</v>
      </c>
      <c r="E193" t="s">
        <v>336</v>
      </c>
      <c r="F193" s="4">
        <v>19.006120200000002</v>
      </c>
      <c r="G193">
        <v>72.820299499999905</v>
      </c>
      <c r="H193">
        <f t="shared" si="10"/>
        <v>817</v>
      </c>
      <c r="I193" s="4">
        <f t="shared" si="11"/>
        <v>4750</v>
      </c>
      <c r="J193" s="6">
        <f t="shared" si="12"/>
        <v>350</v>
      </c>
      <c r="K193" s="6">
        <f t="shared" si="13"/>
        <v>1662500</v>
      </c>
      <c r="L193" s="3" t="str">
        <f t="shared" si="14"/>
        <v>Popular</v>
      </c>
    </row>
    <row r="194" spans="1:12">
      <c r="A194" t="s">
        <v>322</v>
      </c>
      <c r="B194" t="s">
        <v>337</v>
      </c>
      <c r="C194" s="4">
        <v>4.3</v>
      </c>
      <c r="D194" s="4">
        <v>7569</v>
      </c>
      <c r="E194" t="s">
        <v>338</v>
      </c>
      <c r="F194" s="4">
        <v>19.006134100000001</v>
      </c>
      <c r="G194">
        <v>72.827433299999996</v>
      </c>
      <c r="H194">
        <f t="shared" ref="H194:H257" si="15">C194*D194</f>
        <v>32546.699999999997</v>
      </c>
      <c r="I194" s="4">
        <f t="shared" ref="I194:I257" si="16">D194*25</f>
        <v>189225</v>
      </c>
      <c r="J194" s="6">
        <f t="shared" ref="J194:J257" si="17">IF(C194&gt;=4.7,550,IF(C194&gt;=4.4,450,IF(C194&gt;=O196,350,250)))</f>
        <v>350</v>
      </c>
      <c r="K194" s="6">
        <f t="shared" ref="K194:K257" si="18">I194*J194</f>
        <v>66228750</v>
      </c>
      <c r="L194" s="3" t="str">
        <f t="shared" ref="L194:L257" si="19">IF(C194&gt;=4.5,"Premium",IF(C194&gt;=4,"Popular","Average"))</f>
        <v>Popular</v>
      </c>
    </row>
    <row r="195" spans="1:12">
      <c r="A195" t="s">
        <v>322</v>
      </c>
      <c r="B195" t="s">
        <v>295</v>
      </c>
      <c r="C195" s="4">
        <v>4.5</v>
      </c>
      <c r="D195" s="4">
        <v>257</v>
      </c>
      <c r="E195" t="s">
        <v>296</v>
      </c>
      <c r="F195" s="4">
        <v>18.992530299999999</v>
      </c>
      <c r="G195">
        <v>72.831305799999996</v>
      </c>
      <c r="H195">
        <f t="shared" si="15"/>
        <v>1156.5</v>
      </c>
      <c r="I195" s="4">
        <f t="shared" si="16"/>
        <v>6425</v>
      </c>
      <c r="J195" s="6">
        <f t="shared" si="17"/>
        <v>450</v>
      </c>
      <c r="K195" s="6">
        <f t="shared" si="18"/>
        <v>2891250</v>
      </c>
      <c r="L195" s="3" t="str">
        <f t="shared" si="19"/>
        <v>Premium</v>
      </c>
    </row>
    <row r="196" spans="1:12">
      <c r="A196" t="s">
        <v>322</v>
      </c>
      <c r="B196" t="s">
        <v>286</v>
      </c>
      <c r="C196" s="4">
        <v>4.5999999999999996</v>
      </c>
      <c r="D196" s="4">
        <v>287</v>
      </c>
      <c r="E196" t="s">
        <v>287</v>
      </c>
      <c r="F196" s="4">
        <v>19.0067083</v>
      </c>
      <c r="G196">
        <v>72.832725499999995</v>
      </c>
      <c r="H196">
        <f t="shared" si="15"/>
        <v>1320.1999999999998</v>
      </c>
      <c r="I196" s="4">
        <f t="shared" si="16"/>
        <v>7175</v>
      </c>
      <c r="J196" s="6">
        <f t="shared" si="17"/>
        <v>450</v>
      </c>
      <c r="K196" s="6">
        <f t="shared" si="18"/>
        <v>3228750</v>
      </c>
      <c r="L196" s="3" t="str">
        <f t="shared" si="19"/>
        <v>Premium</v>
      </c>
    </row>
    <row r="197" spans="1:12">
      <c r="A197" t="s">
        <v>322</v>
      </c>
      <c r="B197" t="s">
        <v>339</v>
      </c>
      <c r="C197" s="4">
        <v>4.7</v>
      </c>
      <c r="D197" s="4">
        <v>6185</v>
      </c>
      <c r="E197" t="s">
        <v>340</v>
      </c>
      <c r="F197" s="4">
        <v>19.017247000000001</v>
      </c>
      <c r="G197">
        <v>72.817520999999999</v>
      </c>
      <c r="H197">
        <f t="shared" si="15"/>
        <v>29069.5</v>
      </c>
      <c r="I197" s="4">
        <f t="shared" si="16"/>
        <v>154625</v>
      </c>
      <c r="J197" s="6">
        <f t="shared" si="17"/>
        <v>550</v>
      </c>
      <c r="K197" s="6">
        <f t="shared" si="18"/>
        <v>85043750</v>
      </c>
      <c r="L197" s="3" t="str">
        <f t="shared" si="19"/>
        <v>Premium</v>
      </c>
    </row>
    <row r="198" spans="1:12">
      <c r="A198" t="s">
        <v>322</v>
      </c>
      <c r="B198" t="s">
        <v>341</v>
      </c>
      <c r="C198" s="4">
        <v>4.4000000000000004</v>
      </c>
      <c r="D198" s="4">
        <v>2782</v>
      </c>
      <c r="E198" t="s">
        <v>342</v>
      </c>
      <c r="F198" s="4">
        <v>19.002952799999999</v>
      </c>
      <c r="G198">
        <v>72.828035</v>
      </c>
      <c r="H198">
        <f t="shared" si="15"/>
        <v>12240.800000000001</v>
      </c>
      <c r="I198" s="4">
        <f t="shared" si="16"/>
        <v>69550</v>
      </c>
      <c r="J198" s="6">
        <f t="shared" si="17"/>
        <v>450</v>
      </c>
      <c r="K198" s="6">
        <f t="shared" si="18"/>
        <v>31297500</v>
      </c>
      <c r="L198" s="3" t="str">
        <f t="shared" si="19"/>
        <v>Popular</v>
      </c>
    </row>
    <row r="199" spans="1:12">
      <c r="A199" t="s">
        <v>322</v>
      </c>
      <c r="B199" t="s">
        <v>279</v>
      </c>
      <c r="C199" s="4">
        <v>4.4000000000000004</v>
      </c>
      <c r="D199" s="4">
        <v>176</v>
      </c>
      <c r="E199" t="s">
        <v>280</v>
      </c>
      <c r="F199" s="4">
        <v>19.0019192</v>
      </c>
      <c r="G199">
        <v>72.829302499999997</v>
      </c>
      <c r="H199">
        <f t="shared" si="15"/>
        <v>774.40000000000009</v>
      </c>
      <c r="I199" s="4">
        <f t="shared" si="16"/>
        <v>4400</v>
      </c>
      <c r="J199" s="6">
        <f t="shared" si="17"/>
        <v>450</v>
      </c>
      <c r="K199" s="6">
        <f t="shared" si="18"/>
        <v>1980000</v>
      </c>
      <c r="L199" s="3" t="str">
        <f t="shared" si="19"/>
        <v>Popular</v>
      </c>
    </row>
    <row r="200" spans="1:12">
      <c r="A200" t="s">
        <v>322</v>
      </c>
      <c r="B200" t="s">
        <v>343</v>
      </c>
      <c r="C200" s="4">
        <v>4.4000000000000004</v>
      </c>
      <c r="D200" s="4">
        <v>162</v>
      </c>
      <c r="E200" t="s">
        <v>344</v>
      </c>
      <c r="F200" s="4">
        <v>18.990999800000001</v>
      </c>
      <c r="G200">
        <v>72.814403799999994</v>
      </c>
      <c r="H200">
        <f t="shared" si="15"/>
        <v>712.80000000000007</v>
      </c>
      <c r="I200" s="4">
        <f t="shared" si="16"/>
        <v>4050</v>
      </c>
      <c r="J200" s="6">
        <f t="shared" si="17"/>
        <v>450</v>
      </c>
      <c r="K200" s="6">
        <f t="shared" si="18"/>
        <v>1822500</v>
      </c>
      <c r="L200" s="3" t="str">
        <f t="shared" si="19"/>
        <v>Popular</v>
      </c>
    </row>
    <row r="201" spans="1:12">
      <c r="A201" t="s">
        <v>322</v>
      </c>
      <c r="B201" t="s">
        <v>226</v>
      </c>
      <c r="C201" s="4">
        <v>4.8</v>
      </c>
      <c r="D201" s="4">
        <v>325</v>
      </c>
      <c r="E201" t="s">
        <v>227</v>
      </c>
      <c r="F201" s="4">
        <v>19.011390599999999</v>
      </c>
      <c r="G201">
        <v>72.835269199999999</v>
      </c>
      <c r="H201">
        <f t="shared" si="15"/>
        <v>1560</v>
      </c>
      <c r="I201" s="4">
        <f t="shared" si="16"/>
        <v>8125</v>
      </c>
      <c r="J201" s="6">
        <f t="shared" si="17"/>
        <v>550</v>
      </c>
      <c r="K201" s="6">
        <f t="shared" si="18"/>
        <v>4468750</v>
      </c>
      <c r="L201" s="3" t="str">
        <f t="shared" si="19"/>
        <v>Premium</v>
      </c>
    </row>
    <row r="202" spans="1:12">
      <c r="A202" t="s">
        <v>322</v>
      </c>
      <c r="B202" t="s">
        <v>345</v>
      </c>
      <c r="C202" s="4">
        <v>4.7</v>
      </c>
      <c r="D202" s="4">
        <v>12</v>
      </c>
      <c r="E202" t="s">
        <v>346</v>
      </c>
      <c r="F202" s="4">
        <v>19.016840800000001</v>
      </c>
      <c r="G202">
        <v>72.820503700000003</v>
      </c>
      <c r="H202">
        <f t="shared" si="15"/>
        <v>56.400000000000006</v>
      </c>
      <c r="I202" s="4">
        <f t="shared" si="16"/>
        <v>300</v>
      </c>
      <c r="J202" s="6">
        <f t="shared" si="17"/>
        <v>550</v>
      </c>
      <c r="K202" s="6">
        <f t="shared" si="18"/>
        <v>165000</v>
      </c>
      <c r="L202" s="3" t="str">
        <f t="shared" si="19"/>
        <v>Premium</v>
      </c>
    </row>
    <row r="203" spans="1:12">
      <c r="A203" t="s">
        <v>322</v>
      </c>
      <c r="B203" t="s">
        <v>347</v>
      </c>
      <c r="C203" s="4">
        <v>4.4000000000000004</v>
      </c>
      <c r="D203" s="4">
        <v>6031</v>
      </c>
      <c r="E203" t="s">
        <v>348</v>
      </c>
      <c r="F203" s="4">
        <v>19.005868199999998</v>
      </c>
      <c r="G203">
        <v>72.826654599999998</v>
      </c>
      <c r="H203">
        <f t="shared" si="15"/>
        <v>26536.400000000001</v>
      </c>
      <c r="I203" s="4">
        <f t="shared" si="16"/>
        <v>150775</v>
      </c>
      <c r="J203" s="6">
        <f t="shared" si="17"/>
        <v>450</v>
      </c>
      <c r="K203" s="6">
        <f t="shared" si="18"/>
        <v>67848750</v>
      </c>
      <c r="L203" s="3" t="str">
        <f t="shared" si="19"/>
        <v>Popular</v>
      </c>
    </row>
    <row r="204" spans="1:12">
      <c r="A204" t="s">
        <v>322</v>
      </c>
      <c r="B204" t="s">
        <v>349</v>
      </c>
      <c r="C204" s="4">
        <v>4.3</v>
      </c>
      <c r="D204" s="4">
        <v>5072</v>
      </c>
      <c r="E204" t="s">
        <v>350</v>
      </c>
      <c r="F204" s="4">
        <v>18.994710300000001</v>
      </c>
      <c r="G204">
        <v>72.824474199999997</v>
      </c>
      <c r="H204">
        <f t="shared" si="15"/>
        <v>21809.599999999999</v>
      </c>
      <c r="I204" s="4">
        <f t="shared" si="16"/>
        <v>126800</v>
      </c>
      <c r="J204" s="6">
        <f t="shared" si="17"/>
        <v>350</v>
      </c>
      <c r="K204" s="6">
        <f t="shared" si="18"/>
        <v>44380000</v>
      </c>
      <c r="L204" s="3" t="str">
        <f t="shared" si="19"/>
        <v>Popular</v>
      </c>
    </row>
    <row r="205" spans="1:12">
      <c r="A205" t="s">
        <v>322</v>
      </c>
      <c r="B205" t="s">
        <v>351</v>
      </c>
      <c r="C205" s="4">
        <v>3.8</v>
      </c>
      <c r="D205" s="4">
        <v>589</v>
      </c>
      <c r="E205" t="s">
        <v>352</v>
      </c>
      <c r="F205" s="4">
        <v>19.012530000000002</v>
      </c>
      <c r="G205">
        <v>72.822256099999905</v>
      </c>
      <c r="H205">
        <f t="shared" si="15"/>
        <v>2238.1999999999998</v>
      </c>
      <c r="I205" s="4">
        <f t="shared" si="16"/>
        <v>14725</v>
      </c>
      <c r="J205" s="6">
        <f t="shared" si="17"/>
        <v>350</v>
      </c>
      <c r="K205" s="6">
        <f t="shared" si="18"/>
        <v>5153750</v>
      </c>
      <c r="L205" s="3" t="str">
        <f t="shared" si="19"/>
        <v>Average</v>
      </c>
    </row>
    <row r="206" spans="1:12">
      <c r="A206" t="s">
        <v>322</v>
      </c>
      <c r="B206" t="s">
        <v>123</v>
      </c>
      <c r="C206" s="4">
        <v>4.5</v>
      </c>
      <c r="D206" s="4">
        <v>1547</v>
      </c>
      <c r="E206" t="s">
        <v>353</v>
      </c>
      <c r="F206" s="4">
        <v>19.005454400000001</v>
      </c>
      <c r="G206">
        <v>72.826074199999994</v>
      </c>
      <c r="H206">
        <f t="shared" si="15"/>
        <v>6961.5</v>
      </c>
      <c r="I206" s="4">
        <f t="shared" si="16"/>
        <v>38675</v>
      </c>
      <c r="J206" s="6">
        <f t="shared" si="17"/>
        <v>450</v>
      </c>
      <c r="K206" s="6">
        <f t="shared" si="18"/>
        <v>17403750</v>
      </c>
      <c r="L206" s="3" t="str">
        <f t="shared" si="19"/>
        <v>Premium</v>
      </c>
    </row>
    <row r="207" spans="1:12">
      <c r="A207" t="s">
        <v>322</v>
      </c>
      <c r="B207" t="s">
        <v>354</v>
      </c>
      <c r="C207" s="4">
        <v>4.4000000000000004</v>
      </c>
      <c r="D207" s="4">
        <v>637</v>
      </c>
      <c r="E207" t="s">
        <v>355</v>
      </c>
      <c r="F207" s="4">
        <v>18.998222999999999</v>
      </c>
      <c r="G207">
        <v>72.824360999999996</v>
      </c>
      <c r="H207">
        <f t="shared" si="15"/>
        <v>2802.8</v>
      </c>
      <c r="I207" s="4">
        <f t="shared" si="16"/>
        <v>15925</v>
      </c>
      <c r="J207" s="6">
        <f t="shared" si="17"/>
        <v>450</v>
      </c>
      <c r="K207" s="6">
        <f t="shared" si="18"/>
        <v>7166250</v>
      </c>
      <c r="L207" s="3" t="str">
        <f t="shared" si="19"/>
        <v>Popular</v>
      </c>
    </row>
    <row r="208" spans="1:12">
      <c r="A208" t="s">
        <v>322</v>
      </c>
      <c r="B208" t="s">
        <v>356</v>
      </c>
      <c r="C208" s="4">
        <v>4.5999999999999996</v>
      </c>
      <c r="D208" s="4">
        <v>120</v>
      </c>
      <c r="E208" t="s">
        <v>357</v>
      </c>
      <c r="F208" s="4">
        <v>18.998154899999999</v>
      </c>
      <c r="G208">
        <v>72.825471300000004</v>
      </c>
      <c r="H208">
        <f t="shared" si="15"/>
        <v>552</v>
      </c>
      <c r="I208" s="4">
        <f t="shared" si="16"/>
        <v>3000</v>
      </c>
      <c r="J208" s="6">
        <f t="shared" si="17"/>
        <v>450</v>
      </c>
      <c r="K208" s="6">
        <f t="shared" si="18"/>
        <v>1350000</v>
      </c>
      <c r="L208" s="3" t="str">
        <f t="shared" si="19"/>
        <v>Premium</v>
      </c>
    </row>
    <row r="209" spans="1:12">
      <c r="A209" t="s">
        <v>322</v>
      </c>
      <c r="B209" t="s">
        <v>214</v>
      </c>
      <c r="C209" s="4">
        <v>4.5999999999999996</v>
      </c>
      <c r="D209" s="4">
        <v>375</v>
      </c>
      <c r="E209" t="s">
        <v>215</v>
      </c>
      <c r="F209" s="4">
        <v>19.015682699999999</v>
      </c>
      <c r="G209">
        <v>72.837904899999998</v>
      </c>
      <c r="H209">
        <f t="shared" si="15"/>
        <v>1724.9999999999998</v>
      </c>
      <c r="I209" s="4">
        <f t="shared" si="16"/>
        <v>9375</v>
      </c>
      <c r="J209" s="6">
        <f t="shared" si="17"/>
        <v>450</v>
      </c>
      <c r="K209" s="6">
        <f t="shared" si="18"/>
        <v>4218750</v>
      </c>
      <c r="L209" s="3" t="str">
        <f t="shared" si="19"/>
        <v>Premium</v>
      </c>
    </row>
    <row r="210" spans="1:12">
      <c r="A210" t="s">
        <v>322</v>
      </c>
      <c r="B210" t="s">
        <v>358</v>
      </c>
      <c r="C210" s="4">
        <v>4.3</v>
      </c>
      <c r="D210" s="4">
        <v>290</v>
      </c>
      <c r="E210" t="s">
        <v>359</v>
      </c>
      <c r="F210" s="4">
        <v>18.9947512</v>
      </c>
      <c r="G210">
        <v>72.824594099999999</v>
      </c>
      <c r="H210">
        <f t="shared" si="15"/>
        <v>1247</v>
      </c>
      <c r="I210" s="4">
        <f t="shared" si="16"/>
        <v>7250</v>
      </c>
      <c r="J210" s="6">
        <f t="shared" si="17"/>
        <v>350</v>
      </c>
      <c r="K210" s="6">
        <f t="shared" si="18"/>
        <v>2537500</v>
      </c>
      <c r="L210" s="3" t="str">
        <f t="shared" si="19"/>
        <v>Popular</v>
      </c>
    </row>
    <row r="211" spans="1:12">
      <c r="A211" t="s">
        <v>322</v>
      </c>
      <c r="B211" t="s">
        <v>360</v>
      </c>
      <c r="C211" s="4">
        <v>4.2</v>
      </c>
      <c r="D211" s="4">
        <v>414</v>
      </c>
      <c r="E211" t="s">
        <v>361</v>
      </c>
      <c r="F211" s="4">
        <v>18.9927408</v>
      </c>
      <c r="G211">
        <v>72.822006199999905</v>
      </c>
      <c r="H211">
        <f t="shared" si="15"/>
        <v>1738.8000000000002</v>
      </c>
      <c r="I211" s="4">
        <f t="shared" si="16"/>
        <v>10350</v>
      </c>
      <c r="J211" s="6">
        <f t="shared" si="17"/>
        <v>350</v>
      </c>
      <c r="K211" s="6">
        <f t="shared" si="18"/>
        <v>3622500</v>
      </c>
      <c r="L211" s="3" t="str">
        <f t="shared" si="19"/>
        <v>Popular</v>
      </c>
    </row>
    <row r="212" spans="1:12">
      <c r="A212" t="s">
        <v>322</v>
      </c>
      <c r="B212" t="s">
        <v>94</v>
      </c>
      <c r="C212" s="4">
        <v>4.4000000000000004</v>
      </c>
      <c r="D212" s="4">
        <v>507</v>
      </c>
      <c r="E212" t="s">
        <v>362</v>
      </c>
      <c r="F212" s="4">
        <v>18.9942125</v>
      </c>
      <c r="G212">
        <v>72.824110300000001</v>
      </c>
      <c r="H212">
        <f t="shared" si="15"/>
        <v>2230.8000000000002</v>
      </c>
      <c r="I212" s="4">
        <f t="shared" si="16"/>
        <v>12675</v>
      </c>
      <c r="J212" s="6">
        <f t="shared" si="17"/>
        <v>450</v>
      </c>
      <c r="K212" s="6">
        <f t="shared" si="18"/>
        <v>5703750</v>
      </c>
      <c r="L212" s="3" t="str">
        <f t="shared" si="19"/>
        <v>Popular</v>
      </c>
    </row>
    <row r="213" spans="1:12">
      <c r="A213" t="s">
        <v>322</v>
      </c>
      <c r="B213" t="s">
        <v>208</v>
      </c>
      <c r="C213" s="4">
        <v>4.0999999999999996</v>
      </c>
      <c r="D213" s="4">
        <v>8457</v>
      </c>
      <c r="E213" t="s">
        <v>209</v>
      </c>
      <c r="F213" s="4">
        <v>19.0168049</v>
      </c>
      <c r="G213">
        <v>72.846186899999907</v>
      </c>
      <c r="H213">
        <f t="shared" si="15"/>
        <v>34673.699999999997</v>
      </c>
      <c r="I213" s="4">
        <f t="shared" si="16"/>
        <v>211425</v>
      </c>
      <c r="J213" s="6">
        <f t="shared" si="17"/>
        <v>350</v>
      </c>
      <c r="K213" s="6">
        <f t="shared" si="18"/>
        <v>73998750</v>
      </c>
      <c r="L213" s="3" t="str">
        <f t="shared" si="19"/>
        <v>Popular</v>
      </c>
    </row>
    <row r="214" spans="1:12">
      <c r="A214" t="s">
        <v>322</v>
      </c>
      <c r="B214" t="s">
        <v>190</v>
      </c>
      <c r="C214" s="4">
        <v>4.4000000000000004</v>
      </c>
      <c r="D214" s="4">
        <v>1081</v>
      </c>
      <c r="E214" t="s">
        <v>363</v>
      </c>
      <c r="F214" s="4">
        <v>19.0041689</v>
      </c>
      <c r="G214">
        <v>72.8275589</v>
      </c>
      <c r="H214">
        <f t="shared" si="15"/>
        <v>4756.4000000000005</v>
      </c>
      <c r="I214" s="4">
        <f t="shared" si="16"/>
        <v>27025</v>
      </c>
      <c r="J214" s="6">
        <f t="shared" si="17"/>
        <v>450</v>
      </c>
      <c r="K214" s="6">
        <f t="shared" si="18"/>
        <v>12161250</v>
      </c>
      <c r="L214" s="3" t="str">
        <f t="shared" si="19"/>
        <v>Popular</v>
      </c>
    </row>
    <row r="215" spans="1:12">
      <c r="A215" t="s">
        <v>322</v>
      </c>
      <c r="B215" t="s">
        <v>364</v>
      </c>
      <c r="C215" s="4">
        <v>4.0999999999999996</v>
      </c>
      <c r="D215" s="4">
        <v>3322</v>
      </c>
      <c r="E215" t="s">
        <v>365</v>
      </c>
      <c r="F215" s="4">
        <v>18.994436400000001</v>
      </c>
      <c r="G215">
        <v>72.824665999999993</v>
      </c>
      <c r="H215">
        <f t="shared" si="15"/>
        <v>13620.199999999999</v>
      </c>
      <c r="I215" s="4">
        <f t="shared" si="16"/>
        <v>83050</v>
      </c>
      <c r="J215" s="6">
        <f t="shared" si="17"/>
        <v>350</v>
      </c>
      <c r="K215" s="6">
        <f t="shared" si="18"/>
        <v>29067500</v>
      </c>
      <c r="L215" s="3" t="str">
        <f t="shared" si="19"/>
        <v>Popular</v>
      </c>
    </row>
    <row r="216" spans="1:12">
      <c r="A216" t="s">
        <v>322</v>
      </c>
      <c r="B216" t="s">
        <v>366</v>
      </c>
      <c r="C216" s="4">
        <v>4.8</v>
      </c>
      <c r="D216" s="4">
        <v>46</v>
      </c>
      <c r="E216" t="s">
        <v>367</v>
      </c>
      <c r="F216" s="4">
        <v>19.006212999999999</v>
      </c>
      <c r="G216">
        <v>72.821799400000003</v>
      </c>
      <c r="H216">
        <f t="shared" si="15"/>
        <v>220.79999999999998</v>
      </c>
      <c r="I216" s="4">
        <f t="shared" si="16"/>
        <v>1150</v>
      </c>
      <c r="J216" s="6">
        <f t="shared" si="17"/>
        <v>550</v>
      </c>
      <c r="K216" s="6">
        <f t="shared" si="18"/>
        <v>632500</v>
      </c>
      <c r="L216" s="3" t="str">
        <f t="shared" si="19"/>
        <v>Premium</v>
      </c>
    </row>
    <row r="217" spans="1:12">
      <c r="A217" t="s">
        <v>322</v>
      </c>
      <c r="B217" t="s">
        <v>368</v>
      </c>
      <c r="C217" s="4">
        <v>4.3</v>
      </c>
      <c r="D217" s="4">
        <v>6020</v>
      </c>
      <c r="E217" t="s">
        <v>369</v>
      </c>
      <c r="F217" s="4">
        <v>18.989159399999998</v>
      </c>
      <c r="G217">
        <v>72.814945699999996</v>
      </c>
      <c r="H217">
        <f t="shared" si="15"/>
        <v>25886</v>
      </c>
      <c r="I217" s="4">
        <f t="shared" si="16"/>
        <v>150500</v>
      </c>
      <c r="J217" s="6">
        <f t="shared" si="17"/>
        <v>350</v>
      </c>
      <c r="K217" s="6">
        <f t="shared" si="18"/>
        <v>52675000</v>
      </c>
      <c r="L217" s="3" t="str">
        <f t="shared" si="19"/>
        <v>Popular</v>
      </c>
    </row>
    <row r="218" spans="1:12">
      <c r="A218" t="s">
        <v>322</v>
      </c>
      <c r="B218" t="s">
        <v>212</v>
      </c>
      <c r="C218" s="4">
        <v>4.2</v>
      </c>
      <c r="D218" s="4">
        <v>1898</v>
      </c>
      <c r="E218" t="s">
        <v>213</v>
      </c>
      <c r="F218" s="4">
        <v>19.028188100000001</v>
      </c>
      <c r="G218">
        <v>72.841099</v>
      </c>
      <c r="H218">
        <f t="shared" si="15"/>
        <v>7971.6</v>
      </c>
      <c r="I218" s="4">
        <f t="shared" si="16"/>
        <v>47450</v>
      </c>
      <c r="J218" s="6">
        <f t="shared" si="17"/>
        <v>350</v>
      </c>
      <c r="K218" s="6">
        <f t="shared" si="18"/>
        <v>16607500</v>
      </c>
      <c r="L218" s="3" t="str">
        <f t="shared" si="19"/>
        <v>Popular</v>
      </c>
    </row>
    <row r="219" spans="1:12">
      <c r="A219" t="s">
        <v>322</v>
      </c>
      <c r="B219" t="s">
        <v>123</v>
      </c>
      <c r="C219" s="4">
        <v>4.3</v>
      </c>
      <c r="D219" s="4">
        <v>1526</v>
      </c>
      <c r="E219" t="s">
        <v>370</v>
      </c>
      <c r="F219" s="4">
        <v>18.991372800000001</v>
      </c>
      <c r="G219">
        <v>72.814237499999905</v>
      </c>
      <c r="H219">
        <f t="shared" si="15"/>
        <v>6561.8</v>
      </c>
      <c r="I219" s="4">
        <f t="shared" si="16"/>
        <v>38150</v>
      </c>
      <c r="J219" s="6">
        <f t="shared" si="17"/>
        <v>350</v>
      </c>
      <c r="K219" s="6">
        <f t="shared" si="18"/>
        <v>13352500</v>
      </c>
      <c r="L219" s="3" t="str">
        <f t="shared" si="19"/>
        <v>Popular</v>
      </c>
    </row>
    <row r="220" spans="1:12">
      <c r="A220" t="s">
        <v>322</v>
      </c>
      <c r="B220" t="s">
        <v>250</v>
      </c>
      <c r="C220" s="4">
        <v>4.2</v>
      </c>
      <c r="D220" s="4">
        <v>4162</v>
      </c>
      <c r="E220" t="s">
        <v>251</v>
      </c>
      <c r="F220" s="4">
        <v>19.031528699999999</v>
      </c>
      <c r="G220">
        <v>72.838803900000002</v>
      </c>
      <c r="H220">
        <f t="shared" si="15"/>
        <v>17480.400000000001</v>
      </c>
      <c r="I220" s="4">
        <f t="shared" si="16"/>
        <v>104050</v>
      </c>
      <c r="J220" s="6">
        <f t="shared" si="17"/>
        <v>350</v>
      </c>
      <c r="K220" s="6">
        <f t="shared" si="18"/>
        <v>36417500</v>
      </c>
      <c r="L220" s="3" t="str">
        <f t="shared" si="19"/>
        <v>Popular</v>
      </c>
    </row>
    <row r="221" spans="1:12">
      <c r="A221" t="s">
        <v>322</v>
      </c>
      <c r="B221" t="s">
        <v>371</v>
      </c>
      <c r="C221" s="4">
        <v>4.5</v>
      </c>
      <c r="D221" s="4">
        <v>121</v>
      </c>
      <c r="E221" t="s">
        <v>372</v>
      </c>
      <c r="F221" s="4">
        <v>18.9893839</v>
      </c>
      <c r="G221">
        <v>72.834759599999998</v>
      </c>
      <c r="H221">
        <f t="shared" si="15"/>
        <v>544.5</v>
      </c>
      <c r="I221" s="4">
        <f t="shared" si="16"/>
        <v>3025</v>
      </c>
      <c r="J221" s="6">
        <f t="shared" si="17"/>
        <v>450</v>
      </c>
      <c r="K221" s="6">
        <f t="shared" si="18"/>
        <v>1361250</v>
      </c>
      <c r="L221" s="3" t="str">
        <f t="shared" si="19"/>
        <v>Premium</v>
      </c>
    </row>
    <row r="222" spans="1:12">
      <c r="A222" t="s">
        <v>322</v>
      </c>
      <c r="B222" t="s">
        <v>373</v>
      </c>
      <c r="C222" s="4">
        <v>4.5999999999999996</v>
      </c>
      <c r="D222" s="4">
        <v>48</v>
      </c>
      <c r="E222" t="s">
        <v>374</v>
      </c>
      <c r="F222" s="4">
        <v>19.003741300000002</v>
      </c>
      <c r="G222">
        <v>72.814806199999893</v>
      </c>
      <c r="H222">
        <f t="shared" si="15"/>
        <v>220.79999999999998</v>
      </c>
      <c r="I222" s="4">
        <f t="shared" si="16"/>
        <v>1200</v>
      </c>
      <c r="J222" s="6">
        <f t="shared" si="17"/>
        <v>450</v>
      </c>
      <c r="K222" s="6">
        <f t="shared" si="18"/>
        <v>540000</v>
      </c>
      <c r="L222" s="3" t="str">
        <f t="shared" si="19"/>
        <v>Premium</v>
      </c>
    </row>
    <row r="223" spans="1:12">
      <c r="A223" t="s">
        <v>322</v>
      </c>
      <c r="B223" t="s">
        <v>375</v>
      </c>
      <c r="C223" s="4">
        <v>4.3</v>
      </c>
      <c r="D223" s="4">
        <v>17</v>
      </c>
      <c r="E223" t="s">
        <v>376</v>
      </c>
      <c r="F223" s="4">
        <v>18.988290500000002</v>
      </c>
      <c r="G223">
        <v>72.824456900000001</v>
      </c>
      <c r="H223">
        <f t="shared" si="15"/>
        <v>73.099999999999994</v>
      </c>
      <c r="I223" s="4">
        <f t="shared" si="16"/>
        <v>425</v>
      </c>
      <c r="J223" s="6">
        <f t="shared" si="17"/>
        <v>350</v>
      </c>
      <c r="K223" s="6">
        <f t="shared" si="18"/>
        <v>148750</v>
      </c>
      <c r="L223" s="3" t="str">
        <f t="shared" si="19"/>
        <v>Popular</v>
      </c>
    </row>
    <row r="224" spans="1:12">
      <c r="A224" t="s">
        <v>322</v>
      </c>
      <c r="B224" t="s">
        <v>377</v>
      </c>
      <c r="C224" s="4">
        <v>4.2</v>
      </c>
      <c r="D224" s="4">
        <v>102</v>
      </c>
      <c r="E224" t="s">
        <v>378</v>
      </c>
      <c r="F224" s="4">
        <v>18.987947900000002</v>
      </c>
      <c r="G224">
        <v>72.828720199999907</v>
      </c>
      <c r="H224">
        <f t="shared" si="15"/>
        <v>428.40000000000003</v>
      </c>
      <c r="I224" s="4">
        <f t="shared" si="16"/>
        <v>2550</v>
      </c>
      <c r="J224" s="6">
        <f t="shared" si="17"/>
        <v>350</v>
      </c>
      <c r="K224" s="6">
        <f t="shared" si="18"/>
        <v>892500</v>
      </c>
      <c r="L224" s="3" t="str">
        <f t="shared" si="19"/>
        <v>Popular</v>
      </c>
    </row>
    <row r="225" spans="1:12">
      <c r="A225" t="s">
        <v>322</v>
      </c>
      <c r="B225" t="s">
        <v>379</v>
      </c>
      <c r="C225" s="4">
        <v>4.4000000000000004</v>
      </c>
      <c r="D225" s="4">
        <v>582</v>
      </c>
      <c r="E225" t="s">
        <v>380</v>
      </c>
      <c r="F225" s="4">
        <v>19.0490016</v>
      </c>
      <c r="G225">
        <v>72.823651999999996</v>
      </c>
      <c r="H225">
        <f t="shared" si="15"/>
        <v>2560.8000000000002</v>
      </c>
      <c r="I225" s="4">
        <f t="shared" si="16"/>
        <v>14550</v>
      </c>
      <c r="J225" s="6">
        <f t="shared" si="17"/>
        <v>450</v>
      </c>
      <c r="K225" s="6">
        <f t="shared" si="18"/>
        <v>6547500</v>
      </c>
      <c r="L225" s="3" t="str">
        <f t="shared" si="19"/>
        <v>Popular</v>
      </c>
    </row>
    <row r="226" spans="1:12">
      <c r="A226" t="s">
        <v>322</v>
      </c>
      <c r="B226" t="s">
        <v>381</v>
      </c>
      <c r="C226" s="4">
        <v>3.8</v>
      </c>
      <c r="D226" s="4">
        <v>5</v>
      </c>
      <c r="E226" t="s">
        <v>382</v>
      </c>
      <c r="F226" s="4">
        <v>18.9886649</v>
      </c>
      <c r="G226">
        <v>72.815400999999994</v>
      </c>
      <c r="H226">
        <f t="shared" si="15"/>
        <v>19</v>
      </c>
      <c r="I226" s="4">
        <f t="shared" si="16"/>
        <v>125</v>
      </c>
      <c r="J226" s="6">
        <f t="shared" si="17"/>
        <v>350</v>
      </c>
      <c r="K226" s="6">
        <f t="shared" si="18"/>
        <v>43750</v>
      </c>
      <c r="L226" s="3" t="str">
        <f t="shared" si="19"/>
        <v>Average</v>
      </c>
    </row>
    <row r="227" spans="1:12">
      <c r="A227" t="s">
        <v>322</v>
      </c>
      <c r="B227" t="s">
        <v>383</v>
      </c>
      <c r="C227" s="4">
        <v>3.9</v>
      </c>
      <c r="D227" s="4">
        <v>975</v>
      </c>
      <c r="E227" t="s">
        <v>384</v>
      </c>
      <c r="F227" s="4">
        <v>19.013422899999998</v>
      </c>
      <c r="G227">
        <v>72.827512099999893</v>
      </c>
      <c r="H227">
        <f t="shared" si="15"/>
        <v>3802.5</v>
      </c>
      <c r="I227" s="4">
        <f t="shared" si="16"/>
        <v>24375</v>
      </c>
      <c r="J227" s="6">
        <f t="shared" si="17"/>
        <v>350</v>
      </c>
      <c r="K227" s="6">
        <f t="shared" si="18"/>
        <v>8531250</v>
      </c>
      <c r="L227" s="3" t="str">
        <f t="shared" si="19"/>
        <v>Average</v>
      </c>
    </row>
    <row r="228" spans="1:12">
      <c r="A228" t="s">
        <v>322</v>
      </c>
      <c r="B228" t="s">
        <v>385</v>
      </c>
      <c r="C228" s="4">
        <v>4.3</v>
      </c>
      <c r="D228" s="4">
        <v>8397</v>
      </c>
      <c r="E228" t="s">
        <v>386</v>
      </c>
      <c r="F228" s="4">
        <v>18.9882861</v>
      </c>
      <c r="G228">
        <v>72.814170399999995</v>
      </c>
      <c r="H228">
        <f t="shared" si="15"/>
        <v>36107.1</v>
      </c>
      <c r="I228" s="4">
        <f t="shared" si="16"/>
        <v>209925</v>
      </c>
      <c r="J228" s="6">
        <f t="shared" si="17"/>
        <v>350</v>
      </c>
      <c r="K228" s="6">
        <f t="shared" si="18"/>
        <v>73473750</v>
      </c>
      <c r="L228" s="3" t="str">
        <f t="shared" si="19"/>
        <v>Popular</v>
      </c>
    </row>
    <row r="229" spans="1:12">
      <c r="A229" t="s">
        <v>322</v>
      </c>
      <c r="B229" t="s">
        <v>387</v>
      </c>
      <c r="C229" s="4">
        <v>4.2</v>
      </c>
      <c r="D229" s="4">
        <v>11</v>
      </c>
      <c r="E229" t="s">
        <v>388</v>
      </c>
      <c r="F229" s="4">
        <v>18.985974299999999</v>
      </c>
      <c r="G229">
        <v>72.815636999999995</v>
      </c>
      <c r="H229">
        <f t="shared" si="15"/>
        <v>46.2</v>
      </c>
      <c r="I229" s="4">
        <f t="shared" si="16"/>
        <v>275</v>
      </c>
      <c r="J229" s="6">
        <f t="shared" si="17"/>
        <v>350</v>
      </c>
      <c r="K229" s="6">
        <f t="shared" si="18"/>
        <v>96250</v>
      </c>
      <c r="L229" s="3" t="str">
        <f t="shared" si="19"/>
        <v>Popular</v>
      </c>
    </row>
    <row r="230" spans="1:12">
      <c r="A230" t="s">
        <v>322</v>
      </c>
      <c r="B230" t="s">
        <v>389</v>
      </c>
      <c r="C230" s="4">
        <v>4.5</v>
      </c>
      <c r="D230" s="4">
        <v>37</v>
      </c>
      <c r="E230" t="s">
        <v>390</v>
      </c>
      <c r="F230" s="4">
        <v>18.993870099999999</v>
      </c>
      <c r="G230">
        <v>72.8241522</v>
      </c>
      <c r="H230">
        <f t="shared" si="15"/>
        <v>166.5</v>
      </c>
      <c r="I230" s="4">
        <f t="shared" si="16"/>
        <v>925</v>
      </c>
      <c r="J230" s="6">
        <f t="shared" si="17"/>
        <v>450</v>
      </c>
      <c r="K230" s="6">
        <f t="shared" si="18"/>
        <v>416250</v>
      </c>
      <c r="L230" s="3" t="str">
        <f t="shared" si="19"/>
        <v>Premium</v>
      </c>
    </row>
    <row r="231" spans="1:12">
      <c r="A231" t="s">
        <v>322</v>
      </c>
      <c r="B231" t="s">
        <v>391</v>
      </c>
      <c r="C231" s="4">
        <v>4.2</v>
      </c>
      <c r="D231" s="4">
        <v>5</v>
      </c>
      <c r="E231" t="s">
        <v>392</v>
      </c>
      <c r="F231" s="4">
        <v>18.9985103</v>
      </c>
      <c r="G231">
        <v>72.817853200000002</v>
      </c>
      <c r="H231">
        <f t="shared" si="15"/>
        <v>21</v>
      </c>
      <c r="I231" s="4">
        <f t="shared" si="16"/>
        <v>125</v>
      </c>
      <c r="J231" s="6">
        <f t="shared" si="17"/>
        <v>350</v>
      </c>
      <c r="K231" s="6">
        <f t="shared" si="18"/>
        <v>43750</v>
      </c>
      <c r="L231" s="3" t="str">
        <f t="shared" si="19"/>
        <v>Popular</v>
      </c>
    </row>
    <row r="232" spans="1:12">
      <c r="A232" t="s">
        <v>322</v>
      </c>
      <c r="B232" t="s">
        <v>393</v>
      </c>
      <c r="C232" s="4">
        <v>4.4000000000000004</v>
      </c>
      <c r="D232" s="4">
        <v>2739</v>
      </c>
      <c r="E232" t="s">
        <v>394</v>
      </c>
      <c r="F232" s="4">
        <v>18.993742399999999</v>
      </c>
      <c r="G232">
        <v>72.8202742</v>
      </c>
      <c r="H232">
        <f t="shared" si="15"/>
        <v>12051.6</v>
      </c>
      <c r="I232" s="4">
        <f t="shared" si="16"/>
        <v>68475</v>
      </c>
      <c r="J232" s="6">
        <f t="shared" si="17"/>
        <v>450</v>
      </c>
      <c r="K232" s="6">
        <f t="shared" si="18"/>
        <v>30813750</v>
      </c>
      <c r="L232" s="3" t="str">
        <f t="shared" si="19"/>
        <v>Popular</v>
      </c>
    </row>
    <row r="233" spans="1:12">
      <c r="A233" t="s">
        <v>322</v>
      </c>
      <c r="B233" t="s">
        <v>395</v>
      </c>
      <c r="C233" s="4">
        <v>4.5</v>
      </c>
      <c r="D233" s="4">
        <v>71</v>
      </c>
      <c r="E233" t="s">
        <v>396</v>
      </c>
      <c r="F233" s="4">
        <v>18.9987897</v>
      </c>
      <c r="G233">
        <v>72.839302599999996</v>
      </c>
      <c r="H233">
        <f t="shared" si="15"/>
        <v>319.5</v>
      </c>
      <c r="I233" s="4">
        <f t="shared" si="16"/>
        <v>1775</v>
      </c>
      <c r="J233" s="6">
        <f t="shared" si="17"/>
        <v>450</v>
      </c>
      <c r="K233" s="6">
        <f t="shared" si="18"/>
        <v>798750</v>
      </c>
      <c r="L233" s="3" t="str">
        <f t="shared" si="19"/>
        <v>Premium</v>
      </c>
    </row>
    <row r="234" spans="1:12">
      <c r="A234" t="s">
        <v>322</v>
      </c>
      <c r="B234" t="s">
        <v>397</v>
      </c>
      <c r="C234" s="4">
        <v>4.2</v>
      </c>
      <c r="D234" s="4">
        <v>853</v>
      </c>
      <c r="E234" t="s">
        <v>398</v>
      </c>
      <c r="F234" s="4">
        <v>19.002875400000001</v>
      </c>
      <c r="G234">
        <v>72.828747300000003</v>
      </c>
      <c r="H234">
        <f t="shared" si="15"/>
        <v>3582.6000000000004</v>
      </c>
      <c r="I234" s="4">
        <f t="shared" si="16"/>
        <v>21325</v>
      </c>
      <c r="J234" s="6">
        <f t="shared" si="17"/>
        <v>350</v>
      </c>
      <c r="K234" s="6">
        <f t="shared" si="18"/>
        <v>7463750</v>
      </c>
      <c r="L234" s="3" t="str">
        <f t="shared" si="19"/>
        <v>Popular</v>
      </c>
    </row>
    <row r="235" spans="1:12">
      <c r="A235" t="s">
        <v>322</v>
      </c>
      <c r="B235" t="s">
        <v>123</v>
      </c>
      <c r="C235" s="4">
        <v>4.4000000000000004</v>
      </c>
      <c r="D235" s="4">
        <v>789</v>
      </c>
      <c r="E235" t="s">
        <v>317</v>
      </c>
      <c r="F235" s="4">
        <v>19.010279499999999</v>
      </c>
      <c r="G235">
        <v>72.835153300000002</v>
      </c>
      <c r="H235">
        <f t="shared" si="15"/>
        <v>3471.6000000000004</v>
      </c>
      <c r="I235" s="4">
        <f t="shared" si="16"/>
        <v>19725</v>
      </c>
      <c r="J235" s="6">
        <f t="shared" si="17"/>
        <v>450</v>
      </c>
      <c r="K235" s="6">
        <f t="shared" si="18"/>
        <v>8876250</v>
      </c>
      <c r="L235" s="3" t="str">
        <f t="shared" si="19"/>
        <v>Popular</v>
      </c>
    </row>
    <row r="236" spans="1:12">
      <c r="A236" t="s">
        <v>322</v>
      </c>
      <c r="B236" t="s">
        <v>399</v>
      </c>
      <c r="C236" s="4">
        <v>4.5</v>
      </c>
      <c r="D236" s="4">
        <v>6</v>
      </c>
      <c r="E236" t="s">
        <v>400</v>
      </c>
      <c r="F236" s="4">
        <v>19.002970900000001</v>
      </c>
      <c r="G236">
        <v>72.822246399999997</v>
      </c>
      <c r="H236">
        <f t="shared" si="15"/>
        <v>27</v>
      </c>
      <c r="I236" s="4">
        <f t="shared" si="16"/>
        <v>150</v>
      </c>
      <c r="J236" s="6">
        <f t="shared" si="17"/>
        <v>450</v>
      </c>
      <c r="K236" s="6">
        <f t="shared" si="18"/>
        <v>67500</v>
      </c>
      <c r="L236" s="3" t="str">
        <f t="shared" si="19"/>
        <v>Premium</v>
      </c>
    </row>
    <row r="237" spans="1:12">
      <c r="A237" t="s">
        <v>322</v>
      </c>
      <c r="B237" t="s">
        <v>232</v>
      </c>
      <c r="C237" s="4">
        <v>4.5</v>
      </c>
      <c r="D237" s="4">
        <v>92</v>
      </c>
      <c r="E237" t="s">
        <v>233</v>
      </c>
      <c r="F237" s="4">
        <v>19.025475799999999</v>
      </c>
      <c r="G237">
        <v>72.835516999999996</v>
      </c>
      <c r="H237">
        <f t="shared" si="15"/>
        <v>414</v>
      </c>
      <c r="I237" s="4">
        <f t="shared" si="16"/>
        <v>2300</v>
      </c>
      <c r="J237" s="6">
        <f t="shared" si="17"/>
        <v>450</v>
      </c>
      <c r="K237" s="6">
        <f t="shared" si="18"/>
        <v>1035000</v>
      </c>
      <c r="L237" s="3" t="str">
        <f t="shared" si="19"/>
        <v>Premium</v>
      </c>
    </row>
    <row r="238" spans="1:12">
      <c r="A238" t="s">
        <v>322</v>
      </c>
      <c r="B238" t="s">
        <v>401</v>
      </c>
      <c r="C238" s="4">
        <v>4.0999999999999996</v>
      </c>
      <c r="D238" s="4">
        <v>96</v>
      </c>
      <c r="E238" t="s">
        <v>402</v>
      </c>
      <c r="F238" s="4">
        <v>19.0103735</v>
      </c>
      <c r="G238">
        <v>72.822487699999996</v>
      </c>
      <c r="H238">
        <f t="shared" si="15"/>
        <v>393.59999999999997</v>
      </c>
      <c r="I238" s="4">
        <f t="shared" si="16"/>
        <v>2400</v>
      </c>
      <c r="J238" s="6">
        <f t="shared" si="17"/>
        <v>350</v>
      </c>
      <c r="K238" s="6">
        <f t="shared" si="18"/>
        <v>840000</v>
      </c>
      <c r="L238" s="3" t="str">
        <f t="shared" si="19"/>
        <v>Popular</v>
      </c>
    </row>
    <row r="239" spans="1:12">
      <c r="A239" t="s">
        <v>322</v>
      </c>
      <c r="B239" t="s">
        <v>403</v>
      </c>
      <c r="C239" s="4">
        <v>4.4000000000000004</v>
      </c>
      <c r="D239" s="4">
        <v>58</v>
      </c>
      <c r="E239" t="s">
        <v>404</v>
      </c>
      <c r="F239" s="4">
        <v>19.005611300000002</v>
      </c>
      <c r="G239">
        <v>72.827450599999906</v>
      </c>
      <c r="H239">
        <f t="shared" si="15"/>
        <v>255.20000000000002</v>
      </c>
      <c r="I239" s="4">
        <f t="shared" si="16"/>
        <v>1450</v>
      </c>
      <c r="J239" s="6">
        <f t="shared" si="17"/>
        <v>450</v>
      </c>
      <c r="K239" s="6">
        <f t="shared" si="18"/>
        <v>652500</v>
      </c>
      <c r="L239" s="3" t="str">
        <f t="shared" si="19"/>
        <v>Popular</v>
      </c>
    </row>
    <row r="240" spans="1:12">
      <c r="A240" t="s">
        <v>322</v>
      </c>
      <c r="B240" t="s">
        <v>405</v>
      </c>
      <c r="C240" s="4">
        <v>4.3</v>
      </c>
      <c r="D240" s="4">
        <v>3054</v>
      </c>
      <c r="E240" t="s">
        <v>406</v>
      </c>
      <c r="F240" s="4">
        <v>19.0025054</v>
      </c>
      <c r="G240">
        <v>72.8294298</v>
      </c>
      <c r="H240">
        <f t="shared" si="15"/>
        <v>13132.199999999999</v>
      </c>
      <c r="I240" s="4">
        <f t="shared" si="16"/>
        <v>76350</v>
      </c>
      <c r="J240" s="6">
        <f t="shared" si="17"/>
        <v>350</v>
      </c>
      <c r="K240" s="6">
        <f t="shared" si="18"/>
        <v>26722500</v>
      </c>
      <c r="L240" s="3" t="str">
        <f t="shared" si="19"/>
        <v>Popular</v>
      </c>
    </row>
    <row r="241" spans="1:12">
      <c r="A241" t="s">
        <v>322</v>
      </c>
      <c r="B241" t="s">
        <v>407</v>
      </c>
      <c r="C241" s="4">
        <v>4.3</v>
      </c>
      <c r="D241" s="4">
        <v>298</v>
      </c>
      <c r="E241" t="s">
        <v>408</v>
      </c>
      <c r="F241" s="4">
        <v>18.994718299999999</v>
      </c>
      <c r="G241">
        <v>72.825195800000003</v>
      </c>
      <c r="H241">
        <f t="shared" si="15"/>
        <v>1281.3999999999999</v>
      </c>
      <c r="I241" s="4">
        <f t="shared" si="16"/>
        <v>7450</v>
      </c>
      <c r="J241" s="6">
        <f t="shared" si="17"/>
        <v>350</v>
      </c>
      <c r="K241" s="6">
        <f t="shared" si="18"/>
        <v>2607500</v>
      </c>
      <c r="L241" s="3" t="str">
        <f t="shared" si="19"/>
        <v>Popular</v>
      </c>
    </row>
    <row r="242" spans="1:12">
      <c r="A242" t="s">
        <v>409</v>
      </c>
      <c r="B242" t="s">
        <v>410</v>
      </c>
      <c r="C242" s="4">
        <v>4.5</v>
      </c>
      <c r="D242" s="4">
        <v>3809</v>
      </c>
      <c r="E242" t="s">
        <v>411</v>
      </c>
      <c r="F242" s="4">
        <v>19.060597900000001</v>
      </c>
      <c r="G242">
        <v>72.824389999999994</v>
      </c>
      <c r="H242">
        <f t="shared" si="15"/>
        <v>17140.5</v>
      </c>
      <c r="I242" s="4">
        <f t="shared" si="16"/>
        <v>95225</v>
      </c>
      <c r="J242" s="6">
        <f t="shared" si="17"/>
        <v>450</v>
      </c>
      <c r="K242" s="6">
        <f t="shared" si="18"/>
        <v>42851250</v>
      </c>
      <c r="L242" s="3" t="str">
        <f t="shared" si="19"/>
        <v>Premium</v>
      </c>
    </row>
    <row r="243" spans="1:12">
      <c r="A243" t="s">
        <v>409</v>
      </c>
      <c r="B243" t="s">
        <v>412</v>
      </c>
      <c r="C243" s="4">
        <v>4.4000000000000004</v>
      </c>
      <c r="D243" s="4">
        <v>2007</v>
      </c>
      <c r="E243" t="s">
        <v>413</v>
      </c>
      <c r="F243" s="4">
        <v>19.062201999999999</v>
      </c>
      <c r="G243">
        <v>72.829388799999904</v>
      </c>
      <c r="H243">
        <f t="shared" si="15"/>
        <v>8830.8000000000011</v>
      </c>
      <c r="I243" s="4">
        <f t="shared" si="16"/>
        <v>50175</v>
      </c>
      <c r="J243" s="6">
        <f t="shared" si="17"/>
        <v>450</v>
      </c>
      <c r="K243" s="6">
        <f t="shared" si="18"/>
        <v>22578750</v>
      </c>
      <c r="L243" s="3" t="str">
        <f t="shared" si="19"/>
        <v>Popular</v>
      </c>
    </row>
    <row r="244" spans="1:12">
      <c r="A244" t="s">
        <v>409</v>
      </c>
      <c r="B244" t="s">
        <v>414</v>
      </c>
      <c r="C244" s="4">
        <v>4.3</v>
      </c>
      <c r="D244" s="4">
        <v>17088</v>
      </c>
      <c r="E244" t="s">
        <v>415</v>
      </c>
      <c r="F244" s="4">
        <v>19.061086599999999</v>
      </c>
      <c r="G244">
        <v>72.8266907</v>
      </c>
      <c r="H244">
        <f t="shared" si="15"/>
        <v>73478.399999999994</v>
      </c>
      <c r="I244" s="4">
        <f t="shared" si="16"/>
        <v>427200</v>
      </c>
      <c r="J244" s="6">
        <f t="shared" si="17"/>
        <v>350</v>
      </c>
      <c r="K244" s="6">
        <f t="shared" si="18"/>
        <v>149520000</v>
      </c>
      <c r="L244" s="3" t="str">
        <f t="shared" si="19"/>
        <v>Popular</v>
      </c>
    </row>
    <row r="245" spans="1:12">
      <c r="A245" t="s">
        <v>409</v>
      </c>
      <c r="B245" t="s">
        <v>416</v>
      </c>
      <c r="C245" s="4">
        <v>4.4000000000000004</v>
      </c>
      <c r="D245" s="4">
        <v>1445</v>
      </c>
      <c r="E245" t="s">
        <v>417</v>
      </c>
      <c r="F245" s="4">
        <v>19.059071400000001</v>
      </c>
      <c r="G245">
        <v>72.834037999999893</v>
      </c>
      <c r="H245">
        <f t="shared" si="15"/>
        <v>6358.0000000000009</v>
      </c>
      <c r="I245" s="4">
        <f t="shared" si="16"/>
        <v>36125</v>
      </c>
      <c r="J245" s="6">
        <f t="shared" si="17"/>
        <v>450</v>
      </c>
      <c r="K245" s="6">
        <f t="shared" si="18"/>
        <v>16256250</v>
      </c>
      <c r="L245" s="3" t="str">
        <f t="shared" si="19"/>
        <v>Popular</v>
      </c>
    </row>
    <row r="246" spans="1:12">
      <c r="A246" t="s">
        <v>409</v>
      </c>
      <c r="B246" t="s">
        <v>418</v>
      </c>
      <c r="C246" s="4">
        <v>4.2</v>
      </c>
      <c r="D246" s="4">
        <v>3019</v>
      </c>
      <c r="E246" t="s">
        <v>419</v>
      </c>
      <c r="F246" s="4">
        <v>19.0632296</v>
      </c>
      <c r="G246">
        <v>72.834758499999893</v>
      </c>
      <c r="H246">
        <f t="shared" si="15"/>
        <v>12679.800000000001</v>
      </c>
      <c r="I246" s="4">
        <f t="shared" si="16"/>
        <v>75475</v>
      </c>
      <c r="J246" s="6">
        <f t="shared" si="17"/>
        <v>350</v>
      </c>
      <c r="K246" s="6">
        <f t="shared" si="18"/>
        <v>26416250</v>
      </c>
      <c r="L246" s="3" t="str">
        <f t="shared" si="19"/>
        <v>Popular</v>
      </c>
    </row>
    <row r="247" spans="1:12">
      <c r="A247" t="s">
        <v>409</v>
      </c>
      <c r="B247" t="s">
        <v>420</v>
      </c>
      <c r="C247" s="4">
        <v>4</v>
      </c>
      <c r="D247" s="4">
        <v>4246</v>
      </c>
      <c r="E247" t="s">
        <v>421</v>
      </c>
      <c r="F247" s="4">
        <v>19.055782199999999</v>
      </c>
      <c r="G247">
        <v>72.834012799999996</v>
      </c>
      <c r="H247">
        <f t="shared" si="15"/>
        <v>16984</v>
      </c>
      <c r="I247" s="4">
        <f t="shared" si="16"/>
        <v>106150</v>
      </c>
      <c r="J247" s="6">
        <f t="shared" si="17"/>
        <v>350</v>
      </c>
      <c r="K247" s="6">
        <f t="shared" si="18"/>
        <v>37152500</v>
      </c>
      <c r="L247" s="3" t="str">
        <f t="shared" si="19"/>
        <v>Popular</v>
      </c>
    </row>
    <row r="248" spans="1:12">
      <c r="A248" t="s">
        <v>409</v>
      </c>
      <c r="B248" t="s">
        <v>422</v>
      </c>
      <c r="C248" s="4">
        <v>4.4000000000000004</v>
      </c>
      <c r="D248" s="4">
        <v>1420</v>
      </c>
      <c r="E248" t="s">
        <v>423</v>
      </c>
      <c r="F248" s="4">
        <v>19.060407699999999</v>
      </c>
      <c r="G248">
        <v>72.824325999999999</v>
      </c>
      <c r="H248">
        <f t="shared" si="15"/>
        <v>6248.0000000000009</v>
      </c>
      <c r="I248" s="4">
        <f t="shared" si="16"/>
        <v>35500</v>
      </c>
      <c r="J248" s="6">
        <f t="shared" si="17"/>
        <v>450</v>
      </c>
      <c r="K248" s="6">
        <f t="shared" si="18"/>
        <v>15975000</v>
      </c>
      <c r="L248" s="3" t="str">
        <f t="shared" si="19"/>
        <v>Popular</v>
      </c>
    </row>
    <row r="249" spans="1:12">
      <c r="A249" t="s">
        <v>409</v>
      </c>
      <c r="B249" t="s">
        <v>424</v>
      </c>
      <c r="C249" s="4">
        <v>4.2</v>
      </c>
      <c r="D249" s="4">
        <v>967</v>
      </c>
      <c r="E249" t="s">
        <v>425</v>
      </c>
      <c r="F249" s="4">
        <v>19.062470900000001</v>
      </c>
      <c r="G249">
        <v>72.8310496</v>
      </c>
      <c r="H249">
        <f t="shared" si="15"/>
        <v>4061.4</v>
      </c>
      <c r="I249" s="4">
        <f t="shared" si="16"/>
        <v>24175</v>
      </c>
      <c r="J249" s="6">
        <f t="shared" si="17"/>
        <v>350</v>
      </c>
      <c r="K249" s="6">
        <f t="shared" si="18"/>
        <v>8461250</v>
      </c>
      <c r="L249" s="3" t="str">
        <f t="shared" si="19"/>
        <v>Popular</v>
      </c>
    </row>
    <row r="250" spans="1:12">
      <c r="A250" t="s">
        <v>409</v>
      </c>
      <c r="B250" t="s">
        <v>426</v>
      </c>
      <c r="C250" s="4">
        <v>4.4000000000000004</v>
      </c>
      <c r="D250" s="4">
        <v>2390</v>
      </c>
      <c r="E250" t="s">
        <v>427</v>
      </c>
      <c r="F250" s="4">
        <v>19.0573519</v>
      </c>
      <c r="G250">
        <v>72.827677399999999</v>
      </c>
      <c r="H250">
        <f t="shared" si="15"/>
        <v>10516</v>
      </c>
      <c r="I250" s="4">
        <f t="shared" si="16"/>
        <v>59750</v>
      </c>
      <c r="J250" s="6">
        <f t="shared" si="17"/>
        <v>450</v>
      </c>
      <c r="K250" s="6">
        <f t="shared" si="18"/>
        <v>26887500</v>
      </c>
      <c r="L250" s="3" t="str">
        <f t="shared" si="19"/>
        <v>Popular</v>
      </c>
    </row>
    <row r="251" spans="1:12">
      <c r="A251" t="s">
        <v>409</v>
      </c>
      <c r="B251" t="s">
        <v>428</v>
      </c>
      <c r="C251" s="4">
        <v>4.3</v>
      </c>
      <c r="D251" s="4">
        <v>1546</v>
      </c>
      <c r="E251" t="s">
        <v>429</v>
      </c>
      <c r="F251" s="4">
        <v>19.062742799999999</v>
      </c>
      <c r="G251">
        <v>72.834511699999993</v>
      </c>
      <c r="H251">
        <f t="shared" si="15"/>
        <v>6647.7999999999993</v>
      </c>
      <c r="I251" s="4">
        <f t="shared" si="16"/>
        <v>38650</v>
      </c>
      <c r="J251" s="6">
        <f t="shared" si="17"/>
        <v>350</v>
      </c>
      <c r="K251" s="6">
        <f t="shared" si="18"/>
        <v>13527500</v>
      </c>
      <c r="L251" s="3" t="str">
        <f t="shared" si="19"/>
        <v>Popular</v>
      </c>
    </row>
    <row r="252" spans="1:12">
      <c r="A252" t="s">
        <v>409</v>
      </c>
      <c r="B252" t="s">
        <v>430</v>
      </c>
      <c r="C252" s="4">
        <v>4.4000000000000004</v>
      </c>
      <c r="D252" s="4">
        <v>2417</v>
      </c>
      <c r="E252" t="s">
        <v>431</v>
      </c>
      <c r="F252" s="4">
        <v>19.059307100000002</v>
      </c>
      <c r="G252">
        <v>72.828907399999906</v>
      </c>
      <c r="H252">
        <f t="shared" si="15"/>
        <v>10634.800000000001</v>
      </c>
      <c r="I252" s="4">
        <f t="shared" si="16"/>
        <v>60425</v>
      </c>
      <c r="J252" s="6">
        <f t="shared" si="17"/>
        <v>450</v>
      </c>
      <c r="K252" s="6">
        <f t="shared" si="18"/>
        <v>27191250</v>
      </c>
      <c r="L252" s="3" t="str">
        <f t="shared" si="19"/>
        <v>Popular</v>
      </c>
    </row>
    <row r="253" spans="1:12">
      <c r="A253" t="s">
        <v>409</v>
      </c>
      <c r="B253" t="s">
        <v>432</v>
      </c>
      <c r="C253" s="4">
        <v>4.4000000000000004</v>
      </c>
      <c r="D253" s="4">
        <v>914</v>
      </c>
      <c r="E253" t="s">
        <v>433</v>
      </c>
      <c r="F253" s="4">
        <v>19.047786800000001</v>
      </c>
      <c r="G253">
        <v>72.820885799999999</v>
      </c>
      <c r="H253">
        <f t="shared" si="15"/>
        <v>4021.6000000000004</v>
      </c>
      <c r="I253" s="4">
        <f t="shared" si="16"/>
        <v>22850</v>
      </c>
      <c r="J253" s="6">
        <f t="shared" si="17"/>
        <v>450</v>
      </c>
      <c r="K253" s="6">
        <f t="shared" si="18"/>
        <v>10282500</v>
      </c>
      <c r="L253" s="3" t="str">
        <f t="shared" si="19"/>
        <v>Popular</v>
      </c>
    </row>
    <row r="254" spans="1:12">
      <c r="A254" t="s">
        <v>409</v>
      </c>
      <c r="B254" t="s">
        <v>434</v>
      </c>
      <c r="C254" s="4">
        <v>4.5</v>
      </c>
      <c r="D254" s="4">
        <v>543</v>
      </c>
      <c r="E254" t="s">
        <v>435</v>
      </c>
      <c r="F254" s="4">
        <v>19.0524466</v>
      </c>
      <c r="G254">
        <v>72.828589800000003</v>
      </c>
      <c r="H254">
        <f t="shared" si="15"/>
        <v>2443.5</v>
      </c>
      <c r="I254" s="4">
        <f t="shared" si="16"/>
        <v>13575</v>
      </c>
      <c r="J254" s="6">
        <f t="shared" si="17"/>
        <v>450</v>
      </c>
      <c r="K254" s="6">
        <f t="shared" si="18"/>
        <v>6108750</v>
      </c>
      <c r="L254" s="3" t="str">
        <f t="shared" si="19"/>
        <v>Premium</v>
      </c>
    </row>
    <row r="255" spans="1:12">
      <c r="A255" t="s">
        <v>409</v>
      </c>
      <c r="B255" t="s">
        <v>379</v>
      </c>
      <c r="C255" s="4">
        <v>4.4000000000000004</v>
      </c>
      <c r="D255" s="4">
        <v>582</v>
      </c>
      <c r="E255" t="s">
        <v>380</v>
      </c>
      <c r="F255" s="4">
        <v>19.0490016</v>
      </c>
      <c r="G255">
        <v>72.823651999999996</v>
      </c>
      <c r="H255">
        <f t="shared" si="15"/>
        <v>2560.8000000000002</v>
      </c>
      <c r="I255" s="4">
        <f t="shared" si="16"/>
        <v>14550</v>
      </c>
      <c r="J255" s="6">
        <f t="shared" si="17"/>
        <v>450</v>
      </c>
      <c r="K255" s="6">
        <f t="shared" si="18"/>
        <v>6547500</v>
      </c>
      <c r="L255" s="3" t="str">
        <f t="shared" si="19"/>
        <v>Popular</v>
      </c>
    </row>
    <row r="256" spans="1:12">
      <c r="A256" t="s">
        <v>409</v>
      </c>
      <c r="B256" t="s">
        <v>436</v>
      </c>
      <c r="C256" s="4">
        <v>4</v>
      </c>
      <c r="D256" s="4">
        <v>641</v>
      </c>
      <c r="E256" t="s">
        <v>437</v>
      </c>
      <c r="F256" s="4">
        <v>19.050620599999998</v>
      </c>
      <c r="G256">
        <v>72.826599099999996</v>
      </c>
      <c r="H256">
        <f t="shared" si="15"/>
        <v>2564</v>
      </c>
      <c r="I256" s="4">
        <f t="shared" si="16"/>
        <v>16025</v>
      </c>
      <c r="J256" s="6">
        <f t="shared" si="17"/>
        <v>350</v>
      </c>
      <c r="K256" s="6">
        <f t="shared" si="18"/>
        <v>5608750</v>
      </c>
      <c r="L256" s="3" t="str">
        <f t="shared" si="19"/>
        <v>Popular</v>
      </c>
    </row>
    <row r="257" spans="1:12">
      <c r="A257" t="s">
        <v>409</v>
      </c>
      <c r="B257" t="s">
        <v>438</v>
      </c>
      <c r="C257" s="4">
        <v>4.3</v>
      </c>
      <c r="D257" s="4">
        <v>605</v>
      </c>
      <c r="E257" t="s">
        <v>439</v>
      </c>
      <c r="F257" s="4">
        <v>19.054622299999998</v>
      </c>
      <c r="G257">
        <v>72.825842899999998</v>
      </c>
      <c r="H257">
        <f t="shared" si="15"/>
        <v>2601.5</v>
      </c>
      <c r="I257" s="4">
        <f t="shared" si="16"/>
        <v>15125</v>
      </c>
      <c r="J257" s="6">
        <f t="shared" si="17"/>
        <v>350</v>
      </c>
      <c r="K257" s="6">
        <f t="shared" si="18"/>
        <v>5293750</v>
      </c>
      <c r="L257" s="3" t="str">
        <f t="shared" si="19"/>
        <v>Popular</v>
      </c>
    </row>
    <row r="258" spans="1:12">
      <c r="A258" t="s">
        <v>409</v>
      </c>
      <c r="B258" t="s">
        <v>440</v>
      </c>
      <c r="C258" s="4">
        <v>4.4000000000000004</v>
      </c>
      <c r="D258" s="4">
        <v>695</v>
      </c>
      <c r="E258" t="s">
        <v>441</v>
      </c>
      <c r="F258" s="4">
        <v>19.061212699999999</v>
      </c>
      <c r="G258">
        <v>72.826943200000002</v>
      </c>
      <c r="H258">
        <f t="shared" ref="H258:H321" si="20">C258*D258</f>
        <v>3058.0000000000005</v>
      </c>
      <c r="I258" s="4">
        <f t="shared" ref="I258:I321" si="21">D258*25</f>
        <v>17375</v>
      </c>
      <c r="J258" s="6">
        <f t="shared" ref="J258:J321" si="22">IF(C258&gt;=4.7,550,IF(C258&gt;=4.4,450,IF(C258&gt;=O260,350,250)))</f>
        <v>450</v>
      </c>
      <c r="K258" s="6">
        <f t="shared" ref="K258:K321" si="23">I258*J258</f>
        <v>7818750</v>
      </c>
      <c r="L258" s="3" t="str">
        <f t="shared" ref="L258:L321" si="24">IF(C258&gt;=4.5,"Premium",IF(C258&gt;=4,"Popular","Average"))</f>
        <v>Popular</v>
      </c>
    </row>
    <row r="259" spans="1:12">
      <c r="A259" t="s">
        <v>409</v>
      </c>
      <c r="B259" t="s">
        <v>442</v>
      </c>
      <c r="C259" s="4">
        <v>4.2</v>
      </c>
      <c r="D259" s="4">
        <v>2437</v>
      </c>
      <c r="E259" t="s">
        <v>443</v>
      </c>
      <c r="F259" s="4">
        <v>19.063306999999998</v>
      </c>
      <c r="G259">
        <v>72.824928099999994</v>
      </c>
      <c r="H259">
        <f t="shared" si="20"/>
        <v>10235.4</v>
      </c>
      <c r="I259" s="4">
        <f t="shared" si="21"/>
        <v>60925</v>
      </c>
      <c r="J259" s="6">
        <f t="shared" si="22"/>
        <v>350</v>
      </c>
      <c r="K259" s="6">
        <f t="shared" si="23"/>
        <v>21323750</v>
      </c>
      <c r="L259" s="3" t="str">
        <f t="shared" si="24"/>
        <v>Popular</v>
      </c>
    </row>
    <row r="260" spans="1:12">
      <c r="A260" t="s">
        <v>409</v>
      </c>
      <c r="B260" t="s">
        <v>444</v>
      </c>
      <c r="C260" s="4">
        <v>4.3</v>
      </c>
      <c r="D260" s="4">
        <v>2522</v>
      </c>
      <c r="E260" t="s">
        <v>445</v>
      </c>
      <c r="F260" s="4">
        <v>19.053175899999999</v>
      </c>
      <c r="G260">
        <v>72.830108899999999</v>
      </c>
      <c r="H260">
        <f t="shared" si="20"/>
        <v>10844.6</v>
      </c>
      <c r="I260" s="4">
        <f t="shared" si="21"/>
        <v>63050</v>
      </c>
      <c r="J260" s="6">
        <f t="shared" si="22"/>
        <v>350</v>
      </c>
      <c r="K260" s="6">
        <f t="shared" si="23"/>
        <v>22067500</v>
      </c>
      <c r="L260" s="3" t="str">
        <f t="shared" si="24"/>
        <v>Popular</v>
      </c>
    </row>
    <row r="261" spans="1:12">
      <c r="A261" t="s">
        <v>409</v>
      </c>
      <c r="B261" t="s">
        <v>446</v>
      </c>
      <c r="C261" s="4">
        <v>4.8</v>
      </c>
      <c r="D261" s="4">
        <v>104</v>
      </c>
      <c r="E261" t="s">
        <v>447</v>
      </c>
      <c r="F261" s="4">
        <v>19.048618900000001</v>
      </c>
      <c r="G261">
        <v>72.825940500000002</v>
      </c>
      <c r="H261">
        <f t="shared" si="20"/>
        <v>499.2</v>
      </c>
      <c r="I261" s="4">
        <f t="shared" si="21"/>
        <v>2600</v>
      </c>
      <c r="J261" s="6">
        <f t="shared" si="22"/>
        <v>550</v>
      </c>
      <c r="K261" s="6">
        <f t="shared" si="23"/>
        <v>1430000</v>
      </c>
      <c r="L261" s="3" t="str">
        <f t="shared" si="24"/>
        <v>Premium</v>
      </c>
    </row>
    <row r="262" spans="1:12">
      <c r="A262" t="s">
        <v>409</v>
      </c>
      <c r="B262" t="s">
        <v>448</v>
      </c>
      <c r="C262" s="4">
        <v>4.2</v>
      </c>
      <c r="D262" s="4">
        <v>143</v>
      </c>
      <c r="E262" t="s">
        <v>449</v>
      </c>
      <c r="F262" s="4">
        <v>19.0562814</v>
      </c>
      <c r="G262">
        <v>72.834321199999906</v>
      </c>
      <c r="H262">
        <f t="shared" si="20"/>
        <v>600.6</v>
      </c>
      <c r="I262" s="4">
        <f t="shared" si="21"/>
        <v>3575</v>
      </c>
      <c r="J262" s="6">
        <f t="shared" si="22"/>
        <v>350</v>
      </c>
      <c r="K262" s="6">
        <f t="shared" si="23"/>
        <v>1251250</v>
      </c>
      <c r="L262" s="3" t="str">
        <f t="shared" si="24"/>
        <v>Popular</v>
      </c>
    </row>
    <row r="263" spans="1:12">
      <c r="A263" t="s">
        <v>409</v>
      </c>
      <c r="B263" t="s">
        <v>450</v>
      </c>
      <c r="C263" s="4">
        <v>4.2</v>
      </c>
      <c r="D263" s="4">
        <v>582</v>
      </c>
      <c r="E263" t="s">
        <v>451</v>
      </c>
      <c r="F263" s="4">
        <v>19.047501700000002</v>
      </c>
      <c r="G263">
        <v>72.8201562</v>
      </c>
      <c r="H263">
        <f t="shared" si="20"/>
        <v>2444.4</v>
      </c>
      <c r="I263" s="4">
        <f t="shared" si="21"/>
        <v>14550</v>
      </c>
      <c r="J263" s="6">
        <f t="shared" si="22"/>
        <v>350</v>
      </c>
      <c r="K263" s="6">
        <f t="shared" si="23"/>
        <v>5092500</v>
      </c>
      <c r="L263" s="3" t="str">
        <f t="shared" si="24"/>
        <v>Popular</v>
      </c>
    </row>
    <row r="264" spans="1:12">
      <c r="A264" t="s">
        <v>409</v>
      </c>
      <c r="B264" t="s">
        <v>452</v>
      </c>
      <c r="C264" s="4">
        <v>4.5999999999999996</v>
      </c>
      <c r="D264" s="4">
        <v>140</v>
      </c>
      <c r="E264" t="s">
        <v>453</v>
      </c>
      <c r="F264" s="4">
        <v>19.050561200000001</v>
      </c>
      <c r="G264">
        <v>72.826788800000003</v>
      </c>
      <c r="H264">
        <f t="shared" si="20"/>
        <v>644</v>
      </c>
      <c r="I264" s="4">
        <f t="shared" si="21"/>
        <v>3500</v>
      </c>
      <c r="J264" s="6">
        <f t="shared" si="22"/>
        <v>450</v>
      </c>
      <c r="K264" s="6">
        <f t="shared" si="23"/>
        <v>1575000</v>
      </c>
      <c r="L264" s="3" t="str">
        <f t="shared" si="24"/>
        <v>Premium</v>
      </c>
    </row>
    <row r="265" spans="1:12">
      <c r="A265" t="s">
        <v>409</v>
      </c>
      <c r="B265" t="s">
        <v>454</v>
      </c>
      <c r="C265" s="4">
        <v>4.3</v>
      </c>
      <c r="D265" s="4">
        <v>343</v>
      </c>
      <c r="E265" t="s">
        <v>455</v>
      </c>
      <c r="F265" s="4">
        <v>19.0649962</v>
      </c>
      <c r="G265">
        <v>72.831066399999997</v>
      </c>
      <c r="H265">
        <f t="shared" si="20"/>
        <v>1474.8999999999999</v>
      </c>
      <c r="I265" s="4">
        <f t="shared" si="21"/>
        <v>8575</v>
      </c>
      <c r="J265" s="6">
        <f t="shared" si="22"/>
        <v>350</v>
      </c>
      <c r="K265" s="6">
        <f t="shared" si="23"/>
        <v>3001250</v>
      </c>
      <c r="L265" s="3" t="str">
        <f t="shared" si="24"/>
        <v>Popular</v>
      </c>
    </row>
    <row r="266" spans="1:12">
      <c r="A266" t="s">
        <v>409</v>
      </c>
      <c r="B266" t="s">
        <v>456</v>
      </c>
      <c r="C266" s="4">
        <v>4.0999999999999996</v>
      </c>
      <c r="D266" s="4">
        <v>349</v>
      </c>
      <c r="E266" t="s">
        <v>457</v>
      </c>
      <c r="F266" s="4">
        <v>19.070728899999999</v>
      </c>
      <c r="G266">
        <v>72.822468299999997</v>
      </c>
      <c r="H266">
        <f t="shared" si="20"/>
        <v>1430.8999999999999</v>
      </c>
      <c r="I266" s="4">
        <f t="shared" si="21"/>
        <v>8725</v>
      </c>
      <c r="J266" s="6">
        <f t="shared" si="22"/>
        <v>350</v>
      </c>
      <c r="K266" s="6">
        <f t="shared" si="23"/>
        <v>3053750</v>
      </c>
      <c r="L266" s="3" t="str">
        <f t="shared" si="24"/>
        <v>Popular</v>
      </c>
    </row>
    <row r="267" spans="1:12">
      <c r="A267" t="s">
        <v>409</v>
      </c>
      <c r="B267" t="s">
        <v>458</v>
      </c>
      <c r="C267" s="4">
        <v>4.5</v>
      </c>
      <c r="D267" s="4">
        <v>3745</v>
      </c>
      <c r="E267" t="s">
        <v>459</v>
      </c>
      <c r="F267" s="4">
        <v>19.048597999999998</v>
      </c>
      <c r="G267">
        <v>72.825850399999993</v>
      </c>
      <c r="H267">
        <f t="shared" si="20"/>
        <v>16852.5</v>
      </c>
      <c r="I267" s="4">
        <f t="shared" si="21"/>
        <v>93625</v>
      </c>
      <c r="J267" s="6">
        <f t="shared" si="22"/>
        <v>450</v>
      </c>
      <c r="K267" s="6">
        <f t="shared" si="23"/>
        <v>42131250</v>
      </c>
      <c r="L267" s="3" t="str">
        <f t="shared" si="24"/>
        <v>Premium</v>
      </c>
    </row>
    <row r="268" spans="1:12">
      <c r="A268" t="s">
        <v>409</v>
      </c>
      <c r="B268" t="s">
        <v>94</v>
      </c>
      <c r="C268" s="4">
        <v>4.4000000000000004</v>
      </c>
      <c r="D268" s="4">
        <v>2749</v>
      </c>
      <c r="E268" t="s">
        <v>460</v>
      </c>
      <c r="F268" s="4">
        <v>19.050127799999999</v>
      </c>
      <c r="G268">
        <v>72.826337199999998</v>
      </c>
      <c r="H268">
        <f t="shared" si="20"/>
        <v>12095.6</v>
      </c>
      <c r="I268" s="4">
        <f t="shared" si="21"/>
        <v>68725</v>
      </c>
      <c r="J268" s="6">
        <f t="shared" si="22"/>
        <v>450</v>
      </c>
      <c r="K268" s="6">
        <f t="shared" si="23"/>
        <v>30926250</v>
      </c>
      <c r="L268" s="3" t="str">
        <f t="shared" si="24"/>
        <v>Popular</v>
      </c>
    </row>
    <row r="269" spans="1:12">
      <c r="A269" t="s">
        <v>409</v>
      </c>
      <c r="B269" t="s">
        <v>461</v>
      </c>
      <c r="C269" s="4">
        <v>4.4000000000000004</v>
      </c>
      <c r="D269" s="4">
        <v>841</v>
      </c>
      <c r="E269" t="s">
        <v>462</v>
      </c>
      <c r="F269" s="4">
        <v>19.062784300000001</v>
      </c>
      <c r="G269">
        <v>72.832786799999994</v>
      </c>
      <c r="H269">
        <f t="shared" si="20"/>
        <v>3700.4</v>
      </c>
      <c r="I269" s="4">
        <f t="shared" si="21"/>
        <v>21025</v>
      </c>
      <c r="J269" s="6">
        <f t="shared" si="22"/>
        <v>450</v>
      </c>
      <c r="K269" s="6">
        <f t="shared" si="23"/>
        <v>9461250</v>
      </c>
      <c r="L269" s="3" t="str">
        <f t="shared" si="24"/>
        <v>Popular</v>
      </c>
    </row>
    <row r="270" spans="1:12">
      <c r="A270" t="s">
        <v>409</v>
      </c>
      <c r="B270" t="s">
        <v>463</v>
      </c>
      <c r="C270" s="4">
        <v>4.5</v>
      </c>
      <c r="D270" s="4">
        <v>717</v>
      </c>
      <c r="E270" t="s">
        <v>464</v>
      </c>
      <c r="F270" s="4">
        <v>19.063641199999999</v>
      </c>
      <c r="G270">
        <v>72.829390899999893</v>
      </c>
      <c r="H270">
        <f t="shared" si="20"/>
        <v>3226.5</v>
      </c>
      <c r="I270" s="4">
        <f t="shared" si="21"/>
        <v>17925</v>
      </c>
      <c r="J270" s="6">
        <f t="shared" si="22"/>
        <v>450</v>
      </c>
      <c r="K270" s="6">
        <f t="shared" si="23"/>
        <v>8066250</v>
      </c>
      <c r="L270" s="3" t="str">
        <f t="shared" si="24"/>
        <v>Premium</v>
      </c>
    </row>
    <row r="271" spans="1:12">
      <c r="A271" t="s">
        <v>409</v>
      </c>
      <c r="B271" t="s">
        <v>254</v>
      </c>
      <c r="C271" s="4">
        <v>4.0999999999999996</v>
      </c>
      <c r="D271" s="4">
        <v>2070</v>
      </c>
      <c r="E271" t="s">
        <v>465</v>
      </c>
      <c r="F271" s="4">
        <v>19.047521199999998</v>
      </c>
      <c r="G271">
        <v>72.820126399999907</v>
      </c>
      <c r="H271">
        <f t="shared" si="20"/>
        <v>8487</v>
      </c>
      <c r="I271" s="4">
        <f t="shared" si="21"/>
        <v>51750</v>
      </c>
      <c r="J271" s="6">
        <f t="shared" si="22"/>
        <v>350</v>
      </c>
      <c r="K271" s="6">
        <f t="shared" si="23"/>
        <v>18112500</v>
      </c>
      <c r="L271" s="3" t="str">
        <f t="shared" si="24"/>
        <v>Popular</v>
      </c>
    </row>
    <row r="272" spans="1:12">
      <c r="A272" t="s">
        <v>409</v>
      </c>
      <c r="B272" t="s">
        <v>466</v>
      </c>
      <c r="C272" s="4">
        <v>3.9</v>
      </c>
      <c r="D272" s="4">
        <v>2041</v>
      </c>
      <c r="E272" t="s">
        <v>467</v>
      </c>
      <c r="F272" s="4">
        <v>19.065242099999999</v>
      </c>
      <c r="G272">
        <v>72.8334823</v>
      </c>
      <c r="H272">
        <f t="shared" si="20"/>
        <v>7959.9</v>
      </c>
      <c r="I272" s="4">
        <f t="shared" si="21"/>
        <v>51025</v>
      </c>
      <c r="J272" s="6">
        <f t="shared" si="22"/>
        <v>350</v>
      </c>
      <c r="K272" s="6">
        <f t="shared" si="23"/>
        <v>17858750</v>
      </c>
      <c r="L272" s="3" t="str">
        <f t="shared" si="24"/>
        <v>Average</v>
      </c>
    </row>
    <row r="273" spans="1:12">
      <c r="A273" t="s">
        <v>409</v>
      </c>
      <c r="B273" t="s">
        <v>468</v>
      </c>
      <c r="C273" s="4">
        <v>4.2</v>
      </c>
      <c r="D273" s="4">
        <v>3266</v>
      </c>
      <c r="E273" t="s">
        <v>469</v>
      </c>
      <c r="F273" s="4">
        <v>19.049568099999998</v>
      </c>
      <c r="G273">
        <v>72.829932999999997</v>
      </c>
      <c r="H273">
        <f t="shared" si="20"/>
        <v>13717.2</v>
      </c>
      <c r="I273" s="4">
        <f t="shared" si="21"/>
        <v>81650</v>
      </c>
      <c r="J273" s="6">
        <f t="shared" si="22"/>
        <v>350</v>
      </c>
      <c r="K273" s="6">
        <f t="shared" si="23"/>
        <v>28577500</v>
      </c>
      <c r="L273" s="3" t="str">
        <f t="shared" si="24"/>
        <v>Popular</v>
      </c>
    </row>
    <row r="274" spans="1:12">
      <c r="A274" t="s">
        <v>409</v>
      </c>
      <c r="B274" t="s">
        <v>470</v>
      </c>
      <c r="C274" s="4">
        <v>4.0999999999999996</v>
      </c>
      <c r="D274" s="4">
        <v>968</v>
      </c>
      <c r="E274" t="s">
        <v>471</v>
      </c>
      <c r="F274" s="4">
        <v>19.070349199999999</v>
      </c>
      <c r="G274">
        <v>72.822748099999998</v>
      </c>
      <c r="H274">
        <f t="shared" si="20"/>
        <v>3968.7999999999997</v>
      </c>
      <c r="I274" s="4">
        <f t="shared" si="21"/>
        <v>24200</v>
      </c>
      <c r="J274" s="6">
        <f t="shared" si="22"/>
        <v>350</v>
      </c>
      <c r="K274" s="6">
        <f t="shared" si="23"/>
        <v>8470000</v>
      </c>
      <c r="L274" s="3" t="str">
        <f t="shared" si="24"/>
        <v>Popular</v>
      </c>
    </row>
    <row r="275" spans="1:12">
      <c r="A275" t="s">
        <v>409</v>
      </c>
      <c r="B275" t="s">
        <v>472</v>
      </c>
      <c r="C275" s="4">
        <v>4.5</v>
      </c>
      <c r="D275" s="4">
        <v>518</v>
      </c>
      <c r="E275" t="s">
        <v>473</v>
      </c>
      <c r="F275" s="4">
        <v>19.0507025</v>
      </c>
      <c r="G275">
        <v>72.829990600000002</v>
      </c>
      <c r="H275">
        <f t="shared" si="20"/>
        <v>2331</v>
      </c>
      <c r="I275" s="4">
        <f t="shared" si="21"/>
        <v>12950</v>
      </c>
      <c r="J275" s="6">
        <f t="shared" si="22"/>
        <v>450</v>
      </c>
      <c r="K275" s="6">
        <f t="shared" si="23"/>
        <v>5827500</v>
      </c>
      <c r="L275" s="3" t="str">
        <f t="shared" si="24"/>
        <v>Premium</v>
      </c>
    </row>
    <row r="276" spans="1:12">
      <c r="A276" t="s">
        <v>409</v>
      </c>
      <c r="B276" t="s">
        <v>474</v>
      </c>
      <c r="C276" s="4">
        <v>4.5</v>
      </c>
      <c r="D276" s="4">
        <v>690</v>
      </c>
      <c r="E276" t="s">
        <v>475</v>
      </c>
      <c r="F276" s="4">
        <v>19.073190700000001</v>
      </c>
      <c r="G276">
        <v>72.826379899999907</v>
      </c>
      <c r="H276">
        <f t="shared" si="20"/>
        <v>3105</v>
      </c>
      <c r="I276" s="4">
        <f t="shared" si="21"/>
        <v>17250</v>
      </c>
      <c r="J276" s="6">
        <f t="shared" si="22"/>
        <v>450</v>
      </c>
      <c r="K276" s="6">
        <f t="shared" si="23"/>
        <v>7762500</v>
      </c>
      <c r="L276" s="3" t="str">
        <f t="shared" si="24"/>
        <v>Premium</v>
      </c>
    </row>
    <row r="277" spans="1:12">
      <c r="A277" t="s">
        <v>409</v>
      </c>
      <c r="B277" t="s">
        <v>476</v>
      </c>
      <c r="C277" s="4">
        <v>4.3</v>
      </c>
      <c r="D277" s="4">
        <v>4707</v>
      </c>
      <c r="E277" t="s">
        <v>477</v>
      </c>
      <c r="F277" s="4">
        <v>19.0603786</v>
      </c>
      <c r="G277">
        <v>72.829317399999994</v>
      </c>
      <c r="H277">
        <f t="shared" si="20"/>
        <v>20240.099999999999</v>
      </c>
      <c r="I277" s="4">
        <f t="shared" si="21"/>
        <v>117675</v>
      </c>
      <c r="J277" s="6">
        <f t="shared" si="22"/>
        <v>350</v>
      </c>
      <c r="K277" s="6">
        <f t="shared" si="23"/>
        <v>41186250</v>
      </c>
      <c r="L277" s="3" t="str">
        <f t="shared" si="24"/>
        <v>Popular</v>
      </c>
    </row>
    <row r="278" spans="1:12">
      <c r="A278" t="s">
        <v>409</v>
      </c>
      <c r="B278" t="s">
        <v>478</v>
      </c>
      <c r="C278" s="4">
        <v>4.3</v>
      </c>
      <c r="D278" s="4">
        <v>75</v>
      </c>
      <c r="E278" t="s">
        <v>479</v>
      </c>
      <c r="F278" s="4">
        <v>19.060931100000001</v>
      </c>
      <c r="G278">
        <v>72.832459200000002</v>
      </c>
      <c r="H278">
        <f t="shared" si="20"/>
        <v>322.5</v>
      </c>
      <c r="I278" s="4">
        <f t="shared" si="21"/>
        <v>1875</v>
      </c>
      <c r="J278" s="6">
        <f t="shared" si="22"/>
        <v>350</v>
      </c>
      <c r="K278" s="6">
        <f t="shared" si="23"/>
        <v>656250</v>
      </c>
      <c r="L278" s="3" t="str">
        <f t="shared" si="24"/>
        <v>Popular</v>
      </c>
    </row>
    <row r="279" spans="1:12">
      <c r="A279" t="s">
        <v>409</v>
      </c>
      <c r="B279" t="s">
        <v>480</v>
      </c>
      <c r="C279" s="4">
        <v>4.3</v>
      </c>
      <c r="D279" s="4">
        <v>4318</v>
      </c>
      <c r="E279" t="s">
        <v>481</v>
      </c>
      <c r="F279" s="4">
        <v>19.062415399999999</v>
      </c>
      <c r="G279">
        <v>72.832679599999906</v>
      </c>
      <c r="H279">
        <f t="shared" si="20"/>
        <v>18567.399999999998</v>
      </c>
      <c r="I279" s="4">
        <f t="shared" si="21"/>
        <v>107950</v>
      </c>
      <c r="J279" s="6">
        <f t="shared" si="22"/>
        <v>350</v>
      </c>
      <c r="K279" s="6">
        <f t="shared" si="23"/>
        <v>37782500</v>
      </c>
      <c r="L279" s="3" t="str">
        <f t="shared" si="24"/>
        <v>Popular</v>
      </c>
    </row>
    <row r="280" spans="1:12">
      <c r="A280" t="s">
        <v>409</v>
      </c>
      <c r="B280" t="s">
        <v>482</v>
      </c>
      <c r="C280" s="4">
        <v>4.7</v>
      </c>
      <c r="D280" s="4">
        <v>261</v>
      </c>
      <c r="E280" t="s">
        <v>483</v>
      </c>
      <c r="F280" s="4">
        <v>19.0519426</v>
      </c>
      <c r="G280">
        <v>72.829369</v>
      </c>
      <c r="H280">
        <f t="shared" si="20"/>
        <v>1226.7</v>
      </c>
      <c r="I280" s="4">
        <f t="shared" si="21"/>
        <v>6525</v>
      </c>
      <c r="J280" s="6">
        <f t="shared" si="22"/>
        <v>550</v>
      </c>
      <c r="K280" s="6">
        <f t="shared" si="23"/>
        <v>3588750</v>
      </c>
      <c r="L280" s="3" t="str">
        <f t="shared" si="24"/>
        <v>Premium</v>
      </c>
    </row>
    <row r="281" spans="1:12">
      <c r="A281" t="s">
        <v>409</v>
      </c>
      <c r="B281" t="s">
        <v>484</v>
      </c>
      <c r="C281" s="4">
        <v>4.5</v>
      </c>
      <c r="D281" s="4">
        <v>281</v>
      </c>
      <c r="E281" t="s">
        <v>485</v>
      </c>
      <c r="F281" s="4">
        <v>19.0669428</v>
      </c>
      <c r="G281">
        <v>72.831006599999995</v>
      </c>
      <c r="H281">
        <f t="shared" si="20"/>
        <v>1264.5</v>
      </c>
      <c r="I281" s="4">
        <f t="shared" si="21"/>
        <v>7025</v>
      </c>
      <c r="J281" s="6">
        <f t="shared" si="22"/>
        <v>450</v>
      </c>
      <c r="K281" s="6">
        <f t="shared" si="23"/>
        <v>3161250</v>
      </c>
      <c r="L281" s="3" t="str">
        <f t="shared" si="24"/>
        <v>Premium</v>
      </c>
    </row>
    <row r="282" spans="1:12">
      <c r="A282" t="s">
        <v>409</v>
      </c>
      <c r="B282" t="s">
        <v>486</v>
      </c>
      <c r="C282" s="4">
        <v>4.5999999999999996</v>
      </c>
      <c r="D282" s="4">
        <v>189</v>
      </c>
      <c r="E282" t="s">
        <v>487</v>
      </c>
      <c r="F282" s="4">
        <v>19.065197900000001</v>
      </c>
      <c r="G282">
        <v>72.829634599999906</v>
      </c>
      <c r="H282">
        <f t="shared" si="20"/>
        <v>869.4</v>
      </c>
      <c r="I282" s="4">
        <f t="shared" si="21"/>
        <v>4725</v>
      </c>
      <c r="J282" s="6">
        <f t="shared" si="22"/>
        <v>450</v>
      </c>
      <c r="K282" s="6">
        <f t="shared" si="23"/>
        <v>2126250</v>
      </c>
      <c r="L282" s="3" t="str">
        <f t="shared" si="24"/>
        <v>Premium</v>
      </c>
    </row>
    <row r="283" spans="1:12">
      <c r="A283" t="s">
        <v>409</v>
      </c>
      <c r="B283" t="s">
        <v>488</v>
      </c>
      <c r="C283" s="4">
        <v>3.9</v>
      </c>
      <c r="D283" s="4">
        <v>326</v>
      </c>
      <c r="E283" t="s">
        <v>489</v>
      </c>
      <c r="F283" s="4">
        <v>19.0671356</v>
      </c>
      <c r="G283">
        <v>72.824096699999998</v>
      </c>
      <c r="H283">
        <f t="shared" si="20"/>
        <v>1271.3999999999999</v>
      </c>
      <c r="I283" s="4">
        <f t="shared" si="21"/>
        <v>8150</v>
      </c>
      <c r="J283" s="6">
        <f t="shared" si="22"/>
        <v>350</v>
      </c>
      <c r="K283" s="6">
        <f t="shared" si="23"/>
        <v>2852500</v>
      </c>
      <c r="L283" s="3" t="str">
        <f t="shared" si="24"/>
        <v>Average</v>
      </c>
    </row>
    <row r="284" spans="1:12">
      <c r="A284" t="s">
        <v>409</v>
      </c>
      <c r="B284" t="s">
        <v>490</v>
      </c>
      <c r="C284" s="4">
        <v>4.5999999999999996</v>
      </c>
      <c r="D284" s="4">
        <v>48</v>
      </c>
      <c r="E284" t="s">
        <v>491</v>
      </c>
      <c r="F284" s="4">
        <v>19.063201599999999</v>
      </c>
      <c r="G284">
        <v>72.830011999999996</v>
      </c>
      <c r="H284">
        <f t="shared" si="20"/>
        <v>220.79999999999998</v>
      </c>
      <c r="I284" s="4">
        <f t="shared" si="21"/>
        <v>1200</v>
      </c>
      <c r="J284" s="6">
        <f t="shared" si="22"/>
        <v>450</v>
      </c>
      <c r="K284" s="6">
        <f t="shared" si="23"/>
        <v>540000</v>
      </c>
      <c r="L284" s="3" t="str">
        <f t="shared" si="24"/>
        <v>Premium</v>
      </c>
    </row>
    <row r="285" spans="1:12">
      <c r="A285" t="s">
        <v>409</v>
      </c>
      <c r="B285" t="s">
        <v>492</v>
      </c>
      <c r="C285" s="4">
        <v>4.4000000000000004</v>
      </c>
      <c r="D285" s="4">
        <v>783</v>
      </c>
      <c r="E285" t="s">
        <v>493</v>
      </c>
      <c r="F285" s="4">
        <v>19.072638900000001</v>
      </c>
      <c r="G285">
        <v>72.8343718</v>
      </c>
      <c r="H285">
        <f t="shared" si="20"/>
        <v>3445.2000000000003</v>
      </c>
      <c r="I285" s="4">
        <f t="shared" si="21"/>
        <v>19575</v>
      </c>
      <c r="J285" s="6">
        <f t="shared" si="22"/>
        <v>450</v>
      </c>
      <c r="K285" s="6">
        <f t="shared" si="23"/>
        <v>8808750</v>
      </c>
      <c r="L285" s="3" t="str">
        <f t="shared" si="24"/>
        <v>Popular</v>
      </c>
    </row>
    <row r="286" spans="1:12">
      <c r="A286" t="s">
        <v>409</v>
      </c>
      <c r="B286" t="s">
        <v>494</v>
      </c>
      <c r="C286" s="4">
        <v>4.3</v>
      </c>
      <c r="D286" s="4">
        <v>7623</v>
      </c>
      <c r="E286" t="s">
        <v>495</v>
      </c>
      <c r="F286" s="4">
        <v>19.070534899999998</v>
      </c>
      <c r="G286">
        <v>72.822739200000001</v>
      </c>
      <c r="H286">
        <f t="shared" si="20"/>
        <v>32778.9</v>
      </c>
      <c r="I286" s="4">
        <f t="shared" si="21"/>
        <v>190575</v>
      </c>
      <c r="J286" s="6">
        <f t="shared" si="22"/>
        <v>350</v>
      </c>
      <c r="K286" s="6">
        <f t="shared" si="23"/>
        <v>66701250</v>
      </c>
      <c r="L286" s="3" t="str">
        <f t="shared" si="24"/>
        <v>Popular</v>
      </c>
    </row>
    <row r="287" spans="1:12">
      <c r="A287" t="s">
        <v>409</v>
      </c>
      <c r="B287" t="s">
        <v>496</v>
      </c>
      <c r="C287" s="4">
        <v>4.3</v>
      </c>
      <c r="D287" s="4">
        <v>2417</v>
      </c>
      <c r="E287" t="s">
        <v>497</v>
      </c>
      <c r="F287" s="4">
        <v>19.065120100000001</v>
      </c>
      <c r="G287">
        <v>72.831064599999905</v>
      </c>
      <c r="H287">
        <f t="shared" si="20"/>
        <v>10393.1</v>
      </c>
      <c r="I287" s="4">
        <f t="shared" si="21"/>
        <v>60425</v>
      </c>
      <c r="J287" s="6">
        <f t="shared" si="22"/>
        <v>350</v>
      </c>
      <c r="K287" s="6">
        <f t="shared" si="23"/>
        <v>21148750</v>
      </c>
      <c r="L287" s="3" t="str">
        <f t="shared" si="24"/>
        <v>Popular</v>
      </c>
    </row>
    <row r="288" spans="1:12">
      <c r="A288" t="s">
        <v>409</v>
      </c>
      <c r="B288" t="s">
        <v>498</v>
      </c>
      <c r="C288" s="4">
        <v>4.2</v>
      </c>
      <c r="D288" s="4">
        <v>101</v>
      </c>
      <c r="E288" t="s">
        <v>499</v>
      </c>
      <c r="F288" s="4">
        <v>19.074238300000001</v>
      </c>
      <c r="G288">
        <v>72.825031600000003</v>
      </c>
      <c r="H288">
        <f t="shared" si="20"/>
        <v>424.20000000000005</v>
      </c>
      <c r="I288" s="4">
        <f t="shared" si="21"/>
        <v>2525</v>
      </c>
      <c r="J288" s="6">
        <f t="shared" si="22"/>
        <v>350</v>
      </c>
      <c r="K288" s="6">
        <f t="shared" si="23"/>
        <v>883750</v>
      </c>
      <c r="L288" s="3" t="str">
        <f t="shared" si="24"/>
        <v>Popular</v>
      </c>
    </row>
    <row r="289" spans="1:12">
      <c r="A289" t="s">
        <v>409</v>
      </c>
      <c r="B289" t="s">
        <v>500</v>
      </c>
      <c r="C289" s="4">
        <v>4.3</v>
      </c>
      <c r="D289" s="4">
        <v>1403</v>
      </c>
      <c r="E289" t="s">
        <v>501</v>
      </c>
      <c r="F289" s="4">
        <v>19.0550724</v>
      </c>
      <c r="G289">
        <v>72.828321099999997</v>
      </c>
      <c r="H289">
        <f t="shared" si="20"/>
        <v>6032.9</v>
      </c>
      <c r="I289" s="4">
        <f t="shared" si="21"/>
        <v>35075</v>
      </c>
      <c r="J289" s="6">
        <f t="shared" si="22"/>
        <v>350</v>
      </c>
      <c r="K289" s="6">
        <f t="shared" si="23"/>
        <v>12276250</v>
      </c>
      <c r="L289" s="3" t="str">
        <f t="shared" si="24"/>
        <v>Popular</v>
      </c>
    </row>
    <row r="290" spans="1:12">
      <c r="A290" t="s">
        <v>409</v>
      </c>
      <c r="B290" t="s">
        <v>502</v>
      </c>
      <c r="C290" s="4">
        <v>4.3</v>
      </c>
      <c r="D290" s="4">
        <v>704</v>
      </c>
      <c r="E290" t="s">
        <v>503</v>
      </c>
      <c r="F290" s="4">
        <v>19.062465799999998</v>
      </c>
      <c r="G290">
        <v>72.823579100000003</v>
      </c>
      <c r="H290">
        <f t="shared" si="20"/>
        <v>3027.2</v>
      </c>
      <c r="I290" s="4">
        <f t="shared" si="21"/>
        <v>17600</v>
      </c>
      <c r="J290" s="6">
        <f t="shared" si="22"/>
        <v>350</v>
      </c>
      <c r="K290" s="6">
        <f t="shared" si="23"/>
        <v>6160000</v>
      </c>
      <c r="L290" s="3" t="str">
        <f t="shared" si="24"/>
        <v>Popular</v>
      </c>
    </row>
    <row r="291" spans="1:12">
      <c r="A291" t="s">
        <v>409</v>
      </c>
      <c r="B291" t="s">
        <v>504</v>
      </c>
      <c r="C291" s="4">
        <v>4.2</v>
      </c>
      <c r="D291" s="4">
        <v>3653</v>
      </c>
      <c r="E291" t="s">
        <v>505</v>
      </c>
      <c r="F291" s="4">
        <v>19.0669696</v>
      </c>
      <c r="G291">
        <v>72.832881999999998</v>
      </c>
      <c r="H291">
        <f t="shared" si="20"/>
        <v>15342.6</v>
      </c>
      <c r="I291" s="4">
        <f t="shared" si="21"/>
        <v>91325</v>
      </c>
      <c r="J291" s="6">
        <f t="shared" si="22"/>
        <v>350</v>
      </c>
      <c r="K291" s="6">
        <f t="shared" si="23"/>
        <v>31963750</v>
      </c>
      <c r="L291" s="3" t="str">
        <f t="shared" si="24"/>
        <v>Popular</v>
      </c>
    </row>
    <row r="292" spans="1:12">
      <c r="A292" t="s">
        <v>409</v>
      </c>
      <c r="B292" t="s">
        <v>506</v>
      </c>
      <c r="C292" s="4">
        <v>4</v>
      </c>
      <c r="D292" s="4">
        <v>2311</v>
      </c>
      <c r="E292" t="s">
        <v>507</v>
      </c>
      <c r="F292" s="4">
        <v>19.051028899999999</v>
      </c>
      <c r="G292">
        <v>72.827395199999998</v>
      </c>
      <c r="H292">
        <f t="shared" si="20"/>
        <v>9244</v>
      </c>
      <c r="I292" s="4">
        <f t="shared" si="21"/>
        <v>57775</v>
      </c>
      <c r="J292" s="6">
        <f t="shared" si="22"/>
        <v>350</v>
      </c>
      <c r="K292" s="6">
        <f t="shared" si="23"/>
        <v>20221250</v>
      </c>
      <c r="L292" s="3" t="str">
        <f t="shared" si="24"/>
        <v>Popular</v>
      </c>
    </row>
    <row r="293" spans="1:12">
      <c r="A293" t="s">
        <v>409</v>
      </c>
      <c r="B293" t="s">
        <v>508</v>
      </c>
      <c r="C293" s="4">
        <v>4.5</v>
      </c>
      <c r="D293" s="4">
        <v>80</v>
      </c>
      <c r="E293" t="s">
        <v>509</v>
      </c>
      <c r="F293" s="4">
        <v>19.064805799999998</v>
      </c>
      <c r="G293">
        <v>72.829911299999907</v>
      </c>
      <c r="H293">
        <f t="shared" si="20"/>
        <v>360</v>
      </c>
      <c r="I293" s="4">
        <f t="shared" si="21"/>
        <v>2000</v>
      </c>
      <c r="J293" s="6">
        <f t="shared" si="22"/>
        <v>450</v>
      </c>
      <c r="K293" s="6">
        <f t="shared" si="23"/>
        <v>900000</v>
      </c>
      <c r="L293" s="3" t="str">
        <f t="shared" si="24"/>
        <v>Premium</v>
      </c>
    </row>
    <row r="294" spans="1:12">
      <c r="A294" t="s">
        <v>409</v>
      </c>
      <c r="B294" t="s">
        <v>510</v>
      </c>
      <c r="C294" s="4">
        <v>4.0999999999999996</v>
      </c>
      <c r="D294" s="4">
        <v>380</v>
      </c>
      <c r="E294" t="s">
        <v>511</v>
      </c>
      <c r="F294" s="4">
        <v>19.106172999999998</v>
      </c>
      <c r="G294">
        <v>72.826383899999996</v>
      </c>
      <c r="H294">
        <f t="shared" si="20"/>
        <v>1557.9999999999998</v>
      </c>
      <c r="I294" s="4">
        <f t="shared" si="21"/>
        <v>9500</v>
      </c>
      <c r="J294" s="6">
        <f t="shared" si="22"/>
        <v>350</v>
      </c>
      <c r="K294" s="6">
        <f t="shared" si="23"/>
        <v>3325000</v>
      </c>
      <c r="L294" s="3" t="str">
        <f t="shared" si="24"/>
        <v>Popular</v>
      </c>
    </row>
    <row r="295" spans="1:12">
      <c r="A295" t="s">
        <v>409</v>
      </c>
      <c r="B295" t="s">
        <v>123</v>
      </c>
      <c r="C295" s="4">
        <v>4.3</v>
      </c>
      <c r="D295" s="4">
        <v>2128</v>
      </c>
      <c r="E295" t="s">
        <v>512</v>
      </c>
      <c r="F295" s="4">
        <v>19.0506685</v>
      </c>
      <c r="G295">
        <v>72.827291199999905</v>
      </c>
      <c r="H295">
        <f t="shared" si="20"/>
        <v>9150.4</v>
      </c>
      <c r="I295" s="4">
        <f t="shared" si="21"/>
        <v>53200</v>
      </c>
      <c r="J295" s="6">
        <f t="shared" si="22"/>
        <v>350</v>
      </c>
      <c r="K295" s="6">
        <f t="shared" si="23"/>
        <v>18620000</v>
      </c>
      <c r="L295" s="3" t="str">
        <f t="shared" si="24"/>
        <v>Popular</v>
      </c>
    </row>
    <row r="296" spans="1:12">
      <c r="A296" t="s">
        <v>409</v>
      </c>
      <c r="B296" t="s">
        <v>513</v>
      </c>
      <c r="C296" s="4">
        <v>4.3</v>
      </c>
      <c r="D296" s="4">
        <v>187</v>
      </c>
      <c r="E296" t="s">
        <v>514</v>
      </c>
      <c r="F296" s="4">
        <v>19.066475700000002</v>
      </c>
      <c r="G296">
        <v>72.823221700000005</v>
      </c>
      <c r="H296">
        <f t="shared" si="20"/>
        <v>804.1</v>
      </c>
      <c r="I296" s="4">
        <f t="shared" si="21"/>
        <v>4675</v>
      </c>
      <c r="J296" s="6">
        <f t="shared" si="22"/>
        <v>350</v>
      </c>
      <c r="K296" s="6">
        <f t="shared" si="23"/>
        <v>1636250</v>
      </c>
      <c r="L296" s="3" t="str">
        <f t="shared" si="24"/>
        <v>Popular</v>
      </c>
    </row>
    <row r="297" spans="1:12">
      <c r="A297" t="s">
        <v>409</v>
      </c>
      <c r="B297" t="s">
        <v>515</v>
      </c>
      <c r="C297" s="4">
        <v>4.4000000000000004</v>
      </c>
      <c r="D297" s="4">
        <v>29</v>
      </c>
      <c r="E297" t="s">
        <v>516</v>
      </c>
      <c r="F297" s="4">
        <v>19.061571099999998</v>
      </c>
      <c r="G297">
        <v>72.8335747</v>
      </c>
      <c r="H297">
        <f t="shared" si="20"/>
        <v>127.60000000000001</v>
      </c>
      <c r="I297" s="4">
        <f t="shared" si="21"/>
        <v>725</v>
      </c>
      <c r="J297" s="6">
        <f t="shared" si="22"/>
        <v>450</v>
      </c>
      <c r="K297" s="6">
        <f t="shared" si="23"/>
        <v>326250</v>
      </c>
      <c r="L297" s="3" t="str">
        <f t="shared" si="24"/>
        <v>Popular</v>
      </c>
    </row>
    <row r="298" spans="1:12">
      <c r="A298" t="s">
        <v>409</v>
      </c>
      <c r="B298" t="s">
        <v>517</v>
      </c>
      <c r="C298" s="4">
        <v>4.4000000000000004</v>
      </c>
      <c r="D298" s="4">
        <v>58</v>
      </c>
      <c r="E298" t="s">
        <v>518</v>
      </c>
      <c r="F298" s="4">
        <v>19.0667875</v>
      </c>
      <c r="G298">
        <v>72.830312599999999</v>
      </c>
      <c r="H298">
        <f t="shared" si="20"/>
        <v>255.20000000000002</v>
      </c>
      <c r="I298" s="4">
        <f t="shared" si="21"/>
        <v>1450</v>
      </c>
      <c r="J298" s="6">
        <f t="shared" si="22"/>
        <v>450</v>
      </c>
      <c r="K298" s="6">
        <f t="shared" si="23"/>
        <v>652500</v>
      </c>
      <c r="L298" s="3" t="str">
        <f t="shared" si="24"/>
        <v>Popular</v>
      </c>
    </row>
    <row r="299" spans="1:12">
      <c r="A299" t="s">
        <v>409</v>
      </c>
      <c r="B299" t="s">
        <v>519</v>
      </c>
      <c r="C299" s="4">
        <v>4.3</v>
      </c>
      <c r="D299" s="4">
        <v>70</v>
      </c>
      <c r="E299" t="s">
        <v>520</v>
      </c>
      <c r="F299" s="4">
        <v>19.0627958</v>
      </c>
      <c r="G299">
        <v>72.832789199999993</v>
      </c>
      <c r="H299">
        <f t="shared" si="20"/>
        <v>301</v>
      </c>
      <c r="I299" s="4">
        <f t="shared" si="21"/>
        <v>1750</v>
      </c>
      <c r="J299" s="6">
        <f t="shared" si="22"/>
        <v>350</v>
      </c>
      <c r="K299" s="6">
        <f t="shared" si="23"/>
        <v>612500</v>
      </c>
      <c r="L299" s="3" t="str">
        <f t="shared" si="24"/>
        <v>Popular</v>
      </c>
    </row>
    <row r="300" spans="1:12">
      <c r="A300" t="s">
        <v>409</v>
      </c>
      <c r="B300" t="s">
        <v>521</v>
      </c>
      <c r="C300" s="4">
        <v>4.9000000000000004</v>
      </c>
      <c r="D300" s="4">
        <v>291</v>
      </c>
      <c r="E300" t="s">
        <v>522</v>
      </c>
      <c r="F300" s="4">
        <v>19.054071199999999</v>
      </c>
      <c r="G300">
        <v>72.827199499999907</v>
      </c>
      <c r="H300">
        <f t="shared" si="20"/>
        <v>1425.9</v>
      </c>
      <c r="I300" s="4">
        <f t="shared" si="21"/>
        <v>7275</v>
      </c>
      <c r="J300" s="6">
        <f t="shared" si="22"/>
        <v>550</v>
      </c>
      <c r="K300" s="6">
        <f t="shared" si="23"/>
        <v>4001250</v>
      </c>
      <c r="L300" s="3" t="str">
        <f t="shared" si="24"/>
        <v>Premium</v>
      </c>
    </row>
    <row r="301" spans="1:12">
      <c r="A301" t="s">
        <v>409</v>
      </c>
      <c r="B301" t="s">
        <v>523</v>
      </c>
      <c r="C301" s="4">
        <v>3.9</v>
      </c>
      <c r="D301" s="4">
        <v>3179</v>
      </c>
      <c r="E301" t="s">
        <v>524</v>
      </c>
      <c r="F301" s="4">
        <v>19.059938599999999</v>
      </c>
      <c r="G301">
        <v>72.833992199999997</v>
      </c>
      <c r="H301">
        <f t="shared" si="20"/>
        <v>12398.1</v>
      </c>
      <c r="I301" s="4">
        <f t="shared" si="21"/>
        <v>79475</v>
      </c>
      <c r="J301" s="6">
        <f t="shared" si="22"/>
        <v>350</v>
      </c>
      <c r="K301" s="6">
        <f t="shared" si="23"/>
        <v>27816250</v>
      </c>
      <c r="L301" s="3" t="str">
        <f t="shared" si="24"/>
        <v>Average</v>
      </c>
    </row>
    <row r="302" spans="1:12">
      <c r="A302" t="s">
        <v>525</v>
      </c>
      <c r="B302" t="s">
        <v>526</v>
      </c>
      <c r="C302" s="4">
        <v>4.3</v>
      </c>
      <c r="D302" s="4">
        <v>2144</v>
      </c>
      <c r="E302" t="s">
        <v>527</v>
      </c>
      <c r="F302" s="4">
        <v>19.137402999999999</v>
      </c>
      <c r="G302">
        <v>72.827039399999904</v>
      </c>
      <c r="H302">
        <f t="shared" si="20"/>
        <v>9219.1999999999989</v>
      </c>
      <c r="I302" s="4">
        <f t="shared" si="21"/>
        <v>53600</v>
      </c>
      <c r="J302" s="6">
        <f t="shared" si="22"/>
        <v>350</v>
      </c>
      <c r="K302" s="6">
        <f t="shared" si="23"/>
        <v>18760000</v>
      </c>
      <c r="L302" s="3" t="str">
        <f t="shared" si="24"/>
        <v>Popular</v>
      </c>
    </row>
    <row r="303" spans="1:12">
      <c r="A303" t="s">
        <v>525</v>
      </c>
      <c r="B303" t="s">
        <v>528</v>
      </c>
      <c r="C303" s="4">
        <v>4.2</v>
      </c>
      <c r="D303" s="4">
        <v>1373</v>
      </c>
      <c r="E303" t="s">
        <v>529</v>
      </c>
      <c r="F303" s="4">
        <v>19.148222100000002</v>
      </c>
      <c r="G303">
        <v>72.831577099999905</v>
      </c>
      <c r="H303">
        <f t="shared" si="20"/>
        <v>5766.6</v>
      </c>
      <c r="I303" s="4">
        <f t="shared" si="21"/>
        <v>34325</v>
      </c>
      <c r="J303" s="6">
        <f t="shared" si="22"/>
        <v>350</v>
      </c>
      <c r="K303" s="6">
        <f t="shared" si="23"/>
        <v>12013750</v>
      </c>
      <c r="L303" s="3" t="str">
        <f t="shared" si="24"/>
        <v>Popular</v>
      </c>
    </row>
    <row r="304" spans="1:12">
      <c r="A304" t="s">
        <v>525</v>
      </c>
      <c r="B304" t="s">
        <v>530</v>
      </c>
      <c r="C304" s="4">
        <v>4.5999999999999996</v>
      </c>
      <c r="D304" s="4">
        <v>2125</v>
      </c>
      <c r="E304" t="s">
        <v>531</v>
      </c>
      <c r="F304" s="4">
        <v>19.1387888</v>
      </c>
      <c r="G304">
        <v>72.813389999999998</v>
      </c>
      <c r="H304">
        <f t="shared" si="20"/>
        <v>9775</v>
      </c>
      <c r="I304" s="4">
        <f t="shared" si="21"/>
        <v>53125</v>
      </c>
      <c r="J304" s="6">
        <f t="shared" si="22"/>
        <v>450</v>
      </c>
      <c r="K304" s="6">
        <f t="shared" si="23"/>
        <v>23906250</v>
      </c>
      <c r="L304" s="3" t="str">
        <f t="shared" si="24"/>
        <v>Premium</v>
      </c>
    </row>
    <row r="305" spans="1:12">
      <c r="A305" t="s">
        <v>525</v>
      </c>
      <c r="B305" t="s">
        <v>532</v>
      </c>
      <c r="C305" s="4">
        <v>4.5999999999999996</v>
      </c>
      <c r="D305" s="4">
        <v>2589</v>
      </c>
      <c r="E305" t="s">
        <v>533</v>
      </c>
      <c r="F305" s="4">
        <v>19.109420400000001</v>
      </c>
      <c r="G305">
        <v>72.881181099999907</v>
      </c>
      <c r="H305">
        <f t="shared" si="20"/>
        <v>11909.4</v>
      </c>
      <c r="I305" s="4">
        <f t="shared" si="21"/>
        <v>64725</v>
      </c>
      <c r="J305" s="6">
        <f t="shared" si="22"/>
        <v>450</v>
      </c>
      <c r="K305" s="6">
        <f t="shared" si="23"/>
        <v>29126250</v>
      </c>
      <c r="L305" s="3" t="str">
        <f t="shared" si="24"/>
        <v>Premium</v>
      </c>
    </row>
    <row r="306" spans="1:12">
      <c r="A306" t="s">
        <v>525</v>
      </c>
      <c r="B306" t="s">
        <v>534</v>
      </c>
      <c r="C306" s="4">
        <v>4.3</v>
      </c>
      <c r="D306" s="4">
        <v>1780</v>
      </c>
      <c r="E306" t="s">
        <v>535</v>
      </c>
      <c r="F306" s="4">
        <v>19.149543300000001</v>
      </c>
      <c r="G306">
        <v>72.831697499999905</v>
      </c>
      <c r="H306">
        <f t="shared" si="20"/>
        <v>7654</v>
      </c>
      <c r="I306" s="4">
        <f t="shared" si="21"/>
        <v>44500</v>
      </c>
      <c r="J306" s="6">
        <f t="shared" si="22"/>
        <v>350</v>
      </c>
      <c r="K306" s="6">
        <f t="shared" si="23"/>
        <v>15575000</v>
      </c>
      <c r="L306" s="3" t="str">
        <f t="shared" si="24"/>
        <v>Popular</v>
      </c>
    </row>
    <row r="307" spans="1:12">
      <c r="A307" t="s">
        <v>525</v>
      </c>
      <c r="B307" t="s">
        <v>536</v>
      </c>
      <c r="C307" s="4">
        <v>4.2</v>
      </c>
      <c r="D307" s="4">
        <v>442</v>
      </c>
      <c r="E307" t="s">
        <v>537</v>
      </c>
      <c r="F307" s="4">
        <v>19.111668000000002</v>
      </c>
      <c r="G307">
        <v>72.871333000000007</v>
      </c>
      <c r="H307">
        <f t="shared" si="20"/>
        <v>1856.4</v>
      </c>
      <c r="I307" s="4">
        <f t="shared" si="21"/>
        <v>11050</v>
      </c>
      <c r="J307" s="6">
        <f t="shared" si="22"/>
        <v>350</v>
      </c>
      <c r="K307" s="6">
        <f t="shared" si="23"/>
        <v>3867500</v>
      </c>
      <c r="L307" s="3" t="str">
        <f t="shared" si="24"/>
        <v>Popular</v>
      </c>
    </row>
    <row r="308" spans="1:12">
      <c r="A308" t="s">
        <v>525</v>
      </c>
      <c r="B308" t="s">
        <v>538</v>
      </c>
      <c r="C308" s="4">
        <v>4.3</v>
      </c>
      <c r="D308" s="4">
        <v>875</v>
      </c>
      <c r="E308" t="s">
        <v>539</v>
      </c>
      <c r="F308" s="4">
        <v>19.113821999999999</v>
      </c>
      <c r="G308">
        <v>72.864102199999905</v>
      </c>
      <c r="H308">
        <f t="shared" si="20"/>
        <v>3762.5</v>
      </c>
      <c r="I308" s="4">
        <f t="shared" si="21"/>
        <v>21875</v>
      </c>
      <c r="J308" s="6">
        <f t="shared" si="22"/>
        <v>350</v>
      </c>
      <c r="K308" s="6">
        <f t="shared" si="23"/>
        <v>7656250</v>
      </c>
      <c r="L308" s="3" t="str">
        <f t="shared" si="24"/>
        <v>Popular</v>
      </c>
    </row>
    <row r="309" spans="1:12">
      <c r="A309" t="s">
        <v>525</v>
      </c>
      <c r="B309" t="s">
        <v>140</v>
      </c>
      <c r="C309" s="4">
        <v>3.9</v>
      </c>
      <c r="D309" s="4">
        <v>1248</v>
      </c>
      <c r="E309" t="s">
        <v>540</v>
      </c>
      <c r="F309" s="4">
        <v>19.106872500000001</v>
      </c>
      <c r="G309">
        <v>72.8638823</v>
      </c>
      <c r="H309">
        <f t="shared" si="20"/>
        <v>4867.2</v>
      </c>
      <c r="I309" s="4">
        <f t="shared" si="21"/>
        <v>31200</v>
      </c>
      <c r="J309" s="6">
        <f t="shared" si="22"/>
        <v>350</v>
      </c>
      <c r="K309" s="6">
        <f t="shared" si="23"/>
        <v>10920000</v>
      </c>
      <c r="L309" s="3" t="str">
        <f t="shared" si="24"/>
        <v>Average</v>
      </c>
    </row>
    <row r="310" spans="1:12">
      <c r="A310" t="s">
        <v>525</v>
      </c>
      <c r="B310" t="s">
        <v>541</v>
      </c>
      <c r="C310" s="4">
        <v>4.3</v>
      </c>
      <c r="D310" s="4">
        <v>763</v>
      </c>
      <c r="E310" t="s">
        <v>542</v>
      </c>
      <c r="F310" s="4">
        <v>19.1265453</v>
      </c>
      <c r="G310">
        <v>72.820882100000006</v>
      </c>
      <c r="H310">
        <f t="shared" si="20"/>
        <v>3280.9</v>
      </c>
      <c r="I310" s="4">
        <f t="shared" si="21"/>
        <v>19075</v>
      </c>
      <c r="J310" s="6">
        <f t="shared" si="22"/>
        <v>350</v>
      </c>
      <c r="K310" s="6">
        <f t="shared" si="23"/>
        <v>6676250</v>
      </c>
      <c r="L310" s="3" t="str">
        <f t="shared" si="24"/>
        <v>Popular</v>
      </c>
    </row>
    <row r="311" spans="1:12">
      <c r="A311" t="s">
        <v>525</v>
      </c>
      <c r="B311" t="s">
        <v>543</v>
      </c>
      <c r="C311" s="4">
        <v>4.3</v>
      </c>
      <c r="D311" s="4">
        <v>2392</v>
      </c>
      <c r="E311" t="s">
        <v>544</v>
      </c>
      <c r="F311" s="4">
        <v>19.139346700000001</v>
      </c>
      <c r="G311">
        <v>72.832314999999994</v>
      </c>
      <c r="H311">
        <f t="shared" si="20"/>
        <v>10285.6</v>
      </c>
      <c r="I311" s="4">
        <f t="shared" si="21"/>
        <v>59800</v>
      </c>
      <c r="J311" s="6">
        <f t="shared" si="22"/>
        <v>350</v>
      </c>
      <c r="K311" s="6">
        <f t="shared" si="23"/>
        <v>20930000</v>
      </c>
      <c r="L311" s="3" t="str">
        <f t="shared" si="24"/>
        <v>Popular</v>
      </c>
    </row>
    <row r="312" spans="1:12">
      <c r="A312" t="s">
        <v>525</v>
      </c>
      <c r="B312" t="s">
        <v>545</v>
      </c>
      <c r="C312" s="4">
        <v>4.2</v>
      </c>
      <c r="D312" s="4">
        <v>3561</v>
      </c>
      <c r="E312" t="s">
        <v>546</v>
      </c>
      <c r="F312" s="4">
        <v>19.149571099999999</v>
      </c>
      <c r="G312">
        <v>72.828068999999999</v>
      </c>
      <c r="H312">
        <f t="shared" si="20"/>
        <v>14956.2</v>
      </c>
      <c r="I312" s="4">
        <f t="shared" si="21"/>
        <v>89025</v>
      </c>
      <c r="J312" s="6">
        <f t="shared" si="22"/>
        <v>350</v>
      </c>
      <c r="K312" s="6">
        <f t="shared" si="23"/>
        <v>31158750</v>
      </c>
      <c r="L312" s="3" t="str">
        <f t="shared" si="24"/>
        <v>Popular</v>
      </c>
    </row>
    <row r="313" spans="1:12">
      <c r="A313" t="s">
        <v>525</v>
      </c>
      <c r="B313" t="s">
        <v>547</v>
      </c>
      <c r="C313" s="4">
        <v>4.3</v>
      </c>
      <c r="D313" s="4">
        <v>69</v>
      </c>
      <c r="E313" t="s">
        <v>548</v>
      </c>
      <c r="F313" s="4">
        <v>19.1400398</v>
      </c>
      <c r="G313">
        <v>72.834998499999998</v>
      </c>
      <c r="H313">
        <f t="shared" si="20"/>
        <v>296.7</v>
      </c>
      <c r="I313" s="4">
        <f t="shared" si="21"/>
        <v>1725</v>
      </c>
      <c r="J313" s="6">
        <f t="shared" si="22"/>
        <v>350</v>
      </c>
      <c r="K313" s="6">
        <f t="shared" si="23"/>
        <v>603750</v>
      </c>
      <c r="L313" s="3" t="str">
        <f t="shared" si="24"/>
        <v>Popular</v>
      </c>
    </row>
    <row r="314" spans="1:12">
      <c r="A314" t="s">
        <v>525</v>
      </c>
      <c r="B314" t="s">
        <v>549</v>
      </c>
      <c r="C314" s="4">
        <v>4.3</v>
      </c>
      <c r="D314" s="4">
        <v>1315</v>
      </c>
      <c r="E314" t="s">
        <v>550</v>
      </c>
      <c r="F314" s="4">
        <v>19.132836999999999</v>
      </c>
      <c r="G314">
        <v>72.812349100000006</v>
      </c>
      <c r="H314">
        <f t="shared" si="20"/>
        <v>5654.5</v>
      </c>
      <c r="I314" s="4">
        <f t="shared" si="21"/>
        <v>32875</v>
      </c>
      <c r="J314" s="6">
        <f t="shared" si="22"/>
        <v>350</v>
      </c>
      <c r="K314" s="6">
        <f t="shared" si="23"/>
        <v>11506250</v>
      </c>
      <c r="L314" s="3" t="str">
        <f t="shared" si="24"/>
        <v>Popular</v>
      </c>
    </row>
    <row r="315" spans="1:12">
      <c r="A315" t="s">
        <v>525</v>
      </c>
      <c r="B315" t="s">
        <v>551</v>
      </c>
      <c r="C315" s="4">
        <v>4.7</v>
      </c>
      <c r="D315" s="4">
        <v>187</v>
      </c>
      <c r="E315" t="s">
        <v>552</v>
      </c>
      <c r="F315" s="4">
        <v>19.128625499999998</v>
      </c>
      <c r="G315">
        <v>72.819467000000003</v>
      </c>
      <c r="H315">
        <f t="shared" si="20"/>
        <v>878.9</v>
      </c>
      <c r="I315" s="4">
        <f t="shared" si="21"/>
        <v>4675</v>
      </c>
      <c r="J315" s="6">
        <f t="shared" si="22"/>
        <v>550</v>
      </c>
      <c r="K315" s="6">
        <f t="shared" si="23"/>
        <v>2571250</v>
      </c>
      <c r="L315" s="3" t="str">
        <f t="shared" si="24"/>
        <v>Premium</v>
      </c>
    </row>
    <row r="316" spans="1:12">
      <c r="A316" t="s">
        <v>525</v>
      </c>
      <c r="B316" t="s">
        <v>553</v>
      </c>
      <c r="C316" s="4">
        <v>4.5</v>
      </c>
      <c r="D316" s="4">
        <v>983</v>
      </c>
      <c r="E316" t="s">
        <v>554</v>
      </c>
      <c r="F316" s="4">
        <v>19.117584099999998</v>
      </c>
      <c r="G316">
        <v>72.864727799999997</v>
      </c>
      <c r="H316">
        <f t="shared" si="20"/>
        <v>4423.5</v>
      </c>
      <c r="I316" s="4">
        <f t="shared" si="21"/>
        <v>24575</v>
      </c>
      <c r="J316" s="6">
        <f t="shared" si="22"/>
        <v>450</v>
      </c>
      <c r="K316" s="6">
        <f t="shared" si="23"/>
        <v>11058750</v>
      </c>
      <c r="L316" s="3" t="str">
        <f t="shared" si="24"/>
        <v>Premium</v>
      </c>
    </row>
    <row r="317" spans="1:12">
      <c r="A317" t="s">
        <v>525</v>
      </c>
      <c r="B317" t="s">
        <v>555</v>
      </c>
      <c r="C317" s="4">
        <v>4.7</v>
      </c>
      <c r="D317" s="4">
        <v>154</v>
      </c>
      <c r="E317" t="s">
        <v>556</v>
      </c>
      <c r="F317" s="4">
        <v>19.137415399999998</v>
      </c>
      <c r="G317">
        <v>72.827190299999998</v>
      </c>
      <c r="H317">
        <f t="shared" si="20"/>
        <v>723.80000000000007</v>
      </c>
      <c r="I317" s="4">
        <f t="shared" si="21"/>
        <v>3850</v>
      </c>
      <c r="J317" s="6">
        <f t="shared" si="22"/>
        <v>550</v>
      </c>
      <c r="K317" s="6">
        <f t="shared" si="23"/>
        <v>2117500</v>
      </c>
      <c r="L317" s="3" t="str">
        <f t="shared" si="24"/>
        <v>Premium</v>
      </c>
    </row>
    <row r="318" spans="1:12">
      <c r="A318" t="s">
        <v>525</v>
      </c>
      <c r="B318" t="s">
        <v>557</v>
      </c>
      <c r="C318" s="4">
        <v>4.4000000000000004</v>
      </c>
      <c r="D318" s="4">
        <v>1732</v>
      </c>
      <c r="E318" t="s">
        <v>558</v>
      </c>
      <c r="F318" s="4">
        <v>19.1329998</v>
      </c>
      <c r="G318">
        <v>72.812262199999907</v>
      </c>
      <c r="H318">
        <f t="shared" si="20"/>
        <v>7620.8</v>
      </c>
      <c r="I318" s="4">
        <f t="shared" si="21"/>
        <v>43300</v>
      </c>
      <c r="J318" s="6">
        <f t="shared" si="22"/>
        <v>450</v>
      </c>
      <c r="K318" s="6">
        <f t="shared" si="23"/>
        <v>19485000</v>
      </c>
      <c r="L318" s="3" t="str">
        <f t="shared" si="24"/>
        <v>Popular</v>
      </c>
    </row>
    <row r="319" spans="1:12">
      <c r="A319" t="s">
        <v>525</v>
      </c>
      <c r="B319" t="s">
        <v>559</v>
      </c>
      <c r="C319" s="4">
        <v>4.0999999999999996</v>
      </c>
      <c r="D319" s="4">
        <v>2877</v>
      </c>
      <c r="E319" t="s">
        <v>560</v>
      </c>
      <c r="F319" s="4">
        <v>19.133372000000001</v>
      </c>
      <c r="G319">
        <v>72.811536899999993</v>
      </c>
      <c r="H319">
        <f t="shared" si="20"/>
        <v>11795.699999999999</v>
      </c>
      <c r="I319" s="4">
        <f t="shared" si="21"/>
        <v>71925</v>
      </c>
      <c r="J319" s="6">
        <f t="shared" si="22"/>
        <v>350</v>
      </c>
      <c r="K319" s="6">
        <f t="shared" si="23"/>
        <v>25173750</v>
      </c>
      <c r="L319" s="3" t="str">
        <f t="shared" si="24"/>
        <v>Popular</v>
      </c>
    </row>
    <row r="320" spans="1:12">
      <c r="A320" t="s">
        <v>525</v>
      </c>
      <c r="B320" t="s">
        <v>561</v>
      </c>
      <c r="C320" s="4">
        <v>4.2</v>
      </c>
      <c r="D320" s="4">
        <v>1740</v>
      </c>
      <c r="E320" t="s">
        <v>562</v>
      </c>
      <c r="F320" s="4">
        <v>19.146730600000001</v>
      </c>
      <c r="G320">
        <v>72.828678400000001</v>
      </c>
      <c r="H320">
        <f t="shared" si="20"/>
        <v>7308</v>
      </c>
      <c r="I320" s="4">
        <f t="shared" si="21"/>
        <v>43500</v>
      </c>
      <c r="J320" s="6">
        <f t="shared" si="22"/>
        <v>350</v>
      </c>
      <c r="K320" s="6">
        <f t="shared" si="23"/>
        <v>15225000</v>
      </c>
      <c r="L320" s="3" t="str">
        <f t="shared" si="24"/>
        <v>Popular</v>
      </c>
    </row>
    <row r="321" spans="1:12">
      <c r="A321" t="s">
        <v>525</v>
      </c>
      <c r="B321" t="s">
        <v>48</v>
      </c>
      <c r="C321" s="4">
        <v>4.7</v>
      </c>
      <c r="D321" s="4">
        <v>778</v>
      </c>
      <c r="E321" t="s">
        <v>563</v>
      </c>
      <c r="F321" s="4">
        <v>19.1289871</v>
      </c>
      <c r="G321">
        <v>72.817658399999999</v>
      </c>
      <c r="H321">
        <f t="shared" si="20"/>
        <v>3656.6000000000004</v>
      </c>
      <c r="I321" s="4">
        <f t="shared" si="21"/>
        <v>19450</v>
      </c>
      <c r="J321" s="6">
        <f t="shared" si="22"/>
        <v>550</v>
      </c>
      <c r="K321" s="6">
        <f t="shared" si="23"/>
        <v>10697500</v>
      </c>
      <c r="L321" s="3" t="str">
        <f t="shared" si="24"/>
        <v>Premium</v>
      </c>
    </row>
    <row r="322" spans="1:12">
      <c r="A322" t="s">
        <v>525</v>
      </c>
      <c r="B322" t="s">
        <v>564</v>
      </c>
      <c r="C322" s="4">
        <v>4.0999999999999996</v>
      </c>
      <c r="D322" s="4">
        <v>158</v>
      </c>
      <c r="E322" t="s">
        <v>565</v>
      </c>
      <c r="F322" s="4">
        <v>19.109677099999999</v>
      </c>
      <c r="G322">
        <v>72.875981600000003</v>
      </c>
      <c r="H322">
        <f t="shared" ref="H322:H385" si="25">C322*D322</f>
        <v>647.79999999999995</v>
      </c>
      <c r="I322" s="4">
        <f t="shared" ref="I322:I385" si="26">D322*25</f>
        <v>3950</v>
      </c>
      <c r="J322" s="6">
        <f t="shared" ref="J322:J385" si="27">IF(C322&gt;=4.7,550,IF(C322&gt;=4.4,450,IF(C322&gt;=O324,350,250)))</f>
        <v>350</v>
      </c>
      <c r="K322" s="6">
        <f t="shared" ref="K322:K385" si="28">I322*J322</f>
        <v>1382500</v>
      </c>
      <c r="L322" s="3" t="str">
        <f t="shared" ref="L322:L385" si="29">IF(C322&gt;=4.5,"Premium",IF(C322&gt;=4,"Popular","Average"))</f>
        <v>Popular</v>
      </c>
    </row>
    <row r="323" spans="1:12">
      <c r="A323" t="s">
        <v>525</v>
      </c>
      <c r="B323" t="s">
        <v>123</v>
      </c>
      <c r="C323" s="4">
        <v>4.3</v>
      </c>
      <c r="D323" s="4">
        <v>2431</v>
      </c>
      <c r="E323" t="s">
        <v>566</v>
      </c>
      <c r="F323" s="4">
        <v>19.114759500000002</v>
      </c>
      <c r="G323">
        <v>72.861147099999997</v>
      </c>
      <c r="H323">
        <f t="shared" si="25"/>
        <v>10453.299999999999</v>
      </c>
      <c r="I323" s="4">
        <f t="shared" si="26"/>
        <v>60775</v>
      </c>
      <c r="J323" s="6">
        <f t="shared" si="27"/>
        <v>350</v>
      </c>
      <c r="K323" s="6">
        <f t="shared" si="28"/>
        <v>21271250</v>
      </c>
      <c r="L323" s="3" t="str">
        <f t="shared" si="29"/>
        <v>Popular</v>
      </c>
    </row>
    <row r="324" spans="1:12">
      <c r="A324" t="s">
        <v>525</v>
      </c>
      <c r="B324" t="s">
        <v>48</v>
      </c>
      <c r="C324" s="4">
        <v>4.7</v>
      </c>
      <c r="D324" s="4">
        <v>1110</v>
      </c>
      <c r="E324" t="s">
        <v>567</v>
      </c>
      <c r="F324" s="4">
        <v>19.146611100000001</v>
      </c>
      <c r="G324">
        <v>72.828694999999996</v>
      </c>
      <c r="H324">
        <f t="shared" si="25"/>
        <v>5217</v>
      </c>
      <c r="I324" s="4">
        <f t="shared" si="26"/>
        <v>27750</v>
      </c>
      <c r="J324" s="6">
        <f t="shared" si="27"/>
        <v>550</v>
      </c>
      <c r="K324" s="6">
        <f t="shared" si="28"/>
        <v>15262500</v>
      </c>
      <c r="L324" s="3" t="str">
        <f t="shared" si="29"/>
        <v>Premium</v>
      </c>
    </row>
    <row r="325" spans="1:12">
      <c r="A325" t="s">
        <v>525</v>
      </c>
      <c r="B325" t="s">
        <v>568</v>
      </c>
      <c r="C325" s="4">
        <v>4.0999999999999996</v>
      </c>
      <c r="D325" s="4">
        <v>958</v>
      </c>
      <c r="E325" t="s">
        <v>569</v>
      </c>
      <c r="F325" s="4">
        <v>19.152528199999999</v>
      </c>
      <c r="G325">
        <v>72.831272400000003</v>
      </c>
      <c r="H325">
        <f t="shared" si="25"/>
        <v>3927.7999999999997</v>
      </c>
      <c r="I325" s="4">
        <f t="shared" si="26"/>
        <v>23950</v>
      </c>
      <c r="J325" s="6">
        <f t="shared" si="27"/>
        <v>350</v>
      </c>
      <c r="K325" s="6">
        <f t="shared" si="28"/>
        <v>8382500</v>
      </c>
      <c r="L325" s="3" t="str">
        <f t="shared" si="29"/>
        <v>Popular</v>
      </c>
    </row>
    <row r="326" spans="1:12">
      <c r="A326" t="s">
        <v>525</v>
      </c>
      <c r="B326" t="s">
        <v>570</v>
      </c>
      <c r="C326" s="4">
        <v>4.5999999999999996</v>
      </c>
      <c r="D326" s="4">
        <v>93</v>
      </c>
      <c r="E326" t="s">
        <v>571</v>
      </c>
      <c r="F326" s="4">
        <v>19.1131891</v>
      </c>
      <c r="G326">
        <v>72.882127699999998</v>
      </c>
      <c r="H326">
        <f t="shared" si="25"/>
        <v>427.79999999999995</v>
      </c>
      <c r="I326" s="4">
        <f t="shared" si="26"/>
        <v>2325</v>
      </c>
      <c r="J326" s="6">
        <f t="shared" si="27"/>
        <v>450</v>
      </c>
      <c r="K326" s="6">
        <f t="shared" si="28"/>
        <v>1046250</v>
      </c>
      <c r="L326" s="3" t="str">
        <f t="shared" si="29"/>
        <v>Premium</v>
      </c>
    </row>
    <row r="327" spans="1:12">
      <c r="A327" t="s">
        <v>525</v>
      </c>
      <c r="B327" t="s">
        <v>572</v>
      </c>
      <c r="C327" s="4">
        <v>4.7</v>
      </c>
      <c r="D327" s="4">
        <v>91</v>
      </c>
      <c r="E327" t="s">
        <v>573</v>
      </c>
      <c r="F327" s="4">
        <v>19.136251999999999</v>
      </c>
      <c r="G327">
        <v>72.821344199999999</v>
      </c>
      <c r="H327">
        <f t="shared" si="25"/>
        <v>427.7</v>
      </c>
      <c r="I327" s="4">
        <f t="shared" si="26"/>
        <v>2275</v>
      </c>
      <c r="J327" s="6">
        <f t="shared" si="27"/>
        <v>550</v>
      </c>
      <c r="K327" s="6">
        <f t="shared" si="28"/>
        <v>1251250</v>
      </c>
      <c r="L327" s="3" t="str">
        <f t="shared" si="29"/>
        <v>Premium</v>
      </c>
    </row>
    <row r="328" spans="1:12">
      <c r="A328" t="s">
        <v>525</v>
      </c>
      <c r="B328" t="s">
        <v>574</v>
      </c>
      <c r="C328" s="4">
        <v>4.5999999999999996</v>
      </c>
      <c r="D328" s="4">
        <v>3035</v>
      </c>
      <c r="E328" t="s">
        <v>575</v>
      </c>
      <c r="F328" s="4">
        <v>19.1497092</v>
      </c>
      <c r="G328">
        <v>72.8270208</v>
      </c>
      <c r="H328">
        <f t="shared" si="25"/>
        <v>13960.999999999998</v>
      </c>
      <c r="I328" s="4">
        <f t="shared" si="26"/>
        <v>75875</v>
      </c>
      <c r="J328" s="6">
        <f t="shared" si="27"/>
        <v>450</v>
      </c>
      <c r="K328" s="6">
        <f t="shared" si="28"/>
        <v>34143750</v>
      </c>
      <c r="L328" s="3" t="str">
        <f t="shared" si="29"/>
        <v>Premium</v>
      </c>
    </row>
    <row r="329" spans="1:12">
      <c r="A329" t="s">
        <v>525</v>
      </c>
      <c r="B329" t="s">
        <v>576</v>
      </c>
      <c r="C329" s="4">
        <v>3.9</v>
      </c>
      <c r="D329" s="4">
        <v>2876</v>
      </c>
      <c r="E329" t="s">
        <v>577</v>
      </c>
      <c r="F329" s="4">
        <v>19.111430599999998</v>
      </c>
      <c r="G329">
        <v>72.878641099999996</v>
      </c>
      <c r="H329">
        <f t="shared" si="25"/>
        <v>11216.4</v>
      </c>
      <c r="I329" s="4">
        <f t="shared" si="26"/>
        <v>71900</v>
      </c>
      <c r="J329" s="6">
        <f t="shared" si="27"/>
        <v>350</v>
      </c>
      <c r="K329" s="6">
        <f t="shared" si="28"/>
        <v>25165000</v>
      </c>
      <c r="L329" s="3" t="str">
        <f t="shared" si="29"/>
        <v>Average</v>
      </c>
    </row>
    <row r="330" spans="1:12">
      <c r="A330" t="s">
        <v>525</v>
      </c>
      <c r="B330" t="s">
        <v>578</v>
      </c>
      <c r="C330" s="4">
        <v>4.5999999999999996</v>
      </c>
      <c r="D330" s="4">
        <v>2453</v>
      </c>
      <c r="E330" t="s">
        <v>579</v>
      </c>
      <c r="F330" s="4">
        <v>19.103168</v>
      </c>
      <c r="G330">
        <v>72.877701999999999</v>
      </c>
      <c r="H330">
        <f t="shared" si="25"/>
        <v>11283.8</v>
      </c>
      <c r="I330" s="4">
        <f t="shared" si="26"/>
        <v>61325</v>
      </c>
      <c r="J330" s="6">
        <f t="shared" si="27"/>
        <v>450</v>
      </c>
      <c r="K330" s="6">
        <f t="shared" si="28"/>
        <v>27596250</v>
      </c>
      <c r="L330" s="3" t="str">
        <f t="shared" si="29"/>
        <v>Premium</v>
      </c>
    </row>
    <row r="331" spans="1:12">
      <c r="A331" t="s">
        <v>525</v>
      </c>
      <c r="B331" t="s">
        <v>580</v>
      </c>
      <c r="C331" s="4">
        <v>4.7</v>
      </c>
      <c r="D331" s="4">
        <v>167</v>
      </c>
      <c r="E331" t="s">
        <v>581</v>
      </c>
      <c r="F331" s="4">
        <v>19.115672700000001</v>
      </c>
      <c r="G331">
        <v>72.856945400000001</v>
      </c>
      <c r="H331">
        <f t="shared" si="25"/>
        <v>784.9</v>
      </c>
      <c r="I331" s="4">
        <f t="shared" si="26"/>
        <v>4175</v>
      </c>
      <c r="J331" s="6">
        <f t="shared" si="27"/>
        <v>550</v>
      </c>
      <c r="K331" s="6">
        <f t="shared" si="28"/>
        <v>2296250</v>
      </c>
      <c r="L331" s="3" t="str">
        <f t="shared" si="29"/>
        <v>Premium</v>
      </c>
    </row>
    <row r="332" spans="1:12">
      <c r="A332" t="s">
        <v>525</v>
      </c>
      <c r="B332" t="s">
        <v>582</v>
      </c>
      <c r="C332" s="4">
        <v>4.4000000000000004</v>
      </c>
      <c r="D332" s="4">
        <v>18396</v>
      </c>
      <c r="E332" t="s">
        <v>583</v>
      </c>
      <c r="F332" s="4">
        <v>19.106129200000002</v>
      </c>
      <c r="G332">
        <v>72.825709399999994</v>
      </c>
      <c r="H332">
        <f t="shared" si="25"/>
        <v>80942.400000000009</v>
      </c>
      <c r="I332" s="4">
        <f t="shared" si="26"/>
        <v>459900</v>
      </c>
      <c r="J332" s="6">
        <f t="shared" si="27"/>
        <v>450</v>
      </c>
      <c r="K332" s="6">
        <f t="shared" si="28"/>
        <v>206955000</v>
      </c>
      <c r="L332" s="3" t="str">
        <f t="shared" si="29"/>
        <v>Popular</v>
      </c>
    </row>
    <row r="333" spans="1:12">
      <c r="A333" t="s">
        <v>525</v>
      </c>
      <c r="B333" t="s">
        <v>584</v>
      </c>
      <c r="C333" s="4">
        <v>4.0999999999999996</v>
      </c>
      <c r="D333" s="4">
        <v>431</v>
      </c>
      <c r="E333" t="s">
        <v>585</v>
      </c>
      <c r="F333" s="4">
        <v>19.1307759</v>
      </c>
      <c r="G333">
        <v>72.826207799999906</v>
      </c>
      <c r="H333">
        <f t="shared" si="25"/>
        <v>1767.1</v>
      </c>
      <c r="I333" s="4">
        <f t="shared" si="26"/>
        <v>10775</v>
      </c>
      <c r="J333" s="6">
        <f t="shared" si="27"/>
        <v>350</v>
      </c>
      <c r="K333" s="6">
        <f t="shared" si="28"/>
        <v>3771250</v>
      </c>
      <c r="L333" s="3" t="str">
        <f t="shared" si="29"/>
        <v>Popular</v>
      </c>
    </row>
    <row r="334" spans="1:12">
      <c r="A334" t="s">
        <v>525</v>
      </c>
      <c r="B334" t="s">
        <v>586</v>
      </c>
      <c r="C334" s="4">
        <v>4.5</v>
      </c>
      <c r="D334" s="4">
        <v>518</v>
      </c>
      <c r="E334" t="s">
        <v>587</v>
      </c>
      <c r="F334" s="4">
        <v>19.141111500000001</v>
      </c>
      <c r="G334">
        <v>72.812974599999905</v>
      </c>
      <c r="H334">
        <f t="shared" si="25"/>
        <v>2331</v>
      </c>
      <c r="I334" s="4">
        <f t="shared" si="26"/>
        <v>12950</v>
      </c>
      <c r="J334" s="6">
        <f t="shared" si="27"/>
        <v>450</v>
      </c>
      <c r="K334" s="6">
        <f t="shared" si="28"/>
        <v>5827500</v>
      </c>
      <c r="L334" s="3" t="str">
        <f t="shared" si="29"/>
        <v>Premium</v>
      </c>
    </row>
    <row r="335" spans="1:12">
      <c r="A335" t="s">
        <v>525</v>
      </c>
      <c r="B335" t="s">
        <v>588</v>
      </c>
      <c r="C335" s="4">
        <v>4.2</v>
      </c>
      <c r="D335" s="4">
        <v>415</v>
      </c>
      <c r="E335" t="s">
        <v>589</v>
      </c>
      <c r="F335" s="4">
        <v>19.127327699999999</v>
      </c>
      <c r="G335">
        <v>72.838376199999999</v>
      </c>
      <c r="H335">
        <f t="shared" si="25"/>
        <v>1743</v>
      </c>
      <c r="I335" s="4">
        <f t="shared" si="26"/>
        <v>10375</v>
      </c>
      <c r="J335" s="6">
        <f t="shared" si="27"/>
        <v>350</v>
      </c>
      <c r="K335" s="6">
        <f t="shared" si="28"/>
        <v>3631250</v>
      </c>
      <c r="L335" s="3" t="str">
        <f t="shared" si="29"/>
        <v>Popular</v>
      </c>
    </row>
    <row r="336" spans="1:12">
      <c r="A336" t="s">
        <v>525</v>
      </c>
      <c r="B336" t="s">
        <v>590</v>
      </c>
      <c r="C336" s="4">
        <v>4.3</v>
      </c>
      <c r="D336" s="4">
        <v>156</v>
      </c>
      <c r="E336" t="s">
        <v>591</v>
      </c>
      <c r="F336" s="4">
        <v>19.136759999999999</v>
      </c>
      <c r="G336">
        <v>72.829373399999994</v>
      </c>
      <c r="H336">
        <f t="shared" si="25"/>
        <v>670.8</v>
      </c>
      <c r="I336" s="4">
        <f t="shared" si="26"/>
        <v>3900</v>
      </c>
      <c r="J336" s="6">
        <f t="shared" si="27"/>
        <v>350</v>
      </c>
      <c r="K336" s="6">
        <f t="shared" si="28"/>
        <v>1365000</v>
      </c>
      <c r="L336" s="3" t="str">
        <f t="shared" si="29"/>
        <v>Popular</v>
      </c>
    </row>
    <row r="337" spans="1:12">
      <c r="A337" t="s">
        <v>525</v>
      </c>
      <c r="B337" t="s">
        <v>592</v>
      </c>
      <c r="C337" s="4">
        <v>4.0999999999999996</v>
      </c>
      <c r="D337" s="4">
        <v>459</v>
      </c>
      <c r="E337" t="s">
        <v>593</v>
      </c>
      <c r="F337" s="4">
        <v>19.147060700000001</v>
      </c>
      <c r="G337">
        <v>72.829269400000001</v>
      </c>
      <c r="H337">
        <f t="shared" si="25"/>
        <v>1881.8999999999999</v>
      </c>
      <c r="I337" s="4">
        <f t="shared" si="26"/>
        <v>11475</v>
      </c>
      <c r="J337" s="6">
        <f t="shared" si="27"/>
        <v>350</v>
      </c>
      <c r="K337" s="6">
        <f t="shared" si="28"/>
        <v>4016250</v>
      </c>
      <c r="L337" s="3" t="str">
        <f t="shared" si="29"/>
        <v>Popular</v>
      </c>
    </row>
    <row r="338" spans="1:12">
      <c r="A338" t="s">
        <v>525</v>
      </c>
      <c r="B338" t="s">
        <v>594</v>
      </c>
      <c r="C338" s="4">
        <v>4.2</v>
      </c>
      <c r="D338" s="4">
        <v>1199</v>
      </c>
      <c r="E338" t="s">
        <v>595</v>
      </c>
      <c r="F338" s="4">
        <v>19.148246</v>
      </c>
      <c r="G338">
        <v>72.831577299999907</v>
      </c>
      <c r="H338">
        <f t="shared" si="25"/>
        <v>5035.8</v>
      </c>
      <c r="I338" s="4">
        <f t="shared" si="26"/>
        <v>29975</v>
      </c>
      <c r="J338" s="6">
        <f t="shared" si="27"/>
        <v>350</v>
      </c>
      <c r="K338" s="6">
        <f t="shared" si="28"/>
        <v>10491250</v>
      </c>
      <c r="L338" s="3" t="str">
        <f t="shared" si="29"/>
        <v>Popular</v>
      </c>
    </row>
    <row r="339" spans="1:12">
      <c r="A339" t="s">
        <v>525</v>
      </c>
      <c r="B339" t="s">
        <v>596</v>
      </c>
      <c r="C339" s="4">
        <v>4.9000000000000004</v>
      </c>
      <c r="D339" s="4">
        <v>340</v>
      </c>
      <c r="E339" t="s">
        <v>597</v>
      </c>
      <c r="F339" s="4">
        <v>19.117372799999998</v>
      </c>
      <c r="G339">
        <v>72.850504200000003</v>
      </c>
      <c r="H339">
        <f t="shared" si="25"/>
        <v>1666.0000000000002</v>
      </c>
      <c r="I339" s="4">
        <f t="shared" si="26"/>
        <v>8500</v>
      </c>
      <c r="J339" s="6">
        <f t="shared" si="27"/>
        <v>550</v>
      </c>
      <c r="K339" s="6">
        <f t="shared" si="28"/>
        <v>4675000</v>
      </c>
      <c r="L339" s="3" t="str">
        <f t="shared" si="29"/>
        <v>Premium</v>
      </c>
    </row>
    <row r="340" spans="1:12">
      <c r="A340" t="s">
        <v>525</v>
      </c>
      <c r="B340" t="s">
        <v>598</v>
      </c>
      <c r="C340" s="4">
        <v>4.5999999999999996</v>
      </c>
      <c r="D340" s="4">
        <v>805</v>
      </c>
      <c r="E340" t="s">
        <v>599</v>
      </c>
      <c r="F340" s="4">
        <v>19.108096499999998</v>
      </c>
      <c r="G340">
        <v>72.864653399999995</v>
      </c>
      <c r="H340">
        <f t="shared" si="25"/>
        <v>3702.9999999999995</v>
      </c>
      <c r="I340" s="4">
        <f t="shared" si="26"/>
        <v>20125</v>
      </c>
      <c r="J340" s="6">
        <f t="shared" si="27"/>
        <v>450</v>
      </c>
      <c r="K340" s="6">
        <f t="shared" si="28"/>
        <v>9056250</v>
      </c>
      <c r="L340" s="3" t="str">
        <f t="shared" si="29"/>
        <v>Premium</v>
      </c>
    </row>
    <row r="341" spans="1:12">
      <c r="A341" t="s">
        <v>525</v>
      </c>
      <c r="B341" t="s">
        <v>123</v>
      </c>
      <c r="C341" s="4">
        <v>4.4000000000000004</v>
      </c>
      <c r="D341" s="4">
        <v>2721</v>
      </c>
      <c r="E341" t="s">
        <v>600</v>
      </c>
      <c r="F341" s="4">
        <v>19.141498200000001</v>
      </c>
      <c r="G341">
        <v>72.831446700000001</v>
      </c>
      <c r="H341">
        <f t="shared" si="25"/>
        <v>11972.400000000001</v>
      </c>
      <c r="I341" s="4">
        <f t="shared" si="26"/>
        <v>68025</v>
      </c>
      <c r="J341" s="6">
        <f t="shared" si="27"/>
        <v>450</v>
      </c>
      <c r="K341" s="6">
        <f t="shared" si="28"/>
        <v>30611250</v>
      </c>
      <c r="L341" s="3" t="str">
        <f t="shared" si="29"/>
        <v>Popular</v>
      </c>
    </row>
    <row r="342" spans="1:12">
      <c r="A342" t="s">
        <v>525</v>
      </c>
      <c r="B342" t="s">
        <v>140</v>
      </c>
      <c r="C342" s="4">
        <v>3.9</v>
      </c>
      <c r="D342" s="4">
        <v>965</v>
      </c>
      <c r="E342" t="s">
        <v>601</v>
      </c>
      <c r="F342" s="4">
        <v>19.130531399999999</v>
      </c>
      <c r="G342">
        <v>72.837418099999994</v>
      </c>
      <c r="H342">
        <f t="shared" si="25"/>
        <v>3763.5</v>
      </c>
      <c r="I342" s="4">
        <f t="shared" si="26"/>
        <v>24125</v>
      </c>
      <c r="J342" s="6">
        <f t="shared" si="27"/>
        <v>350</v>
      </c>
      <c r="K342" s="6">
        <f t="shared" si="28"/>
        <v>8443750</v>
      </c>
      <c r="L342" s="3" t="str">
        <f t="shared" si="29"/>
        <v>Average</v>
      </c>
    </row>
    <row r="343" spans="1:12">
      <c r="A343" t="s">
        <v>525</v>
      </c>
      <c r="B343" t="s">
        <v>602</v>
      </c>
      <c r="C343" s="4">
        <v>4.0999999999999996</v>
      </c>
      <c r="D343" s="4">
        <v>135</v>
      </c>
      <c r="E343" t="s">
        <v>603</v>
      </c>
      <c r="F343" s="4">
        <v>19.149786500000001</v>
      </c>
      <c r="G343">
        <v>72.831734799999893</v>
      </c>
      <c r="H343">
        <f t="shared" si="25"/>
        <v>553.5</v>
      </c>
      <c r="I343" s="4">
        <f t="shared" si="26"/>
        <v>3375</v>
      </c>
      <c r="J343" s="6">
        <f t="shared" si="27"/>
        <v>350</v>
      </c>
      <c r="K343" s="6">
        <f t="shared" si="28"/>
        <v>1181250</v>
      </c>
      <c r="L343" s="3" t="str">
        <f t="shared" si="29"/>
        <v>Popular</v>
      </c>
    </row>
    <row r="344" spans="1:12">
      <c r="A344" t="s">
        <v>525</v>
      </c>
      <c r="B344" t="s">
        <v>254</v>
      </c>
      <c r="C344" s="4">
        <v>3.9</v>
      </c>
      <c r="D344" s="4">
        <v>1127</v>
      </c>
      <c r="E344" t="s">
        <v>604</v>
      </c>
      <c r="F344" s="4">
        <v>19.113774800000002</v>
      </c>
      <c r="G344">
        <v>72.841743899999997</v>
      </c>
      <c r="H344">
        <f t="shared" si="25"/>
        <v>4395.3</v>
      </c>
      <c r="I344" s="4">
        <f t="shared" si="26"/>
        <v>28175</v>
      </c>
      <c r="J344" s="6">
        <f t="shared" si="27"/>
        <v>350</v>
      </c>
      <c r="K344" s="6">
        <f t="shared" si="28"/>
        <v>9861250</v>
      </c>
      <c r="L344" s="3" t="str">
        <f t="shared" si="29"/>
        <v>Average</v>
      </c>
    </row>
    <row r="345" spans="1:12">
      <c r="A345" t="s">
        <v>525</v>
      </c>
      <c r="B345" t="s">
        <v>605</v>
      </c>
      <c r="C345" s="4">
        <v>4.0999999999999996</v>
      </c>
      <c r="D345" s="4">
        <v>445</v>
      </c>
      <c r="E345" t="s">
        <v>606</v>
      </c>
      <c r="F345" s="4">
        <v>19.1310477</v>
      </c>
      <c r="G345">
        <v>72.813866599999997</v>
      </c>
      <c r="H345">
        <f t="shared" si="25"/>
        <v>1824.4999999999998</v>
      </c>
      <c r="I345" s="4">
        <f t="shared" si="26"/>
        <v>11125</v>
      </c>
      <c r="J345" s="6">
        <f t="shared" si="27"/>
        <v>350</v>
      </c>
      <c r="K345" s="6">
        <f t="shared" si="28"/>
        <v>3893750</v>
      </c>
      <c r="L345" s="3" t="str">
        <f t="shared" si="29"/>
        <v>Popular</v>
      </c>
    </row>
    <row r="346" spans="1:12">
      <c r="A346" t="s">
        <v>525</v>
      </c>
      <c r="B346" t="s">
        <v>607</v>
      </c>
      <c r="C346" s="4">
        <v>4.3</v>
      </c>
      <c r="D346" s="4">
        <v>186</v>
      </c>
      <c r="E346" t="s">
        <v>608</v>
      </c>
      <c r="F346" s="4">
        <v>19.110417000000002</v>
      </c>
      <c r="G346">
        <v>72.874231999999907</v>
      </c>
      <c r="H346">
        <f t="shared" si="25"/>
        <v>799.8</v>
      </c>
      <c r="I346" s="4">
        <f t="shared" si="26"/>
        <v>4650</v>
      </c>
      <c r="J346" s="6">
        <f t="shared" si="27"/>
        <v>350</v>
      </c>
      <c r="K346" s="6">
        <f t="shared" si="28"/>
        <v>1627500</v>
      </c>
      <c r="L346" s="3" t="str">
        <f t="shared" si="29"/>
        <v>Popular</v>
      </c>
    </row>
    <row r="347" spans="1:12">
      <c r="A347" t="s">
        <v>525</v>
      </c>
      <c r="B347" t="s">
        <v>609</v>
      </c>
      <c r="C347" s="4">
        <v>4.0999999999999996</v>
      </c>
      <c r="D347" s="4">
        <v>51</v>
      </c>
      <c r="E347" t="s">
        <v>610</v>
      </c>
      <c r="F347" s="4">
        <v>19.112267599999999</v>
      </c>
      <c r="G347">
        <v>72.8679877</v>
      </c>
      <c r="H347">
        <f t="shared" si="25"/>
        <v>209.1</v>
      </c>
      <c r="I347" s="4">
        <f t="shared" si="26"/>
        <v>1275</v>
      </c>
      <c r="J347" s="6">
        <f t="shared" si="27"/>
        <v>350</v>
      </c>
      <c r="K347" s="6">
        <f t="shared" si="28"/>
        <v>446250</v>
      </c>
      <c r="L347" s="3" t="str">
        <f t="shared" si="29"/>
        <v>Popular</v>
      </c>
    </row>
    <row r="348" spans="1:12">
      <c r="A348" t="s">
        <v>525</v>
      </c>
      <c r="B348" t="s">
        <v>134</v>
      </c>
      <c r="C348" s="4">
        <v>3.9</v>
      </c>
      <c r="D348" s="4">
        <v>895</v>
      </c>
      <c r="E348" t="s">
        <v>611</v>
      </c>
      <c r="F348" s="4">
        <v>19.123038099999999</v>
      </c>
      <c r="G348">
        <v>72.846654099999995</v>
      </c>
      <c r="H348">
        <f t="shared" si="25"/>
        <v>3490.5</v>
      </c>
      <c r="I348" s="4">
        <f t="shared" si="26"/>
        <v>22375</v>
      </c>
      <c r="J348" s="6">
        <f t="shared" si="27"/>
        <v>350</v>
      </c>
      <c r="K348" s="6">
        <f t="shared" si="28"/>
        <v>7831250</v>
      </c>
      <c r="L348" s="3" t="str">
        <f t="shared" si="29"/>
        <v>Average</v>
      </c>
    </row>
    <row r="349" spans="1:12">
      <c r="A349" t="s">
        <v>525</v>
      </c>
      <c r="B349" t="s">
        <v>612</v>
      </c>
      <c r="C349" s="4">
        <v>3.8</v>
      </c>
      <c r="D349" s="4">
        <v>251</v>
      </c>
      <c r="E349" t="s">
        <v>613</v>
      </c>
      <c r="F349" s="4">
        <v>19.128332199999999</v>
      </c>
      <c r="G349">
        <v>72.829192599999999</v>
      </c>
      <c r="H349">
        <f t="shared" si="25"/>
        <v>953.8</v>
      </c>
      <c r="I349" s="4">
        <f t="shared" si="26"/>
        <v>6275</v>
      </c>
      <c r="J349" s="6">
        <f t="shared" si="27"/>
        <v>350</v>
      </c>
      <c r="K349" s="6">
        <f t="shared" si="28"/>
        <v>2196250</v>
      </c>
      <c r="L349" s="3" t="str">
        <f t="shared" si="29"/>
        <v>Average</v>
      </c>
    </row>
    <row r="350" spans="1:12">
      <c r="A350" t="s">
        <v>525</v>
      </c>
      <c r="B350" t="s">
        <v>614</v>
      </c>
      <c r="C350" s="4">
        <v>4</v>
      </c>
      <c r="D350" s="4">
        <v>1037</v>
      </c>
      <c r="E350" t="s">
        <v>615</v>
      </c>
      <c r="F350" s="4">
        <v>19.118502599999999</v>
      </c>
      <c r="G350">
        <v>72.844822899999997</v>
      </c>
      <c r="H350">
        <f t="shared" si="25"/>
        <v>4148</v>
      </c>
      <c r="I350" s="4">
        <f t="shared" si="26"/>
        <v>25925</v>
      </c>
      <c r="J350" s="6">
        <f t="shared" si="27"/>
        <v>350</v>
      </c>
      <c r="K350" s="6">
        <f t="shared" si="28"/>
        <v>9073750</v>
      </c>
      <c r="L350" s="3" t="str">
        <f t="shared" si="29"/>
        <v>Popular</v>
      </c>
    </row>
    <row r="351" spans="1:12">
      <c r="A351" t="s">
        <v>525</v>
      </c>
      <c r="B351" t="s">
        <v>616</v>
      </c>
      <c r="C351" s="4">
        <v>3.8</v>
      </c>
      <c r="D351" s="4">
        <v>168</v>
      </c>
      <c r="E351" t="s">
        <v>617</v>
      </c>
      <c r="F351" s="4">
        <v>19.1130949</v>
      </c>
      <c r="G351">
        <v>72.844556999999995</v>
      </c>
      <c r="H351">
        <f t="shared" si="25"/>
        <v>638.4</v>
      </c>
      <c r="I351" s="4">
        <f t="shared" si="26"/>
        <v>4200</v>
      </c>
      <c r="J351" s="6">
        <f t="shared" si="27"/>
        <v>350</v>
      </c>
      <c r="K351" s="6">
        <f t="shared" si="28"/>
        <v>1470000</v>
      </c>
      <c r="L351" s="3" t="str">
        <f t="shared" si="29"/>
        <v>Average</v>
      </c>
    </row>
    <row r="352" spans="1:12">
      <c r="A352" t="s">
        <v>525</v>
      </c>
      <c r="B352" t="s">
        <v>618</v>
      </c>
      <c r="C352" s="4">
        <v>4.3</v>
      </c>
      <c r="D352" s="4">
        <v>100</v>
      </c>
      <c r="E352" t="s">
        <v>619</v>
      </c>
      <c r="F352" s="4">
        <v>19.124683000000001</v>
      </c>
      <c r="G352">
        <v>72.864808199999999</v>
      </c>
      <c r="H352">
        <f t="shared" si="25"/>
        <v>430</v>
      </c>
      <c r="I352" s="4">
        <f t="shared" si="26"/>
        <v>2500</v>
      </c>
      <c r="J352" s="6">
        <f t="shared" si="27"/>
        <v>350</v>
      </c>
      <c r="K352" s="6">
        <f t="shared" si="28"/>
        <v>875000</v>
      </c>
      <c r="L352" s="3" t="str">
        <f t="shared" si="29"/>
        <v>Popular</v>
      </c>
    </row>
    <row r="353" spans="1:12">
      <c r="A353" t="s">
        <v>525</v>
      </c>
      <c r="B353" t="s">
        <v>620</v>
      </c>
      <c r="C353" s="4">
        <v>3.9</v>
      </c>
      <c r="D353" s="4">
        <v>929</v>
      </c>
      <c r="E353" t="s">
        <v>621</v>
      </c>
      <c r="F353" s="4">
        <v>19.102402600000001</v>
      </c>
      <c r="G353">
        <v>72.888413200000002</v>
      </c>
      <c r="H353">
        <f t="shared" si="25"/>
        <v>3623.1</v>
      </c>
      <c r="I353" s="4">
        <f t="shared" si="26"/>
        <v>23225</v>
      </c>
      <c r="J353" s="6">
        <f t="shared" si="27"/>
        <v>350</v>
      </c>
      <c r="K353" s="6">
        <f t="shared" si="28"/>
        <v>8128750</v>
      </c>
      <c r="L353" s="3" t="str">
        <f t="shared" si="29"/>
        <v>Average</v>
      </c>
    </row>
    <row r="354" spans="1:12">
      <c r="A354" t="s">
        <v>525</v>
      </c>
      <c r="B354" t="s">
        <v>622</v>
      </c>
      <c r="C354" s="4">
        <v>4</v>
      </c>
      <c r="D354" s="4">
        <v>3464</v>
      </c>
      <c r="E354" t="s">
        <v>623</v>
      </c>
      <c r="F354" s="4">
        <v>19.117787400000001</v>
      </c>
      <c r="G354">
        <v>72.848220499999996</v>
      </c>
      <c r="H354">
        <f t="shared" si="25"/>
        <v>13856</v>
      </c>
      <c r="I354" s="4">
        <f t="shared" si="26"/>
        <v>86600</v>
      </c>
      <c r="J354" s="6">
        <f t="shared" si="27"/>
        <v>350</v>
      </c>
      <c r="K354" s="6">
        <f t="shared" si="28"/>
        <v>30310000</v>
      </c>
      <c r="L354" s="3" t="str">
        <f t="shared" si="29"/>
        <v>Popular</v>
      </c>
    </row>
    <row r="355" spans="1:12">
      <c r="A355" t="s">
        <v>525</v>
      </c>
      <c r="B355" t="s">
        <v>624</v>
      </c>
      <c r="C355" s="4">
        <v>4.7</v>
      </c>
      <c r="D355" s="4">
        <v>78</v>
      </c>
      <c r="E355" t="s">
        <v>625</v>
      </c>
      <c r="F355" s="4">
        <v>19.136799799999999</v>
      </c>
      <c r="G355">
        <v>72.829338100000001</v>
      </c>
      <c r="H355">
        <f t="shared" si="25"/>
        <v>366.6</v>
      </c>
      <c r="I355" s="4">
        <f t="shared" si="26"/>
        <v>1950</v>
      </c>
      <c r="J355" s="6">
        <f t="shared" si="27"/>
        <v>550</v>
      </c>
      <c r="K355" s="6">
        <f t="shared" si="28"/>
        <v>1072500</v>
      </c>
      <c r="L355" s="3" t="str">
        <f t="shared" si="29"/>
        <v>Premium</v>
      </c>
    </row>
    <row r="356" spans="1:12">
      <c r="A356" t="s">
        <v>525</v>
      </c>
      <c r="B356" t="s">
        <v>626</v>
      </c>
      <c r="C356" s="4">
        <v>4.0999999999999996</v>
      </c>
      <c r="D356" s="4">
        <v>259</v>
      </c>
      <c r="E356" t="s">
        <v>627</v>
      </c>
      <c r="F356" s="4">
        <v>19.1033051</v>
      </c>
      <c r="G356">
        <v>72.886342099999993</v>
      </c>
      <c r="H356">
        <f t="shared" si="25"/>
        <v>1061.8999999999999</v>
      </c>
      <c r="I356" s="4">
        <f t="shared" si="26"/>
        <v>6475</v>
      </c>
      <c r="J356" s="6">
        <f t="shared" si="27"/>
        <v>350</v>
      </c>
      <c r="K356" s="6">
        <f t="shared" si="28"/>
        <v>2266250</v>
      </c>
      <c r="L356" s="3" t="str">
        <f t="shared" si="29"/>
        <v>Popular</v>
      </c>
    </row>
    <row r="357" spans="1:12">
      <c r="A357" t="s">
        <v>525</v>
      </c>
      <c r="B357" t="s">
        <v>628</v>
      </c>
      <c r="C357" s="4">
        <v>4.5</v>
      </c>
      <c r="D357" s="4">
        <v>50</v>
      </c>
      <c r="E357" t="s">
        <v>629</v>
      </c>
      <c r="F357" s="4">
        <v>19.1359177</v>
      </c>
      <c r="G357">
        <v>72.832615399999995</v>
      </c>
      <c r="H357">
        <f t="shared" si="25"/>
        <v>225</v>
      </c>
      <c r="I357" s="4">
        <f t="shared" si="26"/>
        <v>1250</v>
      </c>
      <c r="J357" s="6">
        <f t="shared" si="27"/>
        <v>450</v>
      </c>
      <c r="K357" s="6">
        <f t="shared" si="28"/>
        <v>562500</v>
      </c>
      <c r="L357" s="3" t="str">
        <f t="shared" si="29"/>
        <v>Premium</v>
      </c>
    </row>
    <row r="358" spans="1:12">
      <c r="A358" t="s">
        <v>525</v>
      </c>
      <c r="B358" t="s">
        <v>630</v>
      </c>
      <c r="C358" s="4">
        <v>4.9000000000000004</v>
      </c>
      <c r="D358" s="4">
        <v>49</v>
      </c>
      <c r="E358" t="s">
        <v>631</v>
      </c>
      <c r="F358" s="4">
        <v>19.148792400000001</v>
      </c>
      <c r="G358">
        <v>72.832024099999998</v>
      </c>
      <c r="H358">
        <f t="shared" si="25"/>
        <v>240.10000000000002</v>
      </c>
      <c r="I358" s="4">
        <f t="shared" si="26"/>
        <v>1225</v>
      </c>
      <c r="J358" s="6">
        <f t="shared" si="27"/>
        <v>550</v>
      </c>
      <c r="K358" s="6">
        <f t="shared" si="28"/>
        <v>673750</v>
      </c>
      <c r="L358" s="3" t="str">
        <f t="shared" si="29"/>
        <v>Premium</v>
      </c>
    </row>
    <row r="359" spans="1:12">
      <c r="A359" t="s">
        <v>525</v>
      </c>
      <c r="B359" t="s">
        <v>632</v>
      </c>
      <c r="C359" s="4">
        <v>4</v>
      </c>
      <c r="D359" s="4">
        <v>796</v>
      </c>
      <c r="E359" t="s">
        <v>633</v>
      </c>
      <c r="F359" s="4">
        <v>19.139378600000001</v>
      </c>
      <c r="G359">
        <v>72.832043200000001</v>
      </c>
      <c r="H359">
        <f t="shared" si="25"/>
        <v>3184</v>
      </c>
      <c r="I359" s="4">
        <f t="shared" si="26"/>
        <v>19900</v>
      </c>
      <c r="J359" s="6">
        <f t="shared" si="27"/>
        <v>350</v>
      </c>
      <c r="K359" s="6">
        <f t="shared" si="28"/>
        <v>6965000</v>
      </c>
      <c r="L359" s="3" t="str">
        <f t="shared" si="29"/>
        <v>Popular</v>
      </c>
    </row>
    <row r="360" spans="1:12">
      <c r="A360" t="s">
        <v>525</v>
      </c>
      <c r="B360" t="s">
        <v>634</v>
      </c>
      <c r="C360" s="4">
        <v>4.7</v>
      </c>
      <c r="D360" s="4">
        <v>242</v>
      </c>
      <c r="E360" t="s">
        <v>635</v>
      </c>
      <c r="F360" s="4">
        <v>19.1502813</v>
      </c>
      <c r="G360">
        <v>72.831805899999907</v>
      </c>
      <c r="H360">
        <f t="shared" si="25"/>
        <v>1137.4000000000001</v>
      </c>
      <c r="I360" s="4">
        <f t="shared" si="26"/>
        <v>6050</v>
      </c>
      <c r="J360" s="6">
        <f t="shared" si="27"/>
        <v>550</v>
      </c>
      <c r="K360" s="6">
        <f t="shared" si="28"/>
        <v>3327500</v>
      </c>
      <c r="L360" s="3" t="str">
        <f t="shared" si="29"/>
        <v>Premium</v>
      </c>
    </row>
    <row r="361" spans="1:12">
      <c r="A361" t="s">
        <v>525</v>
      </c>
      <c r="B361" t="s">
        <v>636</v>
      </c>
      <c r="C361" s="4">
        <v>4.2</v>
      </c>
      <c r="D361" s="4">
        <v>69</v>
      </c>
      <c r="E361" t="s">
        <v>637</v>
      </c>
      <c r="F361" s="4">
        <v>19.1186027</v>
      </c>
      <c r="G361">
        <v>72.8522021</v>
      </c>
      <c r="H361">
        <f t="shared" si="25"/>
        <v>289.8</v>
      </c>
      <c r="I361" s="4">
        <f t="shared" si="26"/>
        <v>1725</v>
      </c>
      <c r="J361" s="6">
        <f t="shared" si="27"/>
        <v>350</v>
      </c>
      <c r="K361" s="6">
        <f t="shared" si="28"/>
        <v>603750</v>
      </c>
      <c r="L361" s="3" t="str">
        <f t="shared" si="29"/>
        <v>Popular</v>
      </c>
    </row>
    <row r="362" spans="1:12">
      <c r="A362" t="s">
        <v>638</v>
      </c>
      <c r="B362" t="s">
        <v>639</v>
      </c>
      <c r="C362" s="4">
        <v>4.3</v>
      </c>
      <c r="D362" s="4">
        <v>492</v>
      </c>
      <c r="E362" t="s">
        <v>640</v>
      </c>
      <c r="F362" s="4">
        <v>19.157133300000002</v>
      </c>
      <c r="G362">
        <v>72.845750999999893</v>
      </c>
      <c r="H362">
        <f t="shared" si="25"/>
        <v>2115.6</v>
      </c>
      <c r="I362" s="4">
        <f t="shared" si="26"/>
        <v>12300</v>
      </c>
      <c r="J362" s="6">
        <f t="shared" si="27"/>
        <v>350</v>
      </c>
      <c r="K362" s="6">
        <f t="shared" si="28"/>
        <v>4305000</v>
      </c>
      <c r="L362" s="3" t="str">
        <f t="shared" si="29"/>
        <v>Popular</v>
      </c>
    </row>
    <row r="363" spans="1:12">
      <c r="A363" t="s">
        <v>638</v>
      </c>
      <c r="B363" t="s">
        <v>641</v>
      </c>
      <c r="C363" s="4">
        <v>4.5999999999999996</v>
      </c>
      <c r="D363" s="4">
        <v>160</v>
      </c>
      <c r="E363" t="s">
        <v>642</v>
      </c>
      <c r="F363" s="4">
        <v>19.163674199999999</v>
      </c>
      <c r="G363">
        <v>72.847295500000001</v>
      </c>
      <c r="H363">
        <f t="shared" si="25"/>
        <v>736</v>
      </c>
      <c r="I363" s="4">
        <f t="shared" si="26"/>
        <v>4000</v>
      </c>
      <c r="J363" s="6">
        <f t="shared" si="27"/>
        <v>450</v>
      </c>
      <c r="K363" s="6">
        <f t="shared" si="28"/>
        <v>1800000</v>
      </c>
      <c r="L363" s="3" t="str">
        <f t="shared" si="29"/>
        <v>Premium</v>
      </c>
    </row>
    <row r="364" spans="1:12">
      <c r="A364" t="s">
        <v>638</v>
      </c>
      <c r="B364" t="s">
        <v>643</v>
      </c>
      <c r="C364" s="4">
        <v>4.5999999999999996</v>
      </c>
      <c r="D364" s="4">
        <v>101</v>
      </c>
      <c r="E364" t="s">
        <v>644</v>
      </c>
      <c r="F364" s="4">
        <v>19.155877499999999</v>
      </c>
      <c r="G364">
        <v>72.886346899999893</v>
      </c>
      <c r="H364">
        <f t="shared" si="25"/>
        <v>464.59999999999997</v>
      </c>
      <c r="I364" s="4">
        <f t="shared" si="26"/>
        <v>2525</v>
      </c>
      <c r="J364" s="6">
        <f t="shared" si="27"/>
        <v>450</v>
      </c>
      <c r="K364" s="6">
        <f t="shared" si="28"/>
        <v>1136250</v>
      </c>
      <c r="L364" s="3" t="str">
        <f t="shared" si="29"/>
        <v>Premium</v>
      </c>
    </row>
    <row r="365" spans="1:12">
      <c r="A365" t="s">
        <v>638</v>
      </c>
      <c r="B365" t="s">
        <v>645</v>
      </c>
      <c r="C365" s="4">
        <v>4.2</v>
      </c>
      <c r="D365" s="4">
        <v>94</v>
      </c>
      <c r="E365" t="s">
        <v>646</v>
      </c>
      <c r="F365" s="4">
        <v>19.1544177</v>
      </c>
      <c r="G365">
        <v>72.843415499999907</v>
      </c>
      <c r="H365">
        <f t="shared" si="25"/>
        <v>394.8</v>
      </c>
      <c r="I365" s="4">
        <f t="shared" si="26"/>
        <v>2350</v>
      </c>
      <c r="J365" s="6">
        <f t="shared" si="27"/>
        <v>350</v>
      </c>
      <c r="K365" s="6">
        <f t="shared" si="28"/>
        <v>822500</v>
      </c>
      <c r="L365" s="3" t="str">
        <f t="shared" si="29"/>
        <v>Popular</v>
      </c>
    </row>
    <row r="366" spans="1:12">
      <c r="A366" t="s">
        <v>638</v>
      </c>
      <c r="B366" t="s">
        <v>364</v>
      </c>
      <c r="C366" s="4">
        <v>4.3</v>
      </c>
      <c r="D366" s="4">
        <v>3749</v>
      </c>
      <c r="E366" t="s">
        <v>647</v>
      </c>
      <c r="F366" s="4">
        <v>19.173725900000001</v>
      </c>
      <c r="G366">
        <v>72.860708000000002</v>
      </c>
      <c r="H366">
        <f t="shared" si="25"/>
        <v>16120.699999999999</v>
      </c>
      <c r="I366" s="4">
        <f t="shared" si="26"/>
        <v>93725</v>
      </c>
      <c r="J366" s="6">
        <f t="shared" si="27"/>
        <v>350</v>
      </c>
      <c r="K366" s="6">
        <f t="shared" si="28"/>
        <v>32803750</v>
      </c>
      <c r="L366" s="3" t="str">
        <f t="shared" si="29"/>
        <v>Popular</v>
      </c>
    </row>
    <row r="367" spans="1:12">
      <c r="A367" t="s">
        <v>638</v>
      </c>
      <c r="B367" t="s">
        <v>648</v>
      </c>
      <c r="C367" s="4">
        <v>4.5999999999999996</v>
      </c>
      <c r="D367" s="4">
        <v>208</v>
      </c>
      <c r="E367" t="s">
        <v>649</v>
      </c>
      <c r="F367" s="4">
        <v>19.162067499999999</v>
      </c>
      <c r="G367">
        <v>72.836821499999999</v>
      </c>
      <c r="H367">
        <f t="shared" si="25"/>
        <v>956.8</v>
      </c>
      <c r="I367" s="4">
        <f t="shared" si="26"/>
        <v>5200</v>
      </c>
      <c r="J367" s="6">
        <f t="shared" si="27"/>
        <v>450</v>
      </c>
      <c r="K367" s="6">
        <f t="shared" si="28"/>
        <v>2340000</v>
      </c>
      <c r="L367" s="3" t="str">
        <f t="shared" si="29"/>
        <v>Premium</v>
      </c>
    </row>
    <row r="368" spans="1:12">
      <c r="A368" t="s">
        <v>638</v>
      </c>
      <c r="B368" t="s">
        <v>48</v>
      </c>
      <c r="C368" s="4">
        <v>4.7</v>
      </c>
      <c r="D368" s="4">
        <v>648</v>
      </c>
      <c r="E368" t="s">
        <v>650</v>
      </c>
      <c r="F368" s="4">
        <v>19.1740101</v>
      </c>
      <c r="G368">
        <v>72.860992799999906</v>
      </c>
      <c r="H368">
        <f t="shared" si="25"/>
        <v>3045.6</v>
      </c>
      <c r="I368" s="4">
        <f t="shared" si="26"/>
        <v>16200</v>
      </c>
      <c r="J368" s="6">
        <f t="shared" si="27"/>
        <v>550</v>
      </c>
      <c r="K368" s="6">
        <f t="shared" si="28"/>
        <v>8910000</v>
      </c>
      <c r="L368" s="3" t="str">
        <f t="shared" si="29"/>
        <v>Premium</v>
      </c>
    </row>
    <row r="369" spans="1:12">
      <c r="A369" t="s">
        <v>638</v>
      </c>
      <c r="B369" t="s">
        <v>651</v>
      </c>
      <c r="C369" s="4">
        <v>4.5</v>
      </c>
      <c r="D369" s="4">
        <v>30</v>
      </c>
      <c r="E369" t="s">
        <v>652</v>
      </c>
      <c r="F369" s="4">
        <v>19.1679253</v>
      </c>
      <c r="G369">
        <v>72.854330899999994</v>
      </c>
      <c r="H369">
        <f t="shared" si="25"/>
        <v>135</v>
      </c>
      <c r="I369" s="4">
        <f t="shared" si="26"/>
        <v>750</v>
      </c>
      <c r="J369" s="6">
        <f t="shared" si="27"/>
        <v>450</v>
      </c>
      <c r="K369" s="6">
        <f t="shared" si="28"/>
        <v>337500</v>
      </c>
      <c r="L369" s="3" t="str">
        <f t="shared" si="29"/>
        <v>Premium</v>
      </c>
    </row>
    <row r="370" spans="1:12">
      <c r="A370" t="s">
        <v>638</v>
      </c>
      <c r="B370" t="s">
        <v>653</v>
      </c>
      <c r="C370" s="4">
        <v>4.7</v>
      </c>
      <c r="D370" s="4">
        <v>288</v>
      </c>
      <c r="E370" t="s">
        <v>654</v>
      </c>
      <c r="F370" s="4">
        <v>19.166500800000001</v>
      </c>
      <c r="G370">
        <v>72.847348999999994</v>
      </c>
      <c r="H370">
        <f t="shared" si="25"/>
        <v>1353.6000000000001</v>
      </c>
      <c r="I370" s="4">
        <f t="shared" si="26"/>
        <v>7200</v>
      </c>
      <c r="J370" s="6">
        <f t="shared" si="27"/>
        <v>550</v>
      </c>
      <c r="K370" s="6">
        <f t="shared" si="28"/>
        <v>3960000</v>
      </c>
      <c r="L370" s="3" t="str">
        <f t="shared" si="29"/>
        <v>Premium</v>
      </c>
    </row>
    <row r="371" spans="1:12">
      <c r="A371" t="s">
        <v>638</v>
      </c>
      <c r="B371" t="s">
        <v>655</v>
      </c>
      <c r="C371" s="4">
        <v>3.8</v>
      </c>
      <c r="D371" s="4">
        <v>154</v>
      </c>
      <c r="E371" t="s">
        <v>656</v>
      </c>
      <c r="F371" s="4">
        <v>19.155766700000001</v>
      </c>
      <c r="G371">
        <v>72.853613499999994</v>
      </c>
      <c r="H371">
        <f t="shared" si="25"/>
        <v>585.19999999999993</v>
      </c>
      <c r="I371" s="4">
        <f t="shared" si="26"/>
        <v>3850</v>
      </c>
      <c r="J371" s="6">
        <f t="shared" si="27"/>
        <v>350</v>
      </c>
      <c r="K371" s="6">
        <f t="shared" si="28"/>
        <v>1347500</v>
      </c>
      <c r="L371" s="3" t="str">
        <f t="shared" si="29"/>
        <v>Average</v>
      </c>
    </row>
    <row r="372" spans="1:12">
      <c r="A372" t="s">
        <v>638</v>
      </c>
      <c r="B372" t="s">
        <v>657</v>
      </c>
      <c r="C372" s="4">
        <v>4.8</v>
      </c>
      <c r="D372" s="4">
        <v>35</v>
      </c>
      <c r="E372" t="s">
        <v>658</v>
      </c>
      <c r="F372" s="4">
        <v>19.1546649</v>
      </c>
      <c r="G372">
        <v>72.886794899999998</v>
      </c>
      <c r="H372">
        <f t="shared" si="25"/>
        <v>168</v>
      </c>
      <c r="I372" s="4">
        <f t="shared" si="26"/>
        <v>875</v>
      </c>
      <c r="J372" s="6">
        <f t="shared" si="27"/>
        <v>550</v>
      </c>
      <c r="K372" s="6">
        <f t="shared" si="28"/>
        <v>481250</v>
      </c>
      <c r="L372" s="3" t="str">
        <f t="shared" si="29"/>
        <v>Premium</v>
      </c>
    </row>
    <row r="373" spans="1:12">
      <c r="A373" t="s">
        <v>638</v>
      </c>
      <c r="B373" t="s">
        <v>123</v>
      </c>
      <c r="C373" s="4">
        <v>4.3</v>
      </c>
      <c r="D373" s="4">
        <v>2473</v>
      </c>
      <c r="E373" t="s">
        <v>659</v>
      </c>
      <c r="F373" s="4">
        <v>19.174045799999998</v>
      </c>
      <c r="G373">
        <v>72.860487499999905</v>
      </c>
      <c r="H373">
        <f t="shared" si="25"/>
        <v>10633.9</v>
      </c>
      <c r="I373" s="4">
        <f t="shared" si="26"/>
        <v>61825</v>
      </c>
      <c r="J373" s="6">
        <f t="shared" si="27"/>
        <v>350</v>
      </c>
      <c r="K373" s="6">
        <f t="shared" si="28"/>
        <v>21638750</v>
      </c>
      <c r="L373" s="3" t="str">
        <f t="shared" si="29"/>
        <v>Popular</v>
      </c>
    </row>
    <row r="374" spans="1:12">
      <c r="A374" t="s">
        <v>638</v>
      </c>
      <c r="B374" t="s">
        <v>660</v>
      </c>
      <c r="C374" s="4">
        <v>4.0999999999999996</v>
      </c>
      <c r="D374" s="4">
        <v>2243</v>
      </c>
      <c r="E374" t="s">
        <v>661</v>
      </c>
      <c r="F374" s="4">
        <v>19.1741077</v>
      </c>
      <c r="G374">
        <v>72.860602599999893</v>
      </c>
      <c r="H374">
        <f t="shared" si="25"/>
        <v>9196.2999999999993</v>
      </c>
      <c r="I374" s="4">
        <f t="shared" si="26"/>
        <v>56075</v>
      </c>
      <c r="J374" s="6">
        <f t="shared" si="27"/>
        <v>350</v>
      </c>
      <c r="K374" s="6">
        <f t="shared" si="28"/>
        <v>19626250</v>
      </c>
      <c r="L374" s="3" t="str">
        <f t="shared" si="29"/>
        <v>Popular</v>
      </c>
    </row>
    <row r="375" spans="1:12">
      <c r="A375" t="s">
        <v>638</v>
      </c>
      <c r="B375" t="s">
        <v>662</v>
      </c>
      <c r="C375" s="4">
        <v>4.2</v>
      </c>
      <c r="D375" s="4">
        <v>1581</v>
      </c>
      <c r="E375" t="s">
        <v>663</v>
      </c>
      <c r="F375" s="4">
        <v>19.1891593</v>
      </c>
      <c r="G375">
        <v>72.834676399999907</v>
      </c>
      <c r="H375">
        <f t="shared" si="25"/>
        <v>6640.2000000000007</v>
      </c>
      <c r="I375" s="4">
        <f t="shared" si="26"/>
        <v>39525</v>
      </c>
      <c r="J375" s="6">
        <f t="shared" si="27"/>
        <v>350</v>
      </c>
      <c r="K375" s="6">
        <f t="shared" si="28"/>
        <v>13833750</v>
      </c>
      <c r="L375" s="3" t="str">
        <f t="shared" si="29"/>
        <v>Popular</v>
      </c>
    </row>
    <row r="376" spans="1:12">
      <c r="A376" t="s">
        <v>638</v>
      </c>
      <c r="B376" t="s">
        <v>190</v>
      </c>
      <c r="C376" s="4">
        <v>4.5</v>
      </c>
      <c r="D376" s="4">
        <v>117</v>
      </c>
      <c r="E376" t="s">
        <v>664</v>
      </c>
      <c r="F376" s="4">
        <v>19.173808000000001</v>
      </c>
      <c r="G376">
        <v>72.860594300000002</v>
      </c>
      <c r="H376">
        <f t="shared" si="25"/>
        <v>526.5</v>
      </c>
      <c r="I376" s="4">
        <f t="shared" si="26"/>
        <v>2925</v>
      </c>
      <c r="J376" s="6">
        <f t="shared" si="27"/>
        <v>450</v>
      </c>
      <c r="K376" s="6">
        <f t="shared" si="28"/>
        <v>1316250</v>
      </c>
      <c r="L376" s="3" t="str">
        <f t="shared" si="29"/>
        <v>Premium</v>
      </c>
    </row>
    <row r="377" spans="1:12">
      <c r="A377" t="s">
        <v>638</v>
      </c>
      <c r="B377" t="s">
        <v>48</v>
      </c>
      <c r="C377" s="4">
        <v>5</v>
      </c>
      <c r="D377" s="4">
        <v>149</v>
      </c>
      <c r="E377" t="s">
        <v>665</v>
      </c>
      <c r="F377" s="4">
        <v>19.154374300000001</v>
      </c>
      <c r="G377">
        <v>72.843415800000002</v>
      </c>
      <c r="H377">
        <f t="shared" si="25"/>
        <v>745</v>
      </c>
      <c r="I377" s="4">
        <f t="shared" si="26"/>
        <v>3725</v>
      </c>
      <c r="J377" s="6">
        <f t="shared" si="27"/>
        <v>550</v>
      </c>
      <c r="K377" s="6">
        <f t="shared" si="28"/>
        <v>2048750</v>
      </c>
      <c r="L377" s="3" t="str">
        <f t="shared" si="29"/>
        <v>Premium</v>
      </c>
    </row>
    <row r="378" spans="1:12">
      <c r="A378" t="s">
        <v>638</v>
      </c>
      <c r="B378" t="s">
        <v>666</v>
      </c>
      <c r="C378" s="4">
        <v>4</v>
      </c>
      <c r="D378" s="4">
        <v>75</v>
      </c>
      <c r="E378" t="s">
        <v>667</v>
      </c>
      <c r="F378" s="4">
        <v>19.161905999999998</v>
      </c>
      <c r="G378">
        <v>72.857401400000001</v>
      </c>
      <c r="H378">
        <f t="shared" si="25"/>
        <v>300</v>
      </c>
      <c r="I378" s="4">
        <f t="shared" si="26"/>
        <v>1875</v>
      </c>
      <c r="J378" s="6">
        <f t="shared" si="27"/>
        <v>350</v>
      </c>
      <c r="K378" s="6">
        <f t="shared" si="28"/>
        <v>656250</v>
      </c>
      <c r="L378" s="3" t="str">
        <f t="shared" si="29"/>
        <v>Popular</v>
      </c>
    </row>
    <row r="379" spans="1:12">
      <c r="A379" t="s">
        <v>638</v>
      </c>
      <c r="B379" t="s">
        <v>123</v>
      </c>
      <c r="C379" s="4">
        <v>4.2</v>
      </c>
      <c r="D379" s="4">
        <v>877</v>
      </c>
      <c r="E379" t="s">
        <v>668</v>
      </c>
      <c r="F379" s="4">
        <v>19.1715971</v>
      </c>
      <c r="G379">
        <v>72.860323399999999</v>
      </c>
      <c r="H379">
        <f t="shared" si="25"/>
        <v>3683.4</v>
      </c>
      <c r="I379" s="4">
        <f t="shared" si="26"/>
        <v>21925</v>
      </c>
      <c r="J379" s="6">
        <f t="shared" si="27"/>
        <v>350</v>
      </c>
      <c r="K379" s="6">
        <f t="shared" si="28"/>
        <v>7673750</v>
      </c>
      <c r="L379" s="3" t="str">
        <f t="shared" si="29"/>
        <v>Popular</v>
      </c>
    </row>
    <row r="380" spans="1:12">
      <c r="A380" t="s">
        <v>638</v>
      </c>
      <c r="B380" t="s">
        <v>669</v>
      </c>
      <c r="C380" s="4">
        <v>4.3</v>
      </c>
      <c r="D380" s="4">
        <v>397</v>
      </c>
      <c r="E380" t="s">
        <v>670</v>
      </c>
      <c r="F380" s="4">
        <v>19.169727200000001</v>
      </c>
      <c r="G380">
        <v>72.859232899999995</v>
      </c>
      <c r="H380">
        <f t="shared" si="25"/>
        <v>1707.1</v>
      </c>
      <c r="I380" s="4">
        <f t="shared" si="26"/>
        <v>9925</v>
      </c>
      <c r="J380" s="6">
        <f t="shared" si="27"/>
        <v>350</v>
      </c>
      <c r="K380" s="6">
        <f t="shared" si="28"/>
        <v>3473750</v>
      </c>
      <c r="L380" s="3" t="str">
        <f t="shared" si="29"/>
        <v>Popular</v>
      </c>
    </row>
    <row r="381" spans="1:12">
      <c r="A381" t="s">
        <v>638</v>
      </c>
      <c r="B381" t="s">
        <v>671</v>
      </c>
      <c r="C381" s="4">
        <v>3.6</v>
      </c>
      <c r="D381" s="4">
        <v>38</v>
      </c>
      <c r="E381" t="s">
        <v>672</v>
      </c>
      <c r="F381" s="4">
        <v>19.1713342</v>
      </c>
      <c r="G381">
        <v>72.8572712</v>
      </c>
      <c r="H381">
        <f t="shared" si="25"/>
        <v>136.80000000000001</v>
      </c>
      <c r="I381" s="4">
        <f t="shared" si="26"/>
        <v>950</v>
      </c>
      <c r="J381" s="6">
        <f t="shared" si="27"/>
        <v>350</v>
      </c>
      <c r="K381" s="6">
        <f t="shared" si="28"/>
        <v>332500</v>
      </c>
      <c r="L381" s="3" t="str">
        <f t="shared" si="29"/>
        <v>Average</v>
      </c>
    </row>
    <row r="382" spans="1:12">
      <c r="A382" t="s">
        <v>638</v>
      </c>
      <c r="B382" t="s">
        <v>140</v>
      </c>
      <c r="C382" s="4">
        <v>4.0999999999999996</v>
      </c>
      <c r="D382" s="4">
        <v>686</v>
      </c>
      <c r="E382" t="s">
        <v>673</v>
      </c>
      <c r="F382" s="4">
        <v>19.173141300000001</v>
      </c>
      <c r="G382">
        <v>72.8738393</v>
      </c>
      <c r="H382">
        <f t="shared" si="25"/>
        <v>2812.6</v>
      </c>
      <c r="I382" s="4">
        <f t="shared" si="26"/>
        <v>17150</v>
      </c>
      <c r="J382" s="6">
        <f t="shared" si="27"/>
        <v>350</v>
      </c>
      <c r="K382" s="6">
        <f t="shared" si="28"/>
        <v>6002500</v>
      </c>
      <c r="L382" s="3" t="str">
        <f t="shared" si="29"/>
        <v>Popular</v>
      </c>
    </row>
    <row r="383" spans="1:12">
      <c r="A383" t="s">
        <v>638</v>
      </c>
      <c r="B383" t="s">
        <v>674</v>
      </c>
      <c r="C383" s="4">
        <v>4.0999999999999996</v>
      </c>
      <c r="D383" s="4">
        <v>4463</v>
      </c>
      <c r="E383" t="s">
        <v>675</v>
      </c>
      <c r="F383" s="4">
        <v>19.173808000000001</v>
      </c>
      <c r="G383">
        <v>72.860594300000002</v>
      </c>
      <c r="H383">
        <f t="shared" si="25"/>
        <v>18298.3</v>
      </c>
      <c r="I383" s="4">
        <f t="shared" si="26"/>
        <v>111575</v>
      </c>
      <c r="J383" s="6">
        <f t="shared" si="27"/>
        <v>350</v>
      </c>
      <c r="K383" s="6">
        <f t="shared" si="28"/>
        <v>39051250</v>
      </c>
      <c r="L383" s="3" t="str">
        <f t="shared" si="29"/>
        <v>Popular</v>
      </c>
    </row>
    <row r="384" spans="1:12">
      <c r="A384" t="s">
        <v>638</v>
      </c>
      <c r="B384" t="s">
        <v>676</v>
      </c>
      <c r="C384" s="4">
        <v>4.0999999999999996</v>
      </c>
      <c r="D384" s="4">
        <v>639</v>
      </c>
      <c r="E384" t="s">
        <v>677</v>
      </c>
      <c r="F384" s="4">
        <v>19.1742706</v>
      </c>
      <c r="G384">
        <v>72.863319300000001</v>
      </c>
      <c r="H384">
        <f t="shared" si="25"/>
        <v>2619.8999999999996</v>
      </c>
      <c r="I384" s="4">
        <f t="shared" si="26"/>
        <v>15975</v>
      </c>
      <c r="J384" s="6">
        <f t="shared" si="27"/>
        <v>350</v>
      </c>
      <c r="K384" s="6">
        <f t="shared" si="28"/>
        <v>5591250</v>
      </c>
      <c r="L384" s="3" t="str">
        <f t="shared" si="29"/>
        <v>Popular</v>
      </c>
    </row>
    <row r="385" spans="1:12">
      <c r="A385" t="s">
        <v>638</v>
      </c>
      <c r="B385" t="s">
        <v>534</v>
      </c>
      <c r="C385" s="4">
        <v>4.3</v>
      </c>
      <c r="D385" s="4">
        <v>1780</v>
      </c>
      <c r="E385" t="s">
        <v>535</v>
      </c>
      <c r="F385" s="4">
        <v>19.149543300000001</v>
      </c>
      <c r="G385">
        <v>72.831697499999905</v>
      </c>
      <c r="H385">
        <f t="shared" si="25"/>
        <v>7654</v>
      </c>
      <c r="I385" s="4">
        <f t="shared" si="26"/>
        <v>44500</v>
      </c>
      <c r="J385" s="6">
        <f t="shared" si="27"/>
        <v>350</v>
      </c>
      <c r="K385" s="6">
        <f t="shared" si="28"/>
        <v>15575000</v>
      </c>
      <c r="L385" s="3" t="str">
        <f t="shared" si="29"/>
        <v>Popular</v>
      </c>
    </row>
    <row r="386" spans="1:12">
      <c r="A386" t="s">
        <v>638</v>
      </c>
      <c r="B386" t="s">
        <v>678</v>
      </c>
      <c r="C386" s="4">
        <v>4.7</v>
      </c>
      <c r="D386" s="4">
        <v>308</v>
      </c>
      <c r="E386" t="s">
        <v>679</v>
      </c>
      <c r="F386" s="4">
        <v>19.150974399999999</v>
      </c>
      <c r="G386">
        <v>72.8356675</v>
      </c>
      <c r="H386">
        <f t="shared" ref="H386:H449" si="30">C386*D386</f>
        <v>1447.6000000000001</v>
      </c>
      <c r="I386" s="4">
        <f t="shared" ref="I386:I449" si="31">D386*25</f>
        <v>7700</v>
      </c>
      <c r="J386" s="6">
        <f t="shared" ref="J386:J449" si="32">IF(C386&gt;=4.7,550,IF(C386&gt;=4.4,450,IF(C386&gt;=O388,350,250)))</f>
        <v>550</v>
      </c>
      <c r="K386" s="6">
        <f t="shared" ref="K386:K449" si="33">I386*J386</f>
        <v>4235000</v>
      </c>
      <c r="L386" s="3" t="str">
        <f t="shared" ref="L386:L449" si="34">IF(C386&gt;=4.5,"Premium",IF(C386&gt;=4,"Popular","Average"))</f>
        <v>Premium</v>
      </c>
    </row>
    <row r="387" spans="1:12">
      <c r="A387" t="s">
        <v>638</v>
      </c>
      <c r="B387" t="s">
        <v>528</v>
      </c>
      <c r="C387" s="4">
        <v>4.2</v>
      </c>
      <c r="D387" s="4">
        <v>1373</v>
      </c>
      <c r="E387" t="s">
        <v>529</v>
      </c>
      <c r="F387" s="4">
        <v>19.148222100000002</v>
      </c>
      <c r="G387">
        <v>72.831577099999905</v>
      </c>
      <c r="H387">
        <f t="shared" si="30"/>
        <v>5766.6</v>
      </c>
      <c r="I387" s="4">
        <f t="shared" si="31"/>
        <v>34325</v>
      </c>
      <c r="J387" s="6">
        <f t="shared" si="32"/>
        <v>350</v>
      </c>
      <c r="K387" s="6">
        <f t="shared" si="33"/>
        <v>12013750</v>
      </c>
      <c r="L387" s="3" t="str">
        <f t="shared" si="34"/>
        <v>Popular</v>
      </c>
    </row>
    <row r="388" spans="1:12">
      <c r="A388" t="s">
        <v>638</v>
      </c>
      <c r="B388" t="s">
        <v>680</v>
      </c>
      <c r="C388" s="4">
        <v>4.5999999999999996</v>
      </c>
      <c r="D388" s="4">
        <v>105</v>
      </c>
      <c r="E388" t="s">
        <v>681</v>
      </c>
      <c r="F388" s="4">
        <v>19.1622907</v>
      </c>
      <c r="G388">
        <v>72.857105399999995</v>
      </c>
      <c r="H388">
        <f t="shared" si="30"/>
        <v>482.99999999999994</v>
      </c>
      <c r="I388" s="4">
        <f t="shared" si="31"/>
        <v>2625</v>
      </c>
      <c r="J388" s="6">
        <f t="shared" si="32"/>
        <v>450</v>
      </c>
      <c r="K388" s="6">
        <f t="shared" si="33"/>
        <v>1181250</v>
      </c>
      <c r="L388" s="3" t="str">
        <f t="shared" si="34"/>
        <v>Premium</v>
      </c>
    </row>
    <row r="389" spans="1:12">
      <c r="A389" t="s">
        <v>638</v>
      </c>
      <c r="B389" t="s">
        <v>682</v>
      </c>
      <c r="C389" s="4">
        <v>4.0999999999999996</v>
      </c>
      <c r="D389" s="4">
        <v>141</v>
      </c>
      <c r="E389" t="s">
        <v>683</v>
      </c>
      <c r="F389" s="4">
        <v>19.1597887</v>
      </c>
      <c r="G389">
        <v>72.834868</v>
      </c>
      <c r="H389">
        <f t="shared" si="30"/>
        <v>578.09999999999991</v>
      </c>
      <c r="I389" s="4">
        <f t="shared" si="31"/>
        <v>3525</v>
      </c>
      <c r="J389" s="6">
        <f t="shared" si="32"/>
        <v>350</v>
      </c>
      <c r="K389" s="6">
        <f t="shared" si="33"/>
        <v>1233750</v>
      </c>
      <c r="L389" s="3" t="str">
        <f t="shared" si="34"/>
        <v>Popular</v>
      </c>
    </row>
    <row r="390" spans="1:12">
      <c r="A390" t="s">
        <v>638</v>
      </c>
      <c r="B390" t="s">
        <v>684</v>
      </c>
      <c r="C390" s="4">
        <v>4.0999999999999996</v>
      </c>
      <c r="D390" s="4">
        <v>1473</v>
      </c>
      <c r="E390" t="s">
        <v>685</v>
      </c>
      <c r="F390" s="4">
        <v>19.193973799999998</v>
      </c>
      <c r="G390">
        <v>72.837964099999994</v>
      </c>
      <c r="H390">
        <f t="shared" si="30"/>
        <v>6039.2999999999993</v>
      </c>
      <c r="I390" s="4">
        <f t="shared" si="31"/>
        <v>36825</v>
      </c>
      <c r="J390" s="6">
        <f t="shared" si="32"/>
        <v>350</v>
      </c>
      <c r="K390" s="6">
        <f t="shared" si="33"/>
        <v>12888750</v>
      </c>
      <c r="L390" s="3" t="str">
        <f t="shared" si="34"/>
        <v>Popular</v>
      </c>
    </row>
    <row r="391" spans="1:12">
      <c r="A391" t="s">
        <v>638</v>
      </c>
      <c r="B391" t="s">
        <v>48</v>
      </c>
      <c r="C391" s="4">
        <v>4.7</v>
      </c>
      <c r="D391" s="4">
        <v>1110</v>
      </c>
      <c r="E391" t="s">
        <v>567</v>
      </c>
      <c r="F391" s="4">
        <v>19.146611100000001</v>
      </c>
      <c r="G391">
        <v>72.828694999999996</v>
      </c>
      <c r="H391">
        <f t="shared" si="30"/>
        <v>5217</v>
      </c>
      <c r="I391" s="4">
        <f t="shared" si="31"/>
        <v>27750</v>
      </c>
      <c r="J391" s="6">
        <f t="shared" si="32"/>
        <v>550</v>
      </c>
      <c r="K391" s="6">
        <f t="shared" si="33"/>
        <v>15262500</v>
      </c>
      <c r="L391" s="3" t="str">
        <f t="shared" si="34"/>
        <v>Premium</v>
      </c>
    </row>
    <row r="392" spans="1:12">
      <c r="A392" t="s">
        <v>638</v>
      </c>
      <c r="B392" t="s">
        <v>686</v>
      </c>
      <c r="C392" s="4">
        <v>4.5999999999999996</v>
      </c>
      <c r="D392" s="4">
        <v>443</v>
      </c>
      <c r="E392" t="s">
        <v>675</v>
      </c>
      <c r="F392" s="4">
        <v>19.173820500000001</v>
      </c>
      <c r="G392">
        <v>72.861087699999999</v>
      </c>
      <c r="H392">
        <f t="shared" si="30"/>
        <v>2037.8</v>
      </c>
      <c r="I392" s="4">
        <f t="shared" si="31"/>
        <v>11075</v>
      </c>
      <c r="J392" s="6">
        <f t="shared" si="32"/>
        <v>450</v>
      </c>
      <c r="K392" s="6">
        <f t="shared" si="33"/>
        <v>4983750</v>
      </c>
      <c r="L392" s="3" t="str">
        <f t="shared" si="34"/>
        <v>Premium</v>
      </c>
    </row>
    <row r="393" spans="1:12">
      <c r="A393" t="s">
        <v>638</v>
      </c>
      <c r="B393" t="s">
        <v>687</v>
      </c>
      <c r="C393" s="4">
        <v>4.5</v>
      </c>
      <c r="D393" s="4">
        <v>224</v>
      </c>
      <c r="E393" t="s">
        <v>688</v>
      </c>
      <c r="F393" s="4">
        <v>19.196663900000001</v>
      </c>
      <c r="G393">
        <v>72.827389499999995</v>
      </c>
      <c r="H393">
        <f t="shared" si="30"/>
        <v>1008</v>
      </c>
      <c r="I393" s="4">
        <f t="shared" si="31"/>
        <v>5600</v>
      </c>
      <c r="J393" s="6">
        <f t="shared" si="32"/>
        <v>450</v>
      </c>
      <c r="K393" s="6">
        <f t="shared" si="33"/>
        <v>2520000</v>
      </c>
      <c r="L393" s="3" t="str">
        <f t="shared" si="34"/>
        <v>Premium</v>
      </c>
    </row>
    <row r="394" spans="1:12">
      <c r="A394" t="s">
        <v>638</v>
      </c>
      <c r="B394" t="s">
        <v>689</v>
      </c>
      <c r="C394" s="4">
        <v>4.0999999999999996</v>
      </c>
      <c r="D394" s="4">
        <v>2739</v>
      </c>
      <c r="E394" t="s">
        <v>690</v>
      </c>
      <c r="F394" s="4">
        <v>19.185884900000001</v>
      </c>
      <c r="G394">
        <v>72.830240000000003</v>
      </c>
      <c r="H394">
        <f t="shared" si="30"/>
        <v>11229.9</v>
      </c>
      <c r="I394" s="4">
        <f t="shared" si="31"/>
        <v>68475</v>
      </c>
      <c r="J394" s="6">
        <f t="shared" si="32"/>
        <v>350</v>
      </c>
      <c r="K394" s="6">
        <f t="shared" si="33"/>
        <v>23966250</v>
      </c>
      <c r="L394" s="3" t="str">
        <f t="shared" si="34"/>
        <v>Popular</v>
      </c>
    </row>
    <row r="395" spans="1:12">
      <c r="A395" t="s">
        <v>638</v>
      </c>
      <c r="B395" t="s">
        <v>526</v>
      </c>
      <c r="C395" s="4">
        <v>4.3</v>
      </c>
      <c r="D395" s="4">
        <v>2144</v>
      </c>
      <c r="E395" t="s">
        <v>527</v>
      </c>
      <c r="F395" s="4">
        <v>19.137402999999999</v>
      </c>
      <c r="G395">
        <v>72.827039399999904</v>
      </c>
      <c r="H395">
        <f t="shared" si="30"/>
        <v>9219.1999999999989</v>
      </c>
      <c r="I395" s="4">
        <f t="shared" si="31"/>
        <v>53600</v>
      </c>
      <c r="J395" s="6">
        <f t="shared" si="32"/>
        <v>350</v>
      </c>
      <c r="K395" s="6">
        <f t="shared" si="33"/>
        <v>18760000</v>
      </c>
      <c r="L395" s="3" t="str">
        <f t="shared" si="34"/>
        <v>Popular</v>
      </c>
    </row>
    <row r="396" spans="1:12">
      <c r="A396" t="s">
        <v>638</v>
      </c>
      <c r="B396" t="s">
        <v>691</v>
      </c>
      <c r="C396" s="4">
        <v>4.5999999999999996</v>
      </c>
      <c r="D396" s="4">
        <v>28</v>
      </c>
      <c r="E396" t="s">
        <v>692</v>
      </c>
      <c r="F396" s="4">
        <v>19.174382699999999</v>
      </c>
      <c r="G396">
        <v>72.863476199999994</v>
      </c>
      <c r="H396">
        <f t="shared" si="30"/>
        <v>128.79999999999998</v>
      </c>
      <c r="I396" s="4">
        <f t="shared" si="31"/>
        <v>700</v>
      </c>
      <c r="J396" s="6">
        <f t="shared" si="32"/>
        <v>450</v>
      </c>
      <c r="K396" s="6">
        <f t="shared" si="33"/>
        <v>315000</v>
      </c>
      <c r="L396" s="3" t="str">
        <f t="shared" si="34"/>
        <v>Premium</v>
      </c>
    </row>
    <row r="397" spans="1:12">
      <c r="A397" t="s">
        <v>638</v>
      </c>
      <c r="B397" t="s">
        <v>693</v>
      </c>
      <c r="C397" s="4">
        <v>4.2</v>
      </c>
      <c r="D397" s="4">
        <v>400</v>
      </c>
      <c r="E397" t="s">
        <v>694</v>
      </c>
      <c r="F397" s="4">
        <v>19.1770958</v>
      </c>
      <c r="G397">
        <v>72.842085299999994</v>
      </c>
      <c r="H397">
        <f t="shared" si="30"/>
        <v>1680</v>
      </c>
      <c r="I397" s="4">
        <f t="shared" si="31"/>
        <v>10000</v>
      </c>
      <c r="J397" s="6">
        <f t="shared" si="32"/>
        <v>350</v>
      </c>
      <c r="K397" s="6">
        <f t="shared" si="33"/>
        <v>3500000</v>
      </c>
      <c r="L397" s="3" t="str">
        <f t="shared" si="34"/>
        <v>Popular</v>
      </c>
    </row>
    <row r="398" spans="1:12">
      <c r="A398" t="s">
        <v>638</v>
      </c>
      <c r="B398" t="s">
        <v>695</v>
      </c>
      <c r="C398" s="4">
        <v>4.5</v>
      </c>
      <c r="D398" s="4">
        <v>2</v>
      </c>
      <c r="E398" t="s">
        <v>696</v>
      </c>
      <c r="F398" s="4">
        <v>19.1508748</v>
      </c>
      <c r="G398">
        <v>72.887380100000001</v>
      </c>
      <c r="H398">
        <f t="shared" si="30"/>
        <v>9</v>
      </c>
      <c r="I398" s="4">
        <f t="shared" si="31"/>
        <v>50</v>
      </c>
      <c r="J398" s="6">
        <f t="shared" si="32"/>
        <v>450</v>
      </c>
      <c r="K398" s="6">
        <f t="shared" si="33"/>
        <v>22500</v>
      </c>
      <c r="L398" s="3" t="str">
        <f t="shared" si="34"/>
        <v>Premium</v>
      </c>
    </row>
    <row r="399" spans="1:12">
      <c r="A399" t="s">
        <v>638</v>
      </c>
      <c r="B399" t="s">
        <v>697</v>
      </c>
      <c r="C399" s="4">
        <v>4.2</v>
      </c>
      <c r="D399" s="4">
        <v>191</v>
      </c>
      <c r="E399" t="s">
        <v>698</v>
      </c>
      <c r="F399" s="4">
        <v>19.173808000000001</v>
      </c>
      <c r="G399">
        <v>72.860594300000002</v>
      </c>
      <c r="H399">
        <f t="shared" si="30"/>
        <v>802.2</v>
      </c>
      <c r="I399" s="4">
        <f t="shared" si="31"/>
        <v>4775</v>
      </c>
      <c r="J399" s="6">
        <f t="shared" si="32"/>
        <v>350</v>
      </c>
      <c r="K399" s="6">
        <f t="shared" si="33"/>
        <v>1671250</v>
      </c>
      <c r="L399" s="3" t="str">
        <f t="shared" si="34"/>
        <v>Popular</v>
      </c>
    </row>
    <row r="400" spans="1:12">
      <c r="A400" t="s">
        <v>638</v>
      </c>
      <c r="B400" t="s">
        <v>699</v>
      </c>
      <c r="C400" s="4">
        <v>3.6</v>
      </c>
      <c r="D400" s="4">
        <v>242</v>
      </c>
      <c r="E400" t="s">
        <v>700</v>
      </c>
      <c r="F400" s="4">
        <v>19.1730397</v>
      </c>
      <c r="G400">
        <v>72.835895100000002</v>
      </c>
      <c r="H400">
        <f t="shared" si="30"/>
        <v>871.2</v>
      </c>
      <c r="I400" s="4">
        <f t="shared" si="31"/>
        <v>6050</v>
      </c>
      <c r="J400" s="6">
        <f t="shared" si="32"/>
        <v>350</v>
      </c>
      <c r="K400" s="6">
        <f t="shared" si="33"/>
        <v>2117500</v>
      </c>
      <c r="L400" s="3" t="str">
        <f t="shared" si="34"/>
        <v>Average</v>
      </c>
    </row>
    <row r="401" spans="1:12">
      <c r="A401" t="s">
        <v>638</v>
      </c>
      <c r="B401" t="s">
        <v>701</v>
      </c>
      <c r="C401" s="4">
        <v>4.0999999999999996</v>
      </c>
      <c r="D401" s="4">
        <v>1190</v>
      </c>
      <c r="E401" t="s">
        <v>702</v>
      </c>
      <c r="F401" s="4">
        <v>19.1622156</v>
      </c>
      <c r="G401">
        <v>72.857138499999905</v>
      </c>
      <c r="H401">
        <f t="shared" si="30"/>
        <v>4879</v>
      </c>
      <c r="I401" s="4">
        <f t="shared" si="31"/>
        <v>29750</v>
      </c>
      <c r="J401" s="6">
        <f t="shared" si="32"/>
        <v>350</v>
      </c>
      <c r="K401" s="6">
        <f t="shared" si="33"/>
        <v>10412500</v>
      </c>
      <c r="L401" s="3" t="str">
        <f t="shared" si="34"/>
        <v>Popular</v>
      </c>
    </row>
    <row r="402" spans="1:12">
      <c r="A402" t="s">
        <v>638</v>
      </c>
      <c r="B402" t="s">
        <v>48</v>
      </c>
      <c r="C402" s="4">
        <v>4.8</v>
      </c>
      <c r="D402" s="4">
        <v>1114</v>
      </c>
      <c r="E402" t="s">
        <v>703</v>
      </c>
      <c r="F402" s="4">
        <v>19.160822799999998</v>
      </c>
      <c r="G402">
        <v>72.945387199999999</v>
      </c>
      <c r="H402">
        <f t="shared" si="30"/>
        <v>5347.2</v>
      </c>
      <c r="I402" s="4">
        <f t="shared" si="31"/>
        <v>27850</v>
      </c>
      <c r="J402" s="6">
        <f t="shared" si="32"/>
        <v>550</v>
      </c>
      <c r="K402" s="6">
        <f t="shared" si="33"/>
        <v>15317500</v>
      </c>
      <c r="L402" s="3" t="str">
        <f t="shared" si="34"/>
        <v>Premium</v>
      </c>
    </row>
    <row r="403" spans="1:12">
      <c r="A403" t="s">
        <v>638</v>
      </c>
      <c r="B403" t="s">
        <v>704</v>
      </c>
      <c r="C403" s="4">
        <v>5</v>
      </c>
      <c r="D403" s="4">
        <v>1</v>
      </c>
      <c r="E403" t="s">
        <v>705</v>
      </c>
      <c r="F403" s="4">
        <v>19.171024500000001</v>
      </c>
      <c r="G403">
        <v>72.869128000000003</v>
      </c>
      <c r="H403">
        <f t="shared" si="30"/>
        <v>5</v>
      </c>
      <c r="I403" s="4">
        <f t="shared" si="31"/>
        <v>25</v>
      </c>
      <c r="J403" s="6">
        <f t="shared" si="32"/>
        <v>550</v>
      </c>
      <c r="K403" s="6">
        <f t="shared" si="33"/>
        <v>13750</v>
      </c>
      <c r="L403" s="3" t="str">
        <f t="shared" si="34"/>
        <v>Premium</v>
      </c>
    </row>
    <row r="404" spans="1:12">
      <c r="A404" t="s">
        <v>638</v>
      </c>
      <c r="B404" t="s">
        <v>123</v>
      </c>
      <c r="C404" s="4">
        <v>4</v>
      </c>
      <c r="D404" s="4">
        <v>294</v>
      </c>
      <c r="E404" t="s">
        <v>706</v>
      </c>
      <c r="F404" s="4">
        <v>19.1525918</v>
      </c>
      <c r="G404">
        <v>72.855930799999996</v>
      </c>
      <c r="H404">
        <f t="shared" si="30"/>
        <v>1176</v>
      </c>
      <c r="I404" s="4">
        <f t="shared" si="31"/>
        <v>7350</v>
      </c>
      <c r="J404" s="6">
        <f t="shared" si="32"/>
        <v>350</v>
      </c>
      <c r="K404" s="6">
        <f t="shared" si="33"/>
        <v>2572500</v>
      </c>
      <c r="L404" s="3" t="str">
        <f t="shared" si="34"/>
        <v>Popular</v>
      </c>
    </row>
    <row r="405" spans="1:12">
      <c r="A405" t="s">
        <v>638</v>
      </c>
      <c r="B405" t="s">
        <v>707</v>
      </c>
      <c r="C405" s="4">
        <v>4.5</v>
      </c>
      <c r="D405" s="4">
        <v>39</v>
      </c>
      <c r="E405" t="s">
        <v>708</v>
      </c>
      <c r="F405" s="4">
        <v>19.2135535</v>
      </c>
      <c r="G405">
        <v>72.872632400000001</v>
      </c>
      <c r="H405">
        <f t="shared" si="30"/>
        <v>175.5</v>
      </c>
      <c r="I405" s="4">
        <f t="shared" si="31"/>
        <v>975</v>
      </c>
      <c r="J405" s="6">
        <f t="shared" si="32"/>
        <v>450</v>
      </c>
      <c r="K405" s="6">
        <f t="shared" si="33"/>
        <v>438750</v>
      </c>
      <c r="L405" s="3" t="str">
        <f t="shared" si="34"/>
        <v>Premium</v>
      </c>
    </row>
    <row r="406" spans="1:12">
      <c r="A406" t="s">
        <v>638</v>
      </c>
      <c r="B406" t="s">
        <v>634</v>
      </c>
      <c r="C406" s="4">
        <v>4.7</v>
      </c>
      <c r="D406" s="4">
        <v>242</v>
      </c>
      <c r="E406" t="s">
        <v>635</v>
      </c>
      <c r="F406" s="4">
        <v>19.1502813</v>
      </c>
      <c r="G406">
        <v>72.831805899999907</v>
      </c>
      <c r="H406">
        <f t="shared" si="30"/>
        <v>1137.4000000000001</v>
      </c>
      <c r="I406" s="4">
        <f t="shared" si="31"/>
        <v>6050</v>
      </c>
      <c r="J406" s="6">
        <f t="shared" si="32"/>
        <v>550</v>
      </c>
      <c r="K406" s="6">
        <f t="shared" si="33"/>
        <v>3327500</v>
      </c>
      <c r="L406" s="3" t="str">
        <f t="shared" si="34"/>
        <v>Premium</v>
      </c>
    </row>
    <row r="407" spans="1:12">
      <c r="A407" t="s">
        <v>638</v>
      </c>
      <c r="B407" t="s">
        <v>709</v>
      </c>
      <c r="C407" s="4">
        <v>4.8</v>
      </c>
      <c r="D407" s="4">
        <v>17</v>
      </c>
      <c r="E407" t="s">
        <v>710</v>
      </c>
      <c r="F407" s="4">
        <v>19.1721562</v>
      </c>
      <c r="G407">
        <v>72.873487099999906</v>
      </c>
      <c r="H407">
        <f t="shared" si="30"/>
        <v>81.599999999999994</v>
      </c>
      <c r="I407" s="4">
        <f t="shared" si="31"/>
        <v>425</v>
      </c>
      <c r="J407" s="6">
        <f t="shared" si="32"/>
        <v>550</v>
      </c>
      <c r="K407" s="6">
        <f t="shared" si="33"/>
        <v>233750</v>
      </c>
      <c r="L407" s="3" t="str">
        <f t="shared" si="34"/>
        <v>Premium</v>
      </c>
    </row>
    <row r="408" spans="1:12">
      <c r="A408" t="s">
        <v>638</v>
      </c>
      <c r="B408" t="s">
        <v>711</v>
      </c>
      <c r="C408" s="4">
        <v>4.5</v>
      </c>
      <c r="D408" s="4">
        <v>319</v>
      </c>
      <c r="E408" t="s">
        <v>712</v>
      </c>
      <c r="F408" s="4">
        <v>19.1818302</v>
      </c>
      <c r="G408">
        <v>72.853336299999995</v>
      </c>
      <c r="H408">
        <f t="shared" si="30"/>
        <v>1435.5</v>
      </c>
      <c r="I408" s="4">
        <f t="shared" si="31"/>
        <v>7975</v>
      </c>
      <c r="J408" s="6">
        <f t="shared" si="32"/>
        <v>450</v>
      </c>
      <c r="K408" s="6">
        <f t="shared" si="33"/>
        <v>3588750</v>
      </c>
      <c r="L408" s="3" t="str">
        <f t="shared" si="34"/>
        <v>Premium</v>
      </c>
    </row>
    <row r="409" spans="1:12">
      <c r="A409" t="s">
        <v>638</v>
      </c>
      <c r="B409" t="s">
        <v>713</v>
      </c>
      <c r="C409" s="4">
        <v>4.2</v>
      </c>
      <c r="D409" s="4">
        <v>103</v>
      </c>
      <c r="E409" t="s">
        <v>714</v>
      </c>
      <c r="F409" s="4">
        <v>19.147110699999999</v>
      </c>
      <c r="G409">
        <v>72.8310405</v>
      </c>
      <c r="H409">
        <f t="shared" si="30"/>
        <v>432.6</v>
      </c>
      <c r="I409" s="4">
        <f t="shared" si="31"/>
        <v>2575</v>
      </c>
      <c r="J409" s="6">
        <f t="shared" si="32"/>
        <v>350</v>
      </c>
      <c r="K409" s="6">
        <f t="shared" si="33"/>
        <v>901250</v>
      </c>
      <c r="L409" s="3" t="str">
        <f t="shared" si="34"/>
        <v>Popular</v>
      </c>
    </row>
    <row r="410" spans="1:12">
      <c r="A410" t="s">
        <v>638</v>
      </c>
      <c r="B410" t="s">
        <v>474</v>
      </c>
      <c r="C410" s="4">
        <v>4.7</v>
      </c>
      <c r="D410" s="4">
        <v>21</v>
      </c>
      <c r="E410" t="s">
        <v>715</v>
      </c>
      <c r="F410" s="4">
        <v>19.152195899999999</v>
      </c>
      <c r="G410">
        <v>72.854581499999995</v>
      </c>
      <c r="H410">
        <f t="shared" si="30"/>
        <v>98.7</v>
      </c>
      <c r="I410" s="4">
        <f t="shared" si="31"/>
        <v>525</v>
      </c>
      <c r="J410" s="6">
        <f t="shared" si="32"/>
        <v>550</v>
      </c>
      <c r="K410" s="6">
        <f t="shared" si="33"/>
        <v>288750</v>
      </c>
      <c r="L410" s="3" t="str">
        <f t="shared" si="34"/>
        <v>Premium</v>
      </c>
    </row>
    <row r="411" spans="1:12">
      <c r="A411" t="s">
        <v>638</v>
      </c>
      <c r="B411" t="s">
        <v>716</v>
      </c>
      <c r="C411" s="4">
        <v>4</v>
      </c>
      <c r="D411" s="4">
        <v>46</v>
      </c>
      <c r="E411" t="s">
        <v>717</v>
      </c>
      <c r="F411" s="4">
        <v>19.153015400000001</v>
      </c>
      <c r="G411">
        <v>72.884372999999997</v>
      </c>
      <c r="H411">
        <f t="shared" si="30"/>
        <v>184</v>
      </c>
      <c r="I411" s="4">
        <f t="shared" si="31"/>
        <v>1150</v>
      </c>
      <c r="J411" s="6">
        <f t="shared" si="32"/>
        <v>350</v>
      </c>
      <c r="K411" s="6">
        <f t="shared" si="33"/>
        <v>402500</v>
      </c>
      <c r="L411" s="3" t="str">
        <f t="shared" si="34"/>
        <v>Popular</v>
      </c>
    </row>
    <row r="412" spans="1:12">
      <c r="A412" t="s">
        <v>638</v>
      </c>
      <c r="B412" t="s">
        <v>718</v>
      </c>
      <c r="C412" s="4">
        <v>4.3</v>
      </c>
      <c r="D412" s="4">
        <v>212</v>
      </c>
      <c r="E412" t="s">
        <v>719</v>
      </c>
      <c r="F412" s="4">
        <v>19.1494453</v>
      </c>
      <c r="G412">
        <v>72.831244799999993</v>
      </c>
      <c r="H412">
        <f t="shared" si="30"/>
        <v>911.59999999999991</v>
      </c>
      <c r="I412" s="4">
        <f t="shared" si="31"/>
        <v>5300</v>
      </c>
      <c r="J412" s="6">
        <f t="shared" si="32"/>
        <v>350</v>
      </c>
      <c r="K412" s="6">
        <f t="shared" si="33"/>
        <v>1855000</v>
      </c>
      <c r="L412" s="3" t="str">
        <f t="shared" si="34"/>
        <v>Popular</v>
      </c>
    </row>
    <row r="413" spans="1:12">
      <c r="A413" t="s">
        <v>638</v>
      </c>
      <c r="B413" t="s">
        <v>720</v>
      </c>
      <c r="C413" s="4">
        <v>4.8</v>
      </c>
      <c r="D413" s="4">
        <v>122</v>
      </c>
      <c r="E413" t="s">
        <v>721</v>
      </c>
      <c r="F413" s="4">
        <v>19.16329</v>
      </c>
      <c r="G413">
        <v>72.841458099999997</v>
      </c>
      <c r="H413">
        <f t="shared" si="30"/>
        <v>585.6</v>
      </c>
      <c r="I413" s="4">
        <f t="shared" si="31"/>
        <v>3050</v>
      </c>
      <c r="J413" s="6">
        <f t="shared" si="32"/>
        <v>550</v>
      </c>
      <c r="K413" s="6">
        <f t="shared" si="33"/>
        <v>1677500</v>
      </c>
      <c r="L413" s="3" t="str">
        <f t="shared" si="34"/>
        <v>Premium</v>
      </c>
    </row>
    <row r="414" spans="1:12">
      <c r="A414" t="s">
        <v>638</v>
      </c>
      <c r="B414" t="s">
        <v>568</v>
      </c>
      <c r="C414" s="4">
        <v>4.0999999999999996</v>
      </c>
      <c r="D414" s="4">
        <v>958</v>
      </c>
      <c r="E414" t="s">
        <v>569</v>
      </c>
      <c r="F414" s="4">
        <v>19.152528199999999</v>
      </c>
      <c r="G414">
        <v>72.831272400000003</v>
      </c>
      <c r="H414">
        <f t="shared" si="30"/>
        <v>3927.7999999999997</v>
      </c>
      <c r="I414" s="4">
        <f t="shared" si="31"/>
        <v>23950</v>
      </c>
      <c r="J414" s="6">
        <f t="shared" si="32"/>
        <v>350</v>
      </c>
      <c r="K414" s="6">
        <f t="shared" si="33"/>
        <v>8382500</v>
      </c>
      <c r="L414" s="3" t="str">
        <f t="shared" si="34"/>
        <v>Popular</v>
      </c>
    </row>
    <row r="415" spans="1:12">
      <c r="A415" t="s">
        <v>638</v>
      </c>
      <c r="B415" t="s">
        <v>123</v>
      </c>
      <c r="C415" s="4">
        <v>4.3</v>
      </c>
      <c r="D415" s="4">
        <v>1794</v>
      </c>
      <c r="E415" t="s">
        <v>722</v>
      </c>
      <c r="F415" s="4">
        <v>19.172647000000001</v>
      </c>
      <c r="G415">
        <v>72.835402999999999</v>
      </c>
      <c r="H415">
        <f t="shared" si="30"/>
        <v>7714.2</v>
      </c>
      <c r="I415" s="4">
        <f t="shared" si="31"/>
        <v>44850</v>
      </c>
      <c r="J415" s="6">
        <f t="shared" si="32"/>
        <v>350</v>
      </c>
      <c r="K415" s="6">
        <f t="shared" si="33"/>
        <v>15697500</v>
      </c>
      <c r="L415" s="3" t="str">
        <f t="shared" si="34"/>
        <v>Popular</v>
      </c>
    </row>
    <row r="416" spans="1:12">
      <c r="A416" t="s">
        <v>638</v>
      </c>
      <c r="B416" t="s">
        <v>199</v>
      </c>
      <c r="C416" s="4">
        <v>2.9</v>
      </c>
      <c r="D416" s="4">
        <v>19</v>
      </c>
      <c r="E416" t="s">
        <v>723</v>
      </c>
      <c r="F416" s="4">
        <v>19.152671000000002</v>
      </c>
      <c r="G416">
        <v>72.854801399999999</v>
      </c>
      <c r="H416">
        <f t="shared" si="30"/>
        <v>55.1</v>
      </c>
      <c r="I416" s="4">
        <f t="shared" si="31"/>
        <v>475</v>
      </c>
      <c r="J416" s="6">
        <f t="shared" si="32"/>
        <v>350</v>
      </c>
      <c r="K416" s="6">
        <f t="shared" si="33"/>
        <v>166250</v>
      </c>
      <c r="L416" s="3" t="str">
        <f t="shared" si="34"/>
        <v>Average</v>
      </c>
    </row>
    <row r="417" spans="1:12">
      <c r="A417" t="s">
        <v>638</v>
      </c>
      <c r="B417" t="s">
        <v>594</v>
      </c>
      <c r="C417" s="4">
        <v>4.2</v>
      </c>
      <c r="D417" s="4">
        <v>1199</v>
      </c>
      <c r="E417" t="s">
        <v>595</v>
      </c>
      <c r="F417" s="4">
        <v>19.148246</v>
      </c>
      <c r="G417">
        <v>72.831577299999907</v>
      </c>
      <c r="H417">
        <f t="shared" si="30"/>
        <v>5035.8</v>
      </c>
      <c r="I417" s="4">
        <f t="shared" si="31"/>
        <v>29975</v>
      </c>
      <c r="J417" s="6">
        <f t="shared" si="32"/>
        <v>350</v>
      </c>
      <c r="K417" s="6">
        <f t="shared" si="33"/>
        <v>10491250</v>
      </c>
      <c r="L417" s="3" t="str">
        <f t="shared" si="34"/>
        <v>Popular</v>
      </c>
    </row>
    <row r="418" spans="1:12">
      <c r="A418" t="s">
        <v>638</v>
      </c>
      <c r="B418" t="s">
        <v>724</v>
      </c>
      <c r="C418" s="4">
        <v>3.9</v>
      </c>
      <c r="D418" s="4">
        <v>1058</v>
      </c>
      <c r="E418" t="s">
        <v>725</v>
      </c>
      <c r="F418" s="4">
        <v>19.178987100000001</v>
      </c>
      <c r="G418">
        <v>72.835623799999993</v>
      </c>
      <c r="H418">
        <f t="shared" si="30"/>
        <v>4126.2</v>
      </c>
      <c r="I418" s="4">
        <f t="shared" si="31"/>
        <v>26450</v>
      </c>
      <c r="J418" s="6">
        <f t="shared" si="32"/>
        <v>350</v>
      </c>
      <c r="K418" s="6">
        <f t="shared" si="33"/>
        <v>9257500</v>
      </c>
      <c r="L418" s="3" t="str">
        <f t="shared" si="34"/>
        <v>Average</v>
      </c>
    </row>
    <row r="419" spans="1:12">
      <c r="A419" t="s">
        <v>638</v>
      </c>
      <c r="B419" t="s">
        <v>630</v>
      </c>
      <c r="C419" s="4">
        <v>4.9000000000000004</v>
      </c>
      <c r="D419" s="4">
        <v>49</v>
      </c>
      <c r="E419" t="s">
        <v>631</v>
      </c>
      <c r="F419" s="4">
        <v>19.148792400000001</v>
      </c>
      <c r="G419">
        <v>72.832024099999998</v>
      </c>
      <c r="H419">
        <f t="shared" si="30"/>
        <v>240.10000000000002</v>
      </c>
      <c r="I419" s="4">
        <f t="shared" si="31"/>
        <v>1225</v>
      </c>
      <c r="J419" s="6">
        <f t="shared" si="32"/>
        <v>550</v>
      </c>
      <c r="K419" s="6">
        <f t="shared" si="33"/>
        <v>673750</v>
      </c>
      <c r="L419" s="3" t="str">
        <f t="shared" si="34"/>
        <v>Premium</v>
      </c>
    </row>
    <row r="420" spans="1:12">
      <c r="A420" t="s">
        <v>638</v>
      </c>
      <c r="B420" t="s">
        <v>726</v>
      </c>
      <c r="C420" s="4">
        <v>4.4000000000000004</v>
      </c>
      <c r="D420" s="4">
        <v>188</v>
      </c>
      <c r="E420" t="s">
        <v>727</v>
      </c>
      <c r="F420" s="4">
        <v>19.189025000000001</v>
      </c>
      <c r="G420">
        <v>72.833950999999999</v>
      </c>
      <c r="H420">
        <f t="shared" si="30"/>
        <v>827.2</v>
      </c>
      <c r="I420" s="4">
        <f t="shared" si="31"/>
        <v>4700</v>
      </c>
      <c r="J420" s="6">
        <f t="shared" si="32"/>
        <v>450</v>
      </c>
      <c r="K420" s="6">
        <f t="shared" si="33"/>
        <v>2115000</v>
      </c>
      <c r="L420" s="3" t="str">
        <f t="shared" si="34"/>
        <v>Popular</v>
      </c>
    </row>
    <row r="421" spans="1:12">
      <c r="A421" t="s">
        <v>638</v>
      </c>
      <c r="B421" t="s">
        <v>728</v>
      </c>
      <c r="C421" s="4">
        <v>4.4000000000000004</v>
      </c>
      <c r="D421" s="4">
        <v>7</v>
      </c>
      <c r="E421" t="s">
        <v>729</v>
      </c>
      <c r="F421" s="4">
        <v>19.166383100000001</v>
      </c>
      <c r="G421">
        <v>72.8529056</v>
      </c>
      <c r="H421">
        <f t="shared" si="30"/>
        <v>30.800000000000004</v>
      </c>
      <c r="I421" s="4">
        <f t="shared" si="31"/>
        <v>175</v>
      </c>
      <c r="J421" s="6">
        <f t="shared" si="32"/>
        <v>450</v>
      </c>
      <c r="K421" s="6">
        <f t="shared" si="33"/>
        <v>78750</v>
      </c>
      <c r="L421" s="3" t="str">
        <f t="shared" si="34"/>
        <v>Popular</v>
      </c>
    </row>
    <row r="422" spans="1:12">
      <c r="A422" t="s">
        <v>730</v>
      </c>
      <c r="B422" t="s">
        <v>731</v>
      </c>
      <c r="C422" s="4">
        <v>4.2</v>
      </c>
      <c r="D422" s="4">
        <v>1948</v>
      </c>
      <c r="E422" t="s">
        <v>732</v>
      </c>
      <c r="F422" s="4">
        <v>19.223737100000001</v>
      </c>
      <c r="G422">
        <v>72.851815999999999</v>
      </c>
      <c r="H422">
        <f t="shared" si="30"/>
        <v>8181.6</v>
      </c>
      <c r="I422" s="4">
        <f t="shared" si="31"/>
        <v>48700</v>
      </c>
      <c r="J422" s="6">
        <f t="shared" si="32"/>
        <v>350</v>
      </c>
      <c r="K422" s="6">
        <f t="shared" si="33"/>
        <v>17045000</v>
      </c>
      <c r="L422" s="3" t="str">
        <f t="shared" si="34"/>
        <v>Popular</v>
      </c>
    </row>
    <row r="423" spans="1:12">
      <c r="A423" t="s">
        <v>730</v>
      </c>
      <c r="B423" t="s">
        <v>48</v>
      </c>
      <c r="C423" s="4">
        <v>4.8</v>
      </c>
      <c r="D423" s="4">
        <v>1677</v>
      </c>
      <c r="E423" t="s">
        <v>733</v>
      </c>
      <c r="F423" s="4">
        <v>19.2321293</v>
      </c>
      <c r="G423">
        <v>72.852687099999997</v>
      </c>
      <c r="H423">
        <f t="shared" si="30"/>
        <v>8049.5999999999995</v>
      </c>
      <c r="I423" s="4">
        <f t="shared" si="31"/>
        <v>41925</v>
      </c>
      <c r="J423" s="6">
        <f t="shared" si="32"/>
        <v>550</v>
      </c>
      <c r="K423" s="6">
        <f t="shared" si="33"/>
        <v>23058750</v>
      </c>
      <c r="L423" s="3" t="str">
        <f t="shared" si="34"/>
        <v>Premium</v>
      </c>
    </row>
    <row r="424" spans="1:12">
      <c r="A424" t="s">
        <v>730</v>
      </c>
      <c r="B424" t="s">
        <v>734</v>
      </c>
      <c r="C424" s="4">
        <v>4.3</v>
      </c>
      <c r="D424" s="4">
        <v>1001</v>
      </c>
      <c r="E424" t="s">
        <v>735</v>
      </c>
      <c r="F424" s="4">
        <v>19.2497644</v>
      </c>
      <c r="G424">
        <v>72.849020899999999</v>
      </c>
      <c r="H424">
        <f t="shared" si="30"/>
        <v>4304.3</v>
      </c>
      <c r="I424" s="4">
        <f t="shared" si="31"/>
        <v>25025</v>
      </c>
      <c r="J424" s="6">
        <f t="shared" si="32"/>
        <v>350</v>
      </c>
      <c r="K424" s="6">
        <f t="shared" si="33"/>
        <v>8758750</v>
      </c>
      <c r="L424" s="3" t="str">
        <f t="shared" si="34"/>
        <v>Popular</v>
      </c>
    </row>
    <row r="425" spans="1:12">
      <c r="A425" t="s">
        <v>730</v>
      </c>
      <c r="B425" t="s">
        <v>736</v>
      </c>
      <c r="C425" s="4">
        <v>4.5999999999999996</v>
      </c>
      <c r="D425" s="4">
        <v>166</v>
      </c>
      <c r="E425" t="s">
        <v>737</v>
      </c>
      <c r="F425" s="4">
        <v>19.218458999999999</v>
      </c>
      <c r="G425">
        <v>72.838132000000002</v>
      </c>
      <c r="H425">
        <f t="shared" si="30"/>
        <v>763.59999999999991</v>
      </c>
      <c r="I425" s="4">
        <f t="shared" si="31"/>
        <v>4150</v>
      </c>
      <c r="J425" s="6">
        <f t="shared" si="32"/>
        <v>450</v>
      </c>
      <c r="K425" s="6">
        <f t="shared" si="33"/>
        <v>1867500</v>
      </c>
      <c r="L425" s="3" t="str">
        <f t="shared" si="34"/>
        <v>Premium</v>
      </c>
    </row>
    <row r="426" spans="1:12">
      <c r="A426" t="s">
        <v>730</v>
      </c>
      <c r="B426" t="s">
        <v>738</v>
      </c>
      <c r="C426" s="4">
        <v>4</v>
      </c>
      <c r="D426" s="4">
        <v>305</v>
      </c>
      <c r="E426" t="s">
        <v>739</v>
      </c>
      <c r="F426" s="4">
        <v>19.236167399999999</v>
      </c>
      <c r="G426">
        <v>72.837495200000006</v>
      </c>
      <c r="H426">
        <f t="shared" si="30"/>
        <v>1220</v>
      </c>
      <c r="I426" s="4">
        <f t="shared" si="31"/>
        <v>7625</v>
      </c>
      <c r="J426" s="6">
        <f t="shared" si="32"/>
        <v>350</v>
      </c>
      <c r="K426" s="6">
        <f t="shared" si="33"/>
        <v>2668750</v>
      </c>
      <c r="L426" s="3" t="str">
        <f t="shared" si="34"/>
        <v>Popular</v>
      </c>
    </row>
    <row r="427" spans="1:12">
      <c r="A427" t="s">
        <v>730</v>
      </c>
      <c r="B427" t="s">
        <v>48</v>
      </c>
      <c r="C427" s="4">
        <v>4.8</v>
      </c>
      <c r="D427" s="4">
        <v>673</v>
      </c>
      <c r="E427" t="s">
        <v>740</v>
      </c>
      <c r="F427" s="4">
        <v>19.220610400000002</v>
      </c>
      <c r="G427">
        <v>72.850012399999997</v>
      </c>
      <c r="H427">
        <f t="shared" si="30"/>
        <v>3230.4</v>
      </c>
      <c r="I427" s="4">
        <f t="shared" si="31"/>
        <v>16825</v>
      </c>
      <c r="J427" s="6">
        <f t="shared" si="32"/>
        <v>550</v>
      </c>
      <c r="K427" s="6">
        <f t="shared" si="33"/>
        <v>9253750</v>
      </c>
      <c r="L427" s="3" t="str">
        <f t="shared" si="34"/>
        <v>Premium</v>
      </c>
    </row>
    <row r="428" spans="1:12">
      <c r="A428" t="s">
        <v>730</v>
      </c>
      <c r="B428" t="s">
        <v>741</v>
      </c>
      <c r="C428" s="4">
        <v>4.4000000000000004</v>
      </c>
      <c r="D428" s="4">
        <v>626</v>
      </c>
      <c r="E428" t="s">
        <v>742</v>
      </c>
      <c r="F428" s="4">
        <v>19.221572200000001</v>
      </c>
      <c r="G428">
        <v>72.847695299999998</v>
      </c>
      <c r="H428">
        <f t="shared" si="30"/>
        <v>2754.4</v>
      </c>
      <c r="I428" s="4">
        <f t="shared" si="31"/>
        <v>15650</v>
      </c>
      <c r="J428" s="6">
        <f t="shared" si="32"/>
        <v>450</v>
      </c>
      <c r="K428" s="6">
        <f t="shared" si="33"/>
        <v>7042500</v>
      </c>
      <c r="L428" s="3" t="str">
        <f t="shared" si="34"/>
        <v>Popular</v>
      </c>
    </row>
    <row r="429" spans="1:12">
      <c r="A429" t="s">
        <v>730</v>
      </c>
      <c r="B429" t="s">
        <v>743</v>
      </c>
      <c r="C429" s="4">
        <v>4.2</v>
      </c>
      <c r="D429" s="4">
        <v>2009</v>
      </c>
      <c r="E429" t="s">
        <v>744</v>
      </c>
      <c r="F429" s="4">
        <v>19.239304799999999</v>
      </c>
      <c r="G429">
        <v>72.842684399999996</v>
      </c>
      <c r="H429">
        <f t="shared" si="30"/>
        <v>8437.8000000000011</v>
      </c>
      <c r="I429" s="4">
        <f t="shared" si="31"/>
        <v>50225</v>
      </c>
      <c r="J429" s="6">
        <f t="shared" si="32"/>
        <v>350</v>
      </c>
      <c r="K429" s="6">
        <f t="shared" si="33"/>
        <v>17578750</v>
      </c>
      <c r="L429" s="3" t="str">
        <f t="shared" si="34"/>
        <v>Popular</v>
      </c>
    </row>
    <row r="430" spans="1:12">
      <c r="A430" t="s">
        <v>730</v>
      </c>
      <c r="B430" t="s">
        <v>745</v>
      </c>
      <c r="C430" s="4">
        <v>4.2</v>
      </c>
      <c r="D430" s="4">
        <v>1536</v>
      </c>
      <c r="E430" t="s">
        <v>746</v>
      </c>
      <c r="F430" s="4">
        <v>19.220670699999999</v>
      </c>
      <c r="G430">
        <v>72.850291900000002</v>
      </c>
      <c r="H430">
        <f t="shared" si="30"/>
        <v>6451.2000000000007</v>
      </c>
      <c r="I430" s="4">
        <f t="shared" si="31"/>
        <v>38400</v>
      </c>
      <c r="J430" s="6">
        <f t="shared" si="32"/>
        <v>350</v>
      </c>
      <c r="K430" s="6">
        <f t="shared" si="33"/>
        <v>13440000</v>
      </c>
      <c r="L430" s="3" t="str">
        <f t="shared" si="34"/>
        <v>Popular</v>
      </c>
    </row>
    <row r="431" spans="1:12">
      <c r="A431" t="s">
        <v>730</v>
      </c>
      <c r="B431" t="s">
        <v>747</v>
      </c>
      <c r="C431" s="4">
        <v>4</v>
      </c>
      <c r="D431" s="4">
        <v>2072</v>
      </c>
      <c r="E431" t="s">
        <v>748</v>
      </c>
      <c r="F431" s="4">
        <v>19.220461199999999</v>
      </c>
      <c r="G431">
        <v>72.8477259</v>
      </c>
      <c r="H431">
        <f t="shared" si="30"/>
        <v>8288</v>
      </c>
      <c r="I431" s="4">
        <f t="shared" si="31"/>
        <v>51800</v>
      </c>
      <c r="J431" s="6">
        <f t="shared" si="32"/>
        <v>350</v>
      </c>
      <c r="K431" s="6">
        <f t="shared" si="33"/>
        <v>18130000</v>
      </c>
      <c r="L431" s="3" t="str">
        <f t="shared" si="34"/>
        <v>Popular</v>
      </c>
    </row>
    <row r="432" spans="1:12">
      <c r="A432" t="s">
        <v>730</v>
      </c>
      <c r="B432" t="s">
        <v>749</v>
      </c>
      <c r="C432" s="4">
        <v>4</v>
      </c>
      <c r="D432" s="4">
        <v>1648</v>
      </c>
      <c r="E432" t="s">
        <v>750</v>
      </c>
      <c r="F432" s="4">
        <v>19.2284541</v>
      </c>
      <c r="G432">
        <v>72.852663100000001</v>
      </c>
      <c r="H432">
        <f t="shared" si="30"/>
        <v>6592</v>
      </c>
      <c r="I432" s="4">
        <f t="shared" si="31"/>
        <v>41200</v>
      </c>
      <c r="J432" s="6">
        <f t="shared" si="32"/>
        <v>350</v>
      </c>
      <c r="K432" s="6">
        <f t="shared" si="33"/>
        <v>14420000</v>
      </c>
      <c r="L432" s="3" t="str">
        <f t="shared" si="34"/>
        <v>Popular</v>
      </c>
    </row>
    <row r="433" spans="1:12">
      <c r="A433" t="s">
        <v>730</v>
      </c>
      <c r="B433" t="s">
        <v>751</v>
      </c>
      <c r="C433" s="4">
        <v>4.4000000000000004</v>
      </c>
      <c r="D433" s="4">
        <v>501</v>
      </c>
      <c r="E433" t="s">
        <v>752</v>
      </c>
      <c r="F433" s="4">
        <v>19.221299500000001</v>
      </c>
      <c r="G433">
        <v>72.847728799999999</v>
      </c>
      <c r="H433">
        <f t="shared" si="30"/>
        <v>2204.4</v>
      </c>
      <c r="I433" s="4">
        <f t="shared" si="31"/>
        <v>12525</v>
      </c>
      <c r="J433" s="6">
        <f t="shared" si="32"/>
        <v>450</v>
      </c>
      <c r="K433" s="6">
        <f t="shared" si="33"/>
        <v>5636250</v>
      </c>
      <c r="L433" s="3" t="str">
        <f t="shared" si="34"/>
        <v>Popular</v>
      </c>
    </row>
    <row r="434" spans="1:12">
      <c r="A434" t="s">
        <v>730</v>
      </c>
      <c r="B434" t="s">
        <v>753</v>
      </c>
      <c r="C434" s="4">
        <v>4.2</v>
      </c>
      <c r="D434" s="4">
        <v>2721</v>
      </c>
      <c r="E434" t="s">
        <v>754</v>
      </c>
      <c r="F434" s="4">
        <v>19.220981200000001</v>
      </c>
      <c r="G434">
        <v>72.862117400000002</v>
      </c>
      <c r="H434">
        <f t="shared" si="30"/>
        <v>11428.2</v>
      </c>
      <c r="I434" s="4">
        <f t="shared" si="31"/>
        <v>68025</v>
      </c>
      <c r="J434" s="6">
        <f t="shared" si="32"/>
        <v>350</v>
      </c>
      <c r="K434" s="6">
        <f t="shared" si="33"/>
        <v>23808750</v>
      </c>
      <c r="L434" s="3" t="str">
        <f t="shared" si="34"/>
        <v>Popular</v>
      </c>
    </row>
    <row r="435" spans="1:12">
      <c r="A435" t="s">
        <v>730</v>
      </c>
      <c r="B435" t="s">
        <v>755</v>
      </c>
      <c r="C435" s="4">
        <v>4</v>
      </c>
      <c r="D435" s="4">
        <v>2993</v>
      </c>
      <c r="E435" t="s">
        <v>756</v>
      </c>
      <c r="F435" s="4">
        <v>19.220029499999999</v>
      </c>
      <c r="G435">
        <v>72.848031699999893</v>
      </c>
      <c r="H435">
        <f t="shared" si="30"/>
        <v>11972</v>
      </c>
      <c r="I435" s="4">
        <f t="shared" si="31"/>
        <v>74825</v>
      </c>
      <c r="J435" s="6">
        <f t="shared" si="32"/>
        <v>350</v>
      </c>
      <c r="K435" s="6">
        <f t="shared" si="33"/>
        <v>26188750</v>
      </c>
      <c r="L435" s="3" t="str">
        <f t="shared" si="34"/>
        <v>Popular</v>
      </c>
    </row>
    <row r="436" spans="1:12">
      <c r="A436" t="s">
        <v>730</v>
      </c>
      <c r="B436" t="s">
        <v>123</v>
      </c>
      <c r="C436" s="4">
        <v>4.4000000000000004</v>
      </c>
      <c r="D436" s="4">
        <v>3062</v>
      </c>
      <c r="E436" t="s">
        <v>757</v>
      </c>
      <c r="F436" s="4">
        <v>19.241682999999998</v>
      </c>
      <c r="G436">
        <v>72.844860999999995</v>
      </c>
      <c r="H436">
        <f t="shared" si="30"/>
        <v>13472.800000000001</v>
      </c>
      <c r="I436" s="4">
        <f t="shared" si="31"/>
        <v>76550</v>
      </c>
      <c r="J436" s="6">
        <f t="shared" si="32"/>
        <v>450</v>
      </c>
      <c r="K436" s="6">
        <f t="shared" si="33"/>
        <v>34447500</v>
      </c>
      <c r="L436" s="3" t="str">
        <f t="shared" si="34"/>
        <v>Popular</v>
      </c>
    </row>
    <row r="437" spans="1:12">
      <c r="A437" t="s">
        <v>730</v>
      </c>
      <c r="B437" t="s">
        <v>758</v>
      </c>
      <c r="C437" s="4">
        <v>4.7</v>
      </c>
      <c r="D437" s="4">
        <v>361</v>
      </c>
      <c r="E437" t="s">
        <v>759</v>
      </c>
      <c r="F437" s="4">
        <v>19.246457199999998</v>
      </c>
      <c r="G437">
        <v>72.851136699999998</v>
      </c>
      <c r="H437">
        <f t="shared" si="30"/>
        <v>1696.7</v>
      </c>
      <c r="I437" s="4">
        <f t="shared" si="31"/>
        <v>9025</v>
      </c>
      <c r="J437" s="6">
        <f t="shared" si="32"/>
        <v>550</v>
      </c>
      <c r="K437" s="6">
        <f t="shared" si="33"/>
        <v>4963750</v>
      </c>
      <c r="L437" s="3" t="str">
        <f t="shared" si="34"/>
        <v>Premium</v>
      </c>
    </row>
    <row r="438" spans="1:12">
      <c r="A438" t="s">
        <v>730</v>
      </c>
      <c r="B438" t="s">
        <v>760</v>
      </c>
      <c r="C438" s="4">
        <v>4.0999999999999996</v>
      </c>
      <c r="D438" s="4">
        <v>1323</v>
      </c>
      <c r="E438" t="s">
        <v>761</v>
      </c>
      <c r="F438" s="4">
        <v>19.229567400000001</v>
      </c>
      <c r="G438">
        <v>72.852605299999993</v>
      </c>
      <c r="H438">
        <f t="shared" si="30"/>
        <v>5424.2999999999993</v>
      </c>
      <c r="I438" s="4">
        <f t="shared" si="31"/>
        <v>33075</v>
      </c>
      <c r="J438" s="6">
        <f t="shared" si="32"/>
        <v>350</v>
      </c>
      <c r="K438" s="6">
        <f t="shared" si="33"/>
        <v>11576250</v>
      </c>
      <c r="L438" s="3" t="str">
        <f t="shared" si="34"/>
        <v>Popular</v>
      </c>
    </row>
    <row r="439" spans="1:12">
      <c r="A439" t="s">
        <v>730</v>
      </c>
      <c r="B439" t="s">
        <v>762</v>
      </c>
      <c r="C439" s="4">
        <v>4.2</v>
      </c>
      <c r="D439" s="4">
        <v>235</v>
      </c>
      <c r="E439" t="s">
        <v>763</v>
      </c>
      <c r="F439" s="4">
        <v>19.2427311</v>
      </c>
      <c r="G439">
        <v>72.844791499999999</v>
      </c>
      <c r="H439">
        <f t="shared" si="30"/>
        <v>987</v>
      </c>
      <c r="I439" s="4">
        <f t="shared" si="31"/>
        <v>5875</v>
      </c>
      <c r="J439" s="6">
        <f t="shared" si="32"/>
        <v>350</v>
      </c>
      <c r="K439" s="6">
        <f t="shared" si="33"/>
        <v>2056250</v>
      </c>
      <c r="L439" s="3" t="str">
        <f t="shared" si="34"/>
        <v>Popular</v>
      </c>
    </row>
    <row r="440" spans="1:12">
      <c r="A440" t="s">
        <v>730</v>
      </c>
      <c r="B440" t="s">
        <v>764</v>
      </c>
      <c r="C440" s="4">
        <v>4.4000000000000004</v>
      </c>
      <c r="D440" s="4">
        <v>115</v>
      </c>
      <c r="E440" t="s">
        <v>765</v>
      </c>
      <c r="F440" s="4">
        <v>19.248138000000001</v>
      </c>
      <c r="G440">
        <v>72.853431999999998</v>
      </c>
      <c r="H440">
        <f t="shared" si="30"/>
        <v>506.00000000000006</v>
      </c>
      <c r="I440" s="4">
        <f t="shared" si="31"/>
        <v>2875</v>
      </c>
      <c r="J440" s="6">
        <f t="shared" si="32"/>
        <v>450</v>
      </c>
      <c r="K440" s="6">
        <f t="shared" si="33"/>
        <v>1293750</v>
      </c>
      <c r="L440" s="3" t="str">
        <f t="shared" si="34"/>
        <v>Popular</v>
      </c>
    </row>
    <row r="441" spans="1:12">
      <c r="A441" t="s">
        <v>730</v>
      </c>
      <c r="B441" t="s">
        <v>766</v>
      </c>
      <c r="C441" s="4">
        <v>4.4000000000000004</v>
      </c>
      <c r="D441" s="4">
        <v>6031</v>
      </c>
      <c r="E441" t="s">
        <v>767</v>
      </c>
      <c r="F441" s="4">
        <v>19.254640200000001</v>
      </c>
      <c r="G441">
        <v>72.8490824</v>
      </c>
      <c r="H441">
        <f t="shared" si="30"/>
        <v>26536.400000000001</v>
      </c>
      <c r="I441" s="4">
        <f t="shared" si="31"/>
        <v>150775</v>
      </c>
      <c r="J441" s="6">
        <f t="shared" si="32"/>
        <v>450</v>
      </c>
      <c r="K441" s="6">
        <f t="shared" si="33"/>
        <v>67848750</v>
      </c>
      <c r="L441" s="3" t="str">
        <f t="shared" si="34"/>
        <v>Popular</v>
      </c>
    </row>
    <row r="442" spans="1:12">
      <c r="A442" t="s">
        <v>730</v>
      </c>
      <c r="B442" t="s">
        <v>768</v>
      </c>
      <c r="C442" s="4">
        <v>4.8</v>
      </c>
      <c r="D442" s="4">
        <v>2029</v>
      </c>
      <c r="E442" t="s">
        <v>769</v>
      </c>
      <c r="F442" s="4">
        <v>19.220757899999999</v>
      </c>
      <c r="G442">
        <v>72.850186299999905</v>
      </c>
      <c r="H442">
        <f t="shared" si="30"/>
        <v>9739.1999999999989</v>
      </c>
      <c r="I442" s="4">
        <f t="shared" si="31"/>
        <v>50725</v>
      </c>
      <c r="J442" s="6">
        <f t="shared" si="32"/>
        <v>550</v>
      </c>
      <c r="K442" s="6">
        <f t="shared" si="33"/>
        <v>27898750</v>
      </c>
      <c r="L442" s="3" t="str">
        <f t="shared" si="34"/>
        <v>Premium</v>
      </c>
    </row>
    <row r="443" spans="1:12">
      <c r="A443" t="s">
        <v>730</v>
      </c>
      <c r="B443" t="s">
        <v>770</v>
      </c>
      <c r="C443" s="4">
        <v>4.2</v>
      </c>
      <c r="D443" s="4">
        <v>1622</v>
      </c>
      <c r="E443" t="s">
        <v>771</v>
      </c>
      <c r="F443" s="4">
        <v>19.242041400000002</v>
      </c>
      <c r="G443">
        <v>72.845063499999995</v>
      </c>
      <c r="H443">
        <f t="shared" si="30"/>
        <v>6812.4000000000005</v>
      </c>
      <c r="I443" s="4">
        <f t="shared" si="31"/>
        <v>40550</v>
      </c>
      <c r="J443" s="6">
        <f t="shared" si="32"/>
        <v>350</v>
      </c>
      <c r="K443" s="6">
        <f t="shared" si="33"/>
        <v>14192500</v>
      </c>
      <c r="L443" s="3" t="str">
        <f t="shared" si="34"/>
        <v>Popular</v>
      </c>
    </row>
    <row r="444" spans="1:12">
      <c r="A444" t="s">
        <v>730</v>
      </c>
      <c r="B444" t="s">
        <v>772</v>
      </c>
      <c r="C444" s="4">
        <v>4.0999999999999996</v>
      </c>
      <c r="D444" s="4">
        <v>1216</v>
      </c>
      <c r="E444" t="s">
        <v>773</v>
      </c>
      <c r="F444" s="4">
        <v>19.250579099999999</v>
      </c>
      <c r="G444">
        <v>72.846293000000003</v>
      </c>
      <c r="H444">
        <f t="shared" si="30"/>
        <v>4985.5999999999995</v>
      </c>
      <c r="I444" s="4">
        <f t="shared" si="31"/>
        <v>30400</v>
      </c>
      <c r="J444" s="6">
        <f t="shared" si="32"/>
        <v>350</v>
      </c>
      <c r="K444" s="6">
        <f t="shared" si="33"/>
        <v>10640000</v>
      </c>
      <c r="L444" s="3" t="str">
        <f t="shared" si="34"/>
        <v>Popular</v>
      </c>
    </row>
    <row r="445" spans="1:12">
      <c r="A445" t="s">
        <v>730</v>
      </c>
      <c r="B445" t="s">
        <v>724</v>
      </c>
      <c r="C445" s="4">
        <v>4.3</v>
      </c>
      <c r="D445" s="4">
        <v>235</v>
      </c>
      <c r="E445" t="s">
        <v>774</v>
      </c>
      <c r="F445" s="4">
        <v>19.250822500000002</v>
      </c>
      <c r="G445">
        <v>72.846233299999994</v>
      </c>
      <c r="H445">
        <f t="shared" si="30"/>
        <v>1010.5</v>
      </c>
      <c r="I445" s="4">
        <f t="shared" si="31"/>
        <v>5875</v>
      </c>
      <c r="J445" s="6">
        <f t="shared" si="32"/>
        <v>350</v>
      </c>
      <c r="K445" s="6">
        <f t="shared" si="33"/>
        <v>2056250</v>
      </c>
      <c r="L445" s="3" t="str">
        <f t="shared" si="34"/>
        <v>Popular</v>
      </c>
    </row>
    <row r="446" spans="1:12">
      <c r="A446" t="s">
        <v>730</v>
      </c>
      <c r="B446" t="s">
        <v>775</v>
      </c>
      <c r="C446" s="4">
        <v>4.9000000000000004</v>
      </c>
      <c r="D446" s="4">
        <v>156</v>
      </c>
      <c r="E446" t="s">
        <v>776</v>
      </c>
      <c r="F446" s="4">
        <v>19.2280981</v>
      </c>
      <c r="G446">
        <v>72.858189799999906</v>
      </c>
      <c r="H446">
        <f t="shared" si="30"/>
        <v>764.40000000000009</v>
      </c>
      <c r="I446" s="4">
        <f t="shared" si="31"/>
        <v>3900</v>
      </c>
      <c r="J446" s="6">
        <f t="shared" si="32"/>
        <v>550</v>
      </c>
      <c r="K446" s="6">
        <f t="shared" si="33"/>
        <v>2145000</v>
      </c>
      <c r="L446" s="3" t="str">
        <f t="shared" si="34"/>
        <v>Premium</v>
      </c>
    </row>
    <row r="447" spans="1:12">
      <c r="A447" t="s">
        <v>730</v>
      </c>
      <c r="B447" t="s">
        <v>48</v>
      </c>
      <c r="C447" s="4">
        <v>4.7</v>
      </c>
      <c r="D447" s="4">
        <v>1380</v>
      </c>
      <c r="E447" t="s">
        <v>777</v>
      </c>
      <c r="F447" s="4">
        <v>19.213317400000001</v>
      </c>
      <c r="G447">
        <v>72.842260899999999</v>
      </c>
      <c r="H447">
        <f t="shared" si="30"/>
        <v>6486</v>
      </c>
      <c r="I447" s="4">
        <f t="shared" si="31"/>
        <v>34500</v>
      </c>
      <c r="J447" s="6">
        <f t="shared" si="32"/>
        <v>550</v>
      </c>
      <c r="K447" s="6">
        <f t="shared" si="33"/>
        <v>18975000</v>
      </c>
      <c r="L447" s="3" t="str">
        <f t="shared" si="34"/>
        <v>Premium</v>
      </c>
    </row>
    <row r="448" spans="1:12">
      <c r="A448" t="s">
        <v>730</v>
      </c>
      <c r="B448" t="s">
        <v>778</v>
      </c>
      <c r="C448" s="4">
        <v>4.0999999999999996</v>
      </c>
      <c r="D448" s="4">
        <v>4966</v>
      </c>
      <c r="E448" t="s">
        <v>779</v>
      </c>
      <c r="F448" s="4">
        <v>19.223655900000001</v>
      </c>
      <c r="G448">
        <v>72.841161900000003</v>
      </c>
      <c r="H448">
        <f t="shared" si="30"/>
        <v>20360.599999999999</v>
      </c>
      <c r="I448" s="4">
        <f t="shared" si="31"/>
        <v>124150</v>
      </c>
      <c r="J448" s="6">
        <f t="shared" si="32"/>
        <v>350</v>
      </c>
      <c r="K448" s="6">
        <f t="shared" si="33"/>
        <v>43452500</v>
      </c>
      <c r="L448" s="3" t="str">
        <f t="shared" si="34"/>
        <v>Popular</v>
      </c>
    </row>
    <row r="449" spans="1:12">
      <c r="A449" t="s">
        <v>730</v>
      </c>
      <c r="B449" t="s">
        <v>780</v>
      </c>
      <c r="C449" s="4">
        <v>4.5</v>
      </c>
      <c r="D449" s="4">
        <v>483</v>
      </c>
      <c r="E449" t="s">
        <v>781</v>
      </c>
      <c r="F449" s="4">
        <v>19.2427654</v>
      </c>
      <c r="G449">
        <v>72.845858699999994</v>
      </c>
      <c r="H449">
        <f t="shared" si="30"/>
        <v>2173.5</v>
      </c>
      <c r="I449" s="4">
        <f t="shared" si="31"/>
        <v>12075</v>
      </c>
      <c r="J449" s="6">
        <f t="shared" si="32"/>
        <v>450</v>
      </c>
      <c r="K449" s="6">
        <f t="shared" si="33"/>
        <v>5433750</v>
      </c>
      <c r="L449" s="3" t="str">
        <f t="shared" si="34"/>
        <v>Premium</v>
      </c>
    </row>
    <row r="450" spans="1:12">
      <c r="A450" t="s">
        <v>730</v>
      </c>
      <c r="B450" t="s">
        <v>782</v>
      </c>
      <c r="C450" s="4">
        <v>4.5999999999999996</v>
      </c>
      <c r="D450" s="4">
        <v>619</v>
      </c>
      <c r="E450" t="s">
        <v>783</v>
      </c>
      <c r="F450" s="4">
        <v>19.2548934</v>
      </c>
      <c r="G450">
        <v>72.848951599999907</v>
      </c>
      <c r="H450">
        <f t="shared" ref="H450:H513" si="35">C450*D450</f>
        <v>2847.3999999999996</v>
      </c>
      <c r="I450" s="4">
        <f t="shared" ref="I450:I513" si="36">D450*25</f>
        <v>15475</v>
      </c>
      <c r="J450" s="6">
        <f t="shared" ref="J450:J513" si="37">IF(C450&gt;=4.7,550,IF(C450&gt;=4.4,450,IF(C450&gt;=O452,350,250)))</f>
        <v>450</v>
      </c>
      <c r="K450" s="6">
        <f t="shared" ref="K450:K513" si="38">I450*J450</f>
        <v>6963750</v>
      </c>
      <c r="L450" s="3" t="str">
        <f t="shared" ref="L450:L513" si="39">IF(C450&gt;=4.5,"Premium",IF(C450&gt;=4,"Popular","Average"))</f>
        <v>Premium</v>
      </c>
    </row>
    <row r="451" spans="1:12">
      <c r="A451" t="s">
        <v>730</v>
      </c>
      <c r="B451" t="s">
        <v>784</v>
      </c>
      <c r="C451" s="4">
        <v>4.0999999999999996</v>
      </c>
      <c r="D451" s="4">
        <v>540</v>
      </c>
      <c r="E451" t="s">
        <v>785</v>
      </c>
      <c r="F451" s="4">
        <v>19.228558799999998</v>
      </c>
      <c r="G451">
        <v>72.854664599999893</v>
      </c>
      <c r="H451">
        <f t="shared" si="35"/>
        <v>2214</v>
      </c>
      <c r="I451" s="4">
        <f t="shared" si="36"/>
        <v>13500</v>
      </c>
      <c r="J451" s="6">
        <f t="shared" si="37"/>
        <v>350</v>
      </c>
      <c r="K451" s="6">
        <f t="shared" si="38"/>
        <v>4725000</v>
      </c>
      <c r="L451" s="3" t="str">
        <f t="shared" si="39"/>
        <v>Popular</v>
      </c>
    </row>
    <row r="452" spans="1:12">
      <c r="A452" t="s">
        <v>730</v>
      </c>
      <c r="B452" t="s">
        <v>786</v>
      </c>
      <c r="C452" s="4">
        <v>4.5</v>
      </c>
      <c r="D452" s="4">
        <v>67</v>
      </c>
      <c r="E452" t="s">
        <v>787</v>
      </c>
      <c r="F452" s="4">
        <v>19.218018600000001</v>
      </c>
      <c r="G452">
        <v>72.842161099999998</v>
      </c>
      <c r="H452">
        <f t="shared" si="35"/>
        <v>301.5</v>
      </c>
      <c r="I452" s="4">
        <f t="shared" si="36"/>
        <v>1675</v>
      </c>
      <c r="J452" s="6">
        <f t="shared" si="37"/>
        <v>450</v>
      </c>
      <c r="K452" s="6">
        <f t="shared" si="38"/>
        <v>753750</v>
      </c>
      <c r="L452" s="3" t="str">
        <f t="shared" si="39"/>
        <v>Premium</v>
      </c>
    </row>
    <row r="453" spans="1:12">
      <c r="A453" t="s">
        <v>730</v>
      </c>
      <c r="B453" t="s">
        <v>788</v>
      </c>
      <c r="C453" s="4">
        <v>4.8</v>
      </c>
      <c r="D453" s="4">
        <v>101</v>
      </c>
      <c r="E453" t="s">
        <v>789</v>
      </c>
      <c r="F453" s="4">
        <v>19.218133300000002</v>
      </c>
      <c r="G453">
        <v>72.838131399999995</v>
      </c>
      <c r="H453">
        <f t="shared" si="35"/>
        <v>484.79999999999995</v>
      </c>
      <c r="I453" s="4">
        <f t="shared" si="36"/>
        <v>2525</v>
      </c>
      <c r="J453" s="6">
        <f t="shared" si="37"/>
        <v>550</v>
      </c>
      <c r="K453" s="6">
        <f t="shared" si="38"/>
        <v>1388750</v>
      </c>
      <c r="L453" s="3" t="str">
        <f t="shared" si="39"/>
        <v>Premium</v>
      </c>
    </row>
    <row r="454" spans="1:12">
      <c r="A454" t="s">
        <v>730</v>
      </c>
      <c r="B454" t="s">
        <v>790</v>
      </c>
      <c r="C454" s="4">
        <v>4</v>
      </c>
      <c r="D454" s="4">
        <v>205</v>
      </c>
      <c r="E454" t="s">
        <v>791</v>
      </c>
      <c r="F454" s="4">
        <v>19.250371699999999</v>
      </c>
      <c r="G454">
        <v>72.846058799999994</v>
      </c>
      <c r="H454">
        <f t="shared" si="35"/>
        <v>820</v>
      </c>
      <c r="I454" s="4">
        <f t="shared" si="36"/>
        <v>5125</v>
      </c>
      <c r="J454" s="6">
        <f t="shared" si="37"/>
        <v>350</v>
      </c>
      <c r="K454" s="6">
        <f t="shared" si="38"/>
        <v>1793750</v>
      </c>
      <c r="L454" s="3" t="str">
        <f t="shared" si="39"/>
        <v>Popular</v>
      </c>
    </row>
    <row r="455" spans="1:12">
      <c r="A455" t="s">
        <v>730</v>
      </c>
      <c r="B455" t="s">
        <v>792</v>
      </c>
      <c r="C455" s="4">
        <v>4.7</v>
      </c>
      <c r="D455" s="4">
        <v>57</v>
      </c>
      <c r="E455" t="s">
        <v>793</v>
      </c>
      <c r="F455" s="4">
        <v>19.229896499999999</v>
      </c>
      <c r="G455">
        <v>72.862084099999905</v>
      </c>
      <c r="H455">
        <f t="shared" si="35"/>
        <v>267.90000000000003</v>
      </c>
      <c r="I455" s="4">
        <f t="shared" si="36"/>
        <v>1425</v>
      </c>
      <c r="J455" s="6">
        <f t="shared" si="37"/>
        <v>550</v>
      </c>
      <c r="K455" s="6">
        <f t="shared" si="38"/>
        <v>783750</v>
      </c>
      <c r="L455" s="3" t="str">
        <f t="shared" si="39"/>
        <v>Premium</v>
      </c>
    </row>
    <row r="456" spans="1:12">
      <c r="A456" t="s">
        <v>730</v>
      </c>
      <c r="B456" t="s">
        <v>794</v>
      </c>
      <c r="C456" s="4">
        <v>4.2</v>
      </c>
      <c r="D456" s="4">
        <v>2109</v>
      </c>
      <c r="E456" t="s">
        <v>795</v>
      </c>
      <c r="F456" s="4">
        <v>19.214727199999999</v>
      </c>
      <c r="G456">
        <v>72.867216599999907</v>
      </c>
      <c r="H456">
        <f t="shared" si="35"/>
        <v>8857.8000000000011</v>
      </c>
      <c r="I456" s="4">
        <f t="shared" si="36"/>
        <v>52725</v>
      </c>
      <c r="J456" s="6">
        <f t="shared" si="37"/>
        <v>350</v>
      </c>
      <c r="K456" s="6">
        <f t="shared" si="38"/>
        <v>18453750</v>
      </c>
      <c r="L456" s="3" t="str">
        <f t="shared" si="39"/>
        <v>Popular</v>
      </c>
    </row>
    <row r="457" spans="1:12">
      <c r="A457" t="s">
        <v>730</v>
      </c>
      <c r="B457" t="s">
        <v>796</v>
      </c>
      <c r="C457" s="4">
        <v>4.0999999999999996</v>
      </c>
      <c r="D457" s="4">
        <v>57</v>
      </c>
      <c r="E457" t="s">
        <v>797</v>
      </c>
      <c r="F457" s="4">
        <v>19.224091099999999</v>
      </c>
      <c r="G457">
        <v>72.846323900000002</v>
      </c>
      <c r="H457">
        <f t="shared" si="35"/>
        <v>233.7</v>
      </c>
      <c r="I457" s="4">
        <f t="shared" si="36"/>
        <v>1425</v>
      </c>
      <c r="J457" s="6">
        <f t="shared" si="37"/>
        <v>350</v>
      </c>
      <c r="K457" s="6">
        <f t="shared" si="38"/>
        <v>498750</v>
      </c>
      <c r="L457" s="3" t="str">
        <f t="shared" si="39"/>
        <v>Popular</v>
      </c>
    </row>
    <row r="458" spans="1:12">
      <c r="A458" t="s">
        <v>730</v>
      </c>
      <c r="B458" t="s">
        <v>798</v>
      </c>
      <c r="C458" s="4">
        <v>4.2</v>
      </c>
      <c r="D458" s="4">
        <v>317</v>
      </c>
      <c r="E458" t="s">
        <v>799</v>
      </c>
      <c r="F458" s="4">
        <v>19.231347800000002</v>
      </c>
      <c r="G458">
        <v>72.859981899999994</v>
      </c>
      <c r="H458">
        <f t="shared" si="35"/>
        <v>1331.4</v>
      </c>
      <c r="I458" s="4">
        <f t="shared" si="36"/>
        <v>7925</v>
      </c>
      <c r="J458" s="6">
        <f t="shared" si="37"/>
        <v>350</v>
      </c>
      <c r="K458" s="6">
        <f t="shared" si="38"/>
        <v>2773750</v>
      </c>
      <c r="L458" s="3" t="str">
        <f t="shared" si="39"/>
        <v>Popular</v>
      </c>
    </row>
    <row r="459" spans="1:12">
      <c r="A459" t="s">
        <v>730</v>
      </c>
      <c r="B459" t="s">
        <v>800</v>
      </c>
      <c r="C459" s="4">
        <v>4.4000000000000004</v>
      </c>
      <c r="D459" s="4">
        <v>40</v>
      </c>
      <c r="E459" t="s">
        <v>801</v>
      </c>
      <c r="F459" s="4">
        <v>19.2233521</v>
      </c>
      <c r="G459">
        <v>72.841061400000001</v>
      </c>
      <c r="H459">
        <f t="shared" si="35"/>
        <v>176</v>
      </c>
      <c r="I459" s="4">
        <f t="shared" si="36"/>
        <v>1000</v>
      </c>
      <c r="J459" s="6">
        <f t="shared" si="37"/>
        <v>450</v>
      </c>
      <c r="K459" s="6">
        <f t="shared" si="38"/>
        <v>450000</v>
      </c>
      <c r="L459" s="3" t="str">
        <f t="shared" si="39"/>
        <v>Popular</v>
      </c>
    </row>
    <row r="460" spans="1:12">
      <c r="A460" t="s">
        <v>730</v>
      </c>
      <c r="B460" t="s">
        <v>802</v>
      </c>
      <c r="C460" s="4">
        <v>4.4000000000000004</v>
      </c>
      <c r="D460" s="4">
        <v>26</v>
      </c>
      <c r="E460" t="s">
        <v>803</v>
      </c>
      <c r="F460" s="4">
        <v>19.236942299999999</v>
      </c>
      <c r="G460">
        <v>72.853710800000002</v>
      </c>
      <c r="H460">
        <f t="shared" si="35"/>
        <v>114.4</v>
      </c>
      <c r="I460" s="4">
        <f t="shared" si="36"/>
        <v>650</v>
      </c>
      <c r="J460" s="6">
        <f t="shared" si="37"/>
        <v>450</v>
      </c>
      <c r="K460" s="6">
        <f t="shared" si="38"/>
        <v>292500</v>
      </c>
      <c r="L460" s="3" t="str">
        <f t="shared" si="39"/>
        <v>Popular</v>
      </c>
    </row>
    <row r="461" spans="1:12">
      <c r="A461" t="s">
        <v>730</v>
      </c>
      <c r="B461" t="s">
        <v>804</v>
      </c>
      <c r="C461" s="4">
        <v>4.2</v>
      </c>
      <c r="D461" s="4">
        <v>308</v>
      </c>
      <c r="E461" t="s">
        <v>805</v>
      </c>
      <c r="F461" s="4">
        <v>19.239961999999998</v>
      </c>
      <c r="G461">
        <v>72.8392695</v>
      </c>
      <c r="H461">
        <f t="shared" si="35"/>
        <v>1293.6000000000001</v>
      </c>
      <c r="I461" s="4">
        <f t="shared" si="36"/>
        <v>7700</v>
      </c>
      <c r="J461" s="6">
        <f t="shared" si="37"/>
        <v>350</v>
      </c>
      <c r="K461" s="6">
        <f t="shared" si="38"/>
        <v>2695000</v>
      </c>
      <c r="L461" s="3" t="str">
        <f t="shared" si="39"/>
        <v>Popular</v>
      </c>
    </row>
    <row r="462" spans="1:12">
      <c r="A462" t="s">
        <v>730</v>
      </c>
      <c r="B462" t="s">
        <v>806</v>
      </c>
      <c r="C462" s="4">
        <v>4</v>
      </c>
      <c r="D462" s="4">
        <v>1861</v>
      </c>
      <c r="E462" t="s">
        <v>807</v>
      </c>
      <c r="F462" s="4">
        <v>19.2149134</v>
      </c>
      <c r="G462">
        <v>72.868282399999998</v>
      </c>
      <c r="H462">
        <f t="shared" si="35"/>
        <v>7444</v>
      </c>
      <c r="I462" s="4">
        <f t="shared" si="36"/>
        <v>46525</v>
      </c>
      <c r="J462" s="6">
        <f t="shared" si="37"/>
        <v>350</v>
      </c>
      <c r="K462" s="6">
        <f t="shared" si="38"/>
        <v>16283750</v>
      </c>
      <c r="L462" s="3" t="str">
        <f t="shared" si="39"/>
        <v>Popular</v>
      </c>
    </row>
    <row r="463" spans="1:12">
      <c r="A463" t="s">
        <v>730</v>
      </c>
      <c r="B463" t="s">
        <v>808</v>
      </c>
      <c r="C463" s="4">
        <v>4.9000000000000004</v>
      </c>
      <c r="D463" s="4">
        <v>40</v>
      </c>
      <c r="E463" t="s">
        <v>809</v>
      </c>
      <c r="F463" s="4">
        <v>19.2224565</v>
      </c>
      <c r="G463">
        <v>72.849232000000001</v>
      </c>
      <c r="H463">
        <f t="shared" si="35"/>
        <v>196</v>
      </c>
      <c r="I463" s="4">
        <f t="shared" si="36"/>
        <v>1000</v>
      </c>
      <c r="J463" s="6">
        <f t="shared" si="37"/>
        <v>550</v>
      </c>
      <c r="K463" s="6">
        <f t="shared" si="38"/>
        <v>550000</v>
      </c>
      <c r="L463" s="3" t="str">
        <f t="shared" si="39"/>
        <v>Premium</v>
      </c>
    </row>
    <row r="464" spans="1:12">
      <c r="A464" t="s">
        <v>730</v>
      </c>
      <c r="B464" t="s">
        <v>810</v>
      </c>
      <c r="C464" s="4">
        <v>5</v>
      </c>
      <c r="D464" s="4">
        <v>46</v>
      </c>
      <c r="E464" t="s">
        <v>811</v>
      </c>
      <c r="F464" s="4">
        <v>19.222591300000001</v>
      </c>
      <c r="G464">
        <v>72.841161900000003</v>
      </c>
      <c r="H464">
        <f t="shared" si="35"/>
        <v>230</v>
      </c>
      <c r="I464" s="4">
        <f t="shared" si="36"/>
        <v>1150</v>
      </c>
      <c r="J464" s="6">
        <f t="shared" si="37"/>
        <v>550</v>
      </c>
      <c r="K464" s="6">
        <f t="shared" si="38"/>
        <v>632500</v>
      </c>
      <c r="L464" s="3" t="str">
        <f t="shared" si="39"/>
        <v>Premium</v>
      </c>
    </row>
    <row r="465" spans="1:12">
      <c r="A465" t="s">
        <v>730</v>
      </c>
      <c r="B465" t="s">
        <v>812</v>
      </c>
      <c r="C465" s="4">
        <v>3.8</v>
      </c>
      <c r="D465" s="4">
        <v>1399</v>
      </c>
      <c r="E465" t="s">
        <v>813</v>
      </c>
      <c r="F465" s="4">
        <v>19.215497899999999</v>
      </c>
      <c r="G465">
        <v>72.868078999999994</v>
      </c>
      <c r="H465">
        <f t="shared" si="35"/>
        <v>5316.2</v>
      </c>
      <c r="I465" s="4">
        <f t="shared" si="36"/>
        <v>34975</v>
      </c>
      <c r="J465" s="6">
        <f t="shared" si="37"/>
        <v>350</v>
      </c>
      <c r="K465" s="6">
        <f t="shared" si="38"/>
        <v>12241250</v>
      </c>
      <c r="L465" s="3" t="str">
        <f t="shared" si="39"/>
        <v>Average</v>
      </c>
    </row>
    <row r="466" spans="1:12">
      <c r="A466" t="s">
        <v>730</v>
      </c>
      <c r="B466" t="s">
        <v>814</v>
      </c>
      <c r="C466" s="4">
        <v>4.2</v>
      </c>
      <c r="D466" s="4">
        <v>3345</v>
      </c>
      <c r="E466" t="s">
        <v>815</v>
      </c>
      <c r="F466" s="4">
        <v>19.2499985</v>
      </c>
      <c r="G466">
        <v>72.847911799999906</v>
      </c>
      <c r="H466">
        <f t="shared" si="35"/>
        <v>14049</v>
      </c>
      <c r="I466" s="4">
        <f t="shared" si="36"/>
        <v>83625</v>
      </c>
      <c r="J466" s="6">
        <f t="shared" si="37"/>
        <v>350</v>
      </c>
      <c r="K466" s="6">
        <f t="shared" si="38"/>
        <v>29268750</v>
      </c>
      <c r="L466" s="3" t="str">
        <f t="shared" si="39"/>
        <v>Popular</v>
      </c>
    </row>
    <row r="467" spans="1:12">
      <c r="A467" t="s">
        <v>730</v>
      </c>
      <c r="B467" t="s">
        <v>816</v>
      </c>
      <c r="C467" s="4">
        <v>3.7</v>
      </c>
      <c r="D467" s="4">
        <v>849</v>
      </c>
      <c r="E467" t="s">
        <v>817</v>
      </c>
      <c r="F467" s="4">
        <v>19.227692900000001</v>
      </c>
      <c r="G467">
        <v>72.855286499999906</v>
      </c>
      <c r="H467">
        <f t="shared" si="35"/>
        <v>3141.3</v>
      </c>
      <c r="I467" s="4">
        <f t="shared" si="36"/>
        <v>21225</v>
      </c>
      <c r="J467" s="6">
        <f t="shared" si="37"/>
        <v>350</v>
      </c>
      <c r="K467" s="6">
        <f t="shared" si="38"/>
        <v>7428750</v>
      </c>
      <c r="L467" s="3" t="str">
        <f t="shared" si="39"/>
        <v>Average</v>
      </c>
    </row>
    <row r="468" spans="1:12">
      <c r="A468" t="s">
        <v>730</v>
      </c>
      <c r="B468" t="s">
        <v>584</v>
      </c>
      <c r="C468" s="4">
        <v>4.2</v>
      </c>
      <c r="D468" s="4">
        <v>1155</v>
      </c>
      <c r="E468" t="s">
        <v>818</v>
      </c>
      <c r="F468" s="4">
        <v>19.213444800000001</v>
      </c>
      <c r="G468">
        <v>72.838064099999997</v>
      </c>
      <c r="H468">
        <f t="shared" si="35"/>
        <v>4851</v>
      </c>
      <c r="I468" s="4">
        <f t="shared" si="36"/>
        <v>28875</v>
      </c>
      <c r="J468" s="6">
        <f t="shared" si="37"/>
        <v>350</v>
      </c>
      <c r="K468" s="6">
        <f t="shared" si="38"/>
        <v>10106250</v>
      </c>
      <c r="L468" s="3" t="str">
        <f t="shared" si="39"/>
        <v>Popular</v>
      </c>
    </row>
    <row r="469" spans="1:12">
      <c r="A469" t="s">
        <v>730</v>
      </c>
      <c r="B469" t="s">
        <v>819</v>
      </c>
      <c r="C469" s="4">
        <v>4.4000000000000004</v>
      </c>
      <c r="D469" s="4">
        <v>281</v>
      </c>
      <c r="E469" t="s">
        <v>820</v>
      </c>
      <c r="F469" s="4">
        <v>19.2288362</v>
      </c>
      <c r="G469">
        <v>72.857319599999997</v>
      </c>
      <c r="H469">
        <f t="shared" si="35"/>
        <v>1236.4000000000001</v>
      </c>
      <c r="I469" s="4">
        <f t="shared" si="36"/>
        <v>7025</v>
      </c>
      <c r="J469" s="6">
        <f t="shared" si="37"/>
        <v>450</v>
      </c>
      <c r="K469" s="6">
        <f t="shared" si="38"/>
        <v>3161250</v>
      </c>
      <c r="L469" s="3" t="str">
        <f t="shared" si="39"/>
        <v>Popular</v>
      </c>
    </row>
    <row r="470" spans="1:12">
      <c r="A470" t="s">
        <v>730</v>
      </c>
      <c r="B470" t="s">
        <v>821</v>
      </c>
      <c r="C470" s="4">
        <v>4.0999999999999996</v>
      </c>
      <c r="D470" s="4">
        <v>2216</v>
      </c>
      <c r="E470" t="s">
        <v>822</v>
      </c>
      <c r="F470" s="4">
        <v>19.222928400000001</v>
      </c>
      <c r="G470">
        <v>72.854545299999998</v>
      </c>
      <c r="H470">
        <f t="shared" si="35"/>
        <v>9085.5999999999985</v>
      </c>
      <c r="I470" s="4">
        <f t="shared" si="36"/>
        <v>55400</v>
      </c>
      <c r="J470" s="6">
        <f t="shared" si="37"/>
        <v>350</v>
      </c>
      <c r="K470" s="6">
        <f t="shared" si="38"/>
        <v>19390000</v>
      </c>
      <c r="L470" s="3" t="str">
        <f t="shared" si="39"/>
        <v>Popular</v>
      </c>
    </row>
    <row r="471" spans="1:12">
      <c r="A471" t="s">
        <v>730</v>
      </c>
      <c r="B471" t="s">
        <v>823</v>
      </c>
      <c r="C471" s="4">
        <v>4.5999999999999996</v>
      </c>
      <c r="D471" s="4">
        <v>17</v>
      </c>
      <c r="E471" t="s">
        <v>824</v>
      </c>
      <c r="F471" s="4">
        <v>19.2275189</v>
      </c>
      <c r="G471">
        <v>72.849493999999893</v>
      </c>
      <c r="H471">
        <f t="shared" si="35"/>
        <v>78.199999999999989</v>
      </c>
      <c r="I471" s="4">
        <f t="shared" si="36"/>
        <v>425</v>
      </c>
      <c r="J471" s="6">
        <f t="shared" si="37"/>
        <v>450</v>
      </c>
      <c r="K471" s="6">
        <f t="shared" si="38"/>
        <v>191250</v>
      </c>
      <c r="L471" s="3" t="str">
        <f t="shared" si="39"/>
        <v>Premium</v>
      </c>
    </row>
    <row r="472" spans="1:12">
      <c r="A472" t="s">
        <v>730</v>
      </c>
      <c r="B472" t="s">
        <v>825</v>
      </c>
      <c r="C472" s="4">
        <v>4.2</v>
      </c>
      <c r="D472" s="4">
        <v>147</v>
      </c>
      <c r="E472" t="s">
        <v>826</v>
      </c>
      <c r="F472" s="4">
        <v>19.245398999999999</v>
      </c>
      <c r="G472">
        <v>72.850939499999996</v>
      </c>
      <c r="H472">
        <f t="shared" si="35"/>
        <v>617.4</v>
      </c>
      <c r="I472" s="4">
        <f t="shared" si="36"/>
        <v>3675</v>
      </c>
      <c r="J472" s="6">
        <f t="shared" si="37"/>
        <v>350</v>
      </c>
      <c r="K472" s="6">
        <f t="shared" si="38"/>
        <v>1286250</v>
      </c>
      <c r="L472" s="3" t="str">
        <f t="shared" si="39"/>
        <v>Popular</v>
      </c>
    </row>
    <row r="473" spans="1:12">
      <c r="A473" t="s">
        <v>730</v>
      </c>
      <c r="B473" t="s">
        <v>827</v>
      </c>
      <c r="C473" s="4">
        <v>4.4000000000000004</v>
      </c>
      <c r="D473" s="4">
        <v>213</v>
      </c>
      <c r="E473" t="s">
        <v>828</v>
      </c>
      <c r="F473" s="4">
        <v>19.222405500000001</v>
      </c>
      <c r="G473">
        <v>72.848050499999999</v>
      </c>
      <c r="H473">
        <f t="shared" si="35"/>
        <v>937.2</v>
      </c>
      <c r="I473" s="4">
        <f t="shared" si="36"/>
        <v>5325</v>
      </c>
      <c r="J473" s="6">
        <f t="shared" si="37"/>
        <v>450</v>
      </c>
      <c r="K473" s="6">
        <f t="shared" si="38"/>
        <v>2396250</v>
      </c>
      <c r="L473" s="3" t="str">
        <f t="shared" si="39"/>
        <v>Popular</v>
      </c>
    </row>
    <row r="474" spans="1:12">
      <c r="A474" t="s">
        <v>730</v>
      </c>
      <c r="B474" t="s">
        <v>829</v>
      </c>
      <c r="C474" s="4">
        <v>4.8</v>
      </c>
      <c r="D474" s="4">
        <v>19</v>
      </c>
      <c r="E474" t="s">
        <v>830</v>
      </c>
      <c r="F474" s="4">
        <v>19.2179644</v>
      </c>
      <c r="G474">
        <v>72.842257799999999</v>
      </c>
      <c r="H474">
        <f t="shared" si="35"/>
        <v>91.2</v>
      </c>
      <c r="I474" s="4">
        <f t="shared" si="36"/>
        <v>475</v>
      </c>
      <c r="J474" s="6">
        <f t="shared" si="37"/>
        <v>550</v>
      </c>
      <c r="K474" s="6">
        <f t="shared" si="38"/>
        <v>261250</v>
      </c>
      <c r="L474" s="3" t="str">
        <f t="shared" si="39"/>
        <v>Premium</v>
      </c>
    </row>
    <row r="475" spans="1:12">
      <c r="A475" t="s">
        <v>730</v>
      </c>
      <c r="B475" t="s">
        <v>831</v>
      </c>
      <c r="C475" s="4">
        <v>4.0999999999999996</v>
      </c>
      <c r="D475" s="4">
        <v>235</v>
      </c>
      <c r="E475" t="s">
        <v>832</v>
      </c>
      <c r="F475" s="4">
        <v>19.234054</v>
      </c>
      <c r="G475">
        <v>72.853424500000003</v>
      </c>
      <c r="H475">
        <f t="shared" si="35"/>
        <v>963.49999999999989</v>
      </c>
      <c r="I475" s="4">
        <f t="shared" si="36"/>
        <v>5875</v>
      </c>
      <c r="J475" s="6">
        <f t="shared" si="37"/>
        <v>350</v>
      </c>
      <c r="K475" s="6">
        <f t="shared" si="38"/>
        <v>2056250</v>
      </c>
      <c r="L475" s="3" t="str">
        <f t="shared" si="39"/>
        <v>Popular</v>
      </c>
    </row>
    <row r="476" spans="1:12">
      <c r="A476" t="s">
        <v>730</v>
      </c>
      <c r="B476" t="s">
        <v>833</v>
      </c>
      <c r="C476" s="4">
        <v>4.2</v>
      </c>
      <c r="D476" s="4">
        <v>1036</v>
      </c>
      <c r="E476" t="s">
        <v>834</v>
      </c>
      <c r="F476" s="4">
        <v>19.233814500000001</v>
      </c>
      <c r="G476">
        <v>72.853820900000002</v>
      </c>
      <c r="H476">
        <f t="shared" si="35"/>
        <v>4351.2</v>
      </c>
      <c r="I476" s="4">
        <f t="shared" si="36"/>
        <v>25900</v>
      </c>
      <c r="J476" s="6">
        <f t="shared" si="37"/>
        <v>350</v>
      </c>
      <c r="K476" s="6">
        <f t="shared" si="38"/>
        <v>9065000</v>
      </c>
      <c r="L476" s="3" t="str">
        <f t="shared" si="39"/>
        <v>Popular</v>
      </c>
    </row>
    <row r="477" spans="1:12">
      <c r="A477" t="s">
        <v>730</v>
      </c>
      <c r="B477" t="s">
        <v>835</v>
      </c>
      <c r="C477" s="4">
        <v>4.5</v>
      </c>
      <c r="D477" s="4">
        <v>34</v>
      </c>
      <c r="E477" t="s">
        <v>836</v>
      </c>
      <c r="F477" s="4">
        <v>19.250648099999999</v>
      </c>
      <c r="G477">
        <v>72.846229199999996</v>
      </c>
      <c r="H477">
        <f t="shared" si="35"/>
        <v>153</v>
      </c>
      <c r="I477" s="4">
        <f t="shared" si="36"/>
        <v>850</v>
      </c>
      <c r="J477" s="6">
        <f t="shared" si="37"/>
        <v>450</v>
      </c>
      <c r="K477" s="6">
        <f t="shared" si="38"/>
        <v>382500</v>
      </c>
      <c r="L477" s="3" t="str">
        <f t="shared" si="39"/>
        <v>Premium</v>
      </c>
    </row>
    <row r="478" spans="1:12">
      <c r="A478" t="s">
        <v>730</v>
      </c>
      <c r="B478" t="s">
        <v>837</v>
      </c>
      <c r="C478" s="4">
        <v>4.5999999999999996</v>
      </c>
      <c r="D478" s="4">
        <v>390</v>
      </c>
      <c r="E478" t="s">
        <v>838</v>
      </c>
      <c r="F478" s="4">
        <v>19.234904499999999</v>
      </c>
      <c r="G478">
        <v>72.840994199999997</v>
      </c>
      <c r="H478">
        <f t="shared" si="35"/>
        <v>1793.9999999999998</v>
      </c>
      <c r="I478" s="4">
        <f t="shared" si="36"/>
        <v>9750</v>
      </c>
      <c r="J478" s="6">
        <f t="shared" si="37"/>
        <v>450</v>
      </c>
      <c r="K478" s="6">
        <f t="shared" si="38"/>
        <v>4387500</v>
      </c>
      <c r="L478" s="3" t="str">
        <f t="shared" si="39"/>
        <v>Premium</v>
      </c>
    </row>
    <row r="479" spans="1:12">
      <c r="A479" t="s">
        <v>730</v>
      </c>
      <c r="B479" t="s">
        <v>839</v>
      </c>
      <c r="C479" s="4">
        <v>4.2</v>
      </c>
      <c r="D479" s="4">
        <v>9310</v>
      </c>
      <c r="E479" t="s">
        <v>840</v>
      </c>
      <c r="F479" s="4">
        <v>19.220508500000001</v>
      </c>
      <c r="G479">
        <v>72.841148599999997</v>
      </c>
      <c r="H479">
        <f t="shared" si="35"/>
        <v>39102</v>
      </c>
      <c r="I479" s="4">
        <f t="shared" si="36"/>
        <v>232750</v>
      </c>
      <c r="J479" s="6">
        <f t="shared" si="37"/>
        <v>350</v>
      </c>
      <c r="K479" s="6">
        <f t="shared" si="38"/>
        <v>81462500</v>
      </c>
      <c r="L479" s="3" t="str">
        <f t="shared" si="39"/>
        <v>Popular</v>
      </c>
    </row>
    <row r="480" spans="1:12">
      <c r="A480" t="s">
        <v>730</v>
      </c>
      <c r="B480" t="s">
        <v>841</v>
      </c>
      <c r="C480" s="4">
        <v>4.9000000000000004</v>
      </c>
      <c r="D480" s="4">
        <v>13</v>
      </c>
      <c r="E480" t="s">
        <v>842</v>
      </c>
      <c r="F480" s="4">
        <v>19.231182199999999</v>
      </c>
      <c r="G480">
        <v>72.824813699999893</v>
      </c>
      <c r="H480">
        <f t="shared" si="35"/>
        <v>63.7</v>
      </c>
      <c r="I480" s="4">
        <f t="shared" si="36"/>
        <v>325</v>
      </c>
      <c r="J480" s="6">
        <f t="shared" si="37"/>
        <v>550</v>
      </c>
      <c r="K480" s="6">
        <f t="shared" si="38"/>
        <v>178750</v>
      </c>
      <c r="L480" s="3" t="str">
        <f t="shared" si="39"/>
        <v>Premium</v>
      </c>
    </row>
    <row r="481" spans="1:12">
      <c r="A481" t="s">
        <v>730</v>
      </c>
      <c r="B481" t="s">
        <v>843</v>
      </c>
      <c r="C481" s="4">
        <v>4.7</v>
      </c>
      <c r="D481" s="4">
        <v>34</v>
      </c>
      <c r="E481" t="s">
        <v>844</v>
      </c>
      <c r="F481" s="4">
        <v>19.2349076</v>
      </c>
      <c r="G481">
        <v>72.844816499999993</v>
      </c>
      <c r="H481">
        <f t="shared" si="35"/>
        <v>159.80000000000001</v>
      </c>
      <c r="I481" s="4">
        <f t="shared" si="36"/>
        <v>850</v>
      </c>
      <c r="J481" s="6">
        <f t="shared" si="37"/>
        <v>550</v>
      </c>
      <c r="K481" s="6">
        <f t="shared" si="38"/>
        <v>467500</v>
      </c>
      <c r="L481" s="3" t="str">
        <f t="shared" si="39"/>
        <v>Premium</v>
      </c>
    </row>
    <row r="482" spans="1:12">
      <c r="A482" t="s">
        <v>845</v>
      </c>
      <c r="B482" t="s">
        <v>846</v>
      </c>
      <c r="C482" s="4">
        <v>4.0999999999999996</v>
      </c>
      <c r="D482" s="4">
        <v>1240</v>
      </c>
      <c r="E482" t="s">
        <v>847</v>
      </c>
      <c r="F482" s="4">
        <v>19.086548400000002</v>
      </c>
      <c r="G482">
        <v>72.889735399999907</v>
      </c>
      <c r="H482">
        <f t="shared" si="35"/>
        <v>5084</v>
      </c>
      <c r="I482" s="4">
        <f t="shared" si="36"/>
        <v>31000</v>
      </c>
      <c r="J482" s="6">
        <f t="shared" si="37"/>
        <v>350</v>
      </c>
      <c r="K482" s="6">
        <f t="shared" si="38"/>
        <v>10850000</v>
      </c>
      <c r="L482" s="3" t="str">
        <f t="shared" si="39"/>
        <v>Popular</v>
      </c>
    </row>
    <row r="483" spans="1:12">
      <c r="A483" t="s">
        <v>845</v>
      </c>
      <c r="B483" t="s">
        <v>848</v>
      </c>
      <c r="C483" s="4">
        <v>4.5</v>
      </c>
      <c r="D483" s="4">
        <v>2570</v>
      </c>
      <c r="E483" t="s">
        <v>849</v>
      </c>
      <c r="F483" s="4">
        <v>19.067784</v>
      </c>
      <c r="G483">
        <v>72.868971799999997</v>
      </c>
      <c r="H483">
        <f t="shared" si="35"/>
        <v>11565</v>
      </c>
      <c r="I483" s="4">
        <f t="shared" si="36"/>
        <v>64250</v>
      </c>
      <c r="J483" s="6">
        <f t="shared" si="37"/>
        <v>450</v>
      </c>
      <c r="K483" s="6">
        <f t="shared" si="38"/>
        <v>28912500</v>
      </c>
      <c r="L483" s="3" t="str">
        <f t="shared" si="39"/>
        <v>Premium</v>
      </c>
    </row>
    <row r="484" spans="1:12">
      <c r="A484" t="s">
        <v>845</v>
      </c>
      <c r="B484" t="s">
        <v>48</v>
      </c>
      <c r="C484" s="4">
        <v>4.9000000000000004</v>
      </c>
      <c r="D484" s="4">
        <v>420</v>
      </c>
      <c r="E484" t="s">
        <v>850</v>
      </c>
      <c r="F484" s="4">
        <v>19.0718611</v>
      </c>
      <c r="G484">
        <v>72.876555600000003</v>
      </c>
      <c r="H484">
        <f t="shared" si="35"/>
        <v>2058</v>
      </c>
      <c r="I484" s="4">
        <f t="shared" si="36"/>
        <v>10500</v>
      </c>
      <c r="J484" s="6">
        <f t="shared" si="37"/>
        <v>550</v>
      </c>
      <c r="K484" s="6">
        <f t="shared" si="38"/>
        <v>5775000</v>
      </c>
      <c r="L484" s="3" t="str">
        <f t="shared" si="39"/>
        <v>Premium</v>
      </c>
    </row>
    <row r="485" spans="1:12">
      <c r="A485" t="s">
        <v>845</v>
      </c>
      <c r="B485" t="s">
        <v>851</v>
      </c>
      <c r="C485" s="4">
        <v>4.9000000000000004</v>
      </c>
      <c r="D485" s="4">
        <v>94</v>
      </c>
      <c r="E485" t="s">
        <v>852</v>
      </c>
      <c r="F485" s="4">
        <v>19.070182599999999</v>
      </c>
      <c r="G485">
        <v>72.898175600000002</v>
      </c>
      <c r="H485">
        <f t="shared" si="35"/>
        <v>460.6</v>
      </c>
      <c r="I485" s="4">
        <f t="shared" si="36"/>
        <v>2350</v>
      </c>
      <c r="J485" s="6">
        <f t="shared" si="37"/>
        <v>550</v>
      </c>
      <c r="K485" s="6">
        <f t="shared" si="38"/>
        <v>1292500</v>
      </c>
      <c r="L485" s="3" t="str">
        <f t="shared" si="39"/>
        <v>Premium</v>
      </c>
    </row>
    <row r="486" spans="1:12">
      <c r="A486" t="s">
        <v>845</v>
      </c>
      <c r="B486" t="s">
        <v>397</v>
      </c>
      <c r="C486" s="4">
        <v>4.2</v>
      </c>
      <c r="D486" s="4">
        <v>1556</v>
      </c>
      <c r="E486" t="s">
        <v>853</v>
      </c>
      <c r="F486" s="4">
        <v>19.0592644</v>
      </c>
      <c r="G486">
        <v>72.864664199999893</v>
      </c>
      <c r="H486">
        <f t="shared" si="35"/>
        <v>6535.2000000000007</v>
      </c>
      <c r="I486" s="4">
        <f t="shared" si="36"/>
        <v>38900</v>
      </c>
      <c r="J486" s="6">
        <f t="shared" si="37"/>
        <v>350</v>
      </c>
      <c r="K486" s="6">
        <f t="shared" si="38"/>
        <v>13615000</v>
      </c>
      <c r="L486" s="3" t="str">
        <f t="shared" si="39"/>
        <v>Popular</v>
      </c>
    </row>
    <row r="487" spans="1:12">
      <c r="A487" t="s">
        <v>845</v>
      </c>
      <c r="B487" t="s">
        <v>854</v>
      </c>
      <c r="C487" s="4">
        <v>4.9000000000000004</v>
      </c>
      <c r="D487" s="4">
        <v>35</v>
      </c>
      <c r="E487" t="s">
        <v>855</v>
      </c>
      <c r="F487" s="4">
        <v>19.0634038</v>
      </c>
      <c r="G487">
        <v>72.875044799999998</v>
      </c>
      <c r="H487">
        <f t="shared" si="35"/>
        <v>171.5</v>
      </c>
      <c r="I487" s="4">
        <f t="shared" si="36"/>
        <v>875</v>
      </c>
      <c r="J487" s="6">
        <f t="shared" si="37"/>
        <v>550</v>
      </c>
      <c r="K487" s="6">
        <f t="shared" si="38"/>
        <v>481250</v>
      </c>
      <c r="L487" s="3" t="str">
        <f t="shared" si="39"/>
        <v>Premium</v>
      </c>
    </row>
    <row r="488" spans="1:12">
      <c r="A488" t="s">
        <v>845</v>
      </c>
      <c r="B488" t="s">
        <v>856</v>
      </c>
      <c r="C488" s="4">
        <v>4</v>
      </c>
      <c r="D488" s="4">
        <v>1169</v>
      </c>
      <c r="E488" t="s">
        <v>857</v>
      </c>
      <c r="F488" s="4">
        <v>19.0863741</v>
      </c>
      <c r="G488">
        <v>72.889836299999999</v>
      </c>
      <c r="H488">
        <f t="shared" si="35"/>
        <v>4676</v>
      </c>
      <c r="I488" s="4">
        <f t="shared" si="36"/>
        <v>29225</v>
      </c>
      <c r="J488" s="6">
        <f t="shared" si="37"/>
        <v>350</v>
      </c>
      <c r="K488" s="6">
        <f t="shared" si="38"/>
        <v>10228750</v>
      </c>
      <c r="L488" s="3" t="str">
        <f t="shared" si="39"/>
        <v>Popular</v>
      </c>
    </row>
    <row r="489" spans="1:12">
      <c r="A489" t="s">
        <v>845</v>
      </c>
      <c r="B489" t="s">
        <v>858</v>
      </c>
      <c r="C489" s="4">
        <v>4.2</v>
      </c>
      <c r="D489" s="4">
        <v>2002</v>
      </c>
      <c r="E489" t="s">
        <v>859</v>
      </c>
      <c r="F489" s="4">
        <v>19.0635385</v>
      </c>
      <c r="G489">
        <v>72.861966899999999</v>
      </c>
      <c r="H489">
        <f t="shared" si="35"/>
        <v>8408.4</v>
      </c>
      <c r="I489" s="4">
        <f t="shared" si="36"/>
        <v>50050</v>
      </c>
      <c r="J489" s="6">
        <f t="shared" si="37"/>
        <v>350</v>
      </c>
      <c r="K489" s="6">
        <f t="shared" si="38"/>
        <v>17517500</v>
      </c>
      <c r="L489" s="3" t="str">
        <f t="shared" si="39"/>
        <v>Popular</v>
      </c>
    </row>
    <row r="490" spans="1:12">
      <c r="A490" t="s">
        <v>845</v>
      </c>
      <c r="B490" t="s">
        <v>860</v>
      </c>
      <c r="C490" s="4">
        <v>4.2</v>
      </c>
      <c r="D490" s="4">
        <v>742</v>
      </c>
      <c r="E490" t="s">
        <v>861</v>
      </c>
      <c r="F490" s="4">
        <v>19.0865814</v>
      </c>
      <c r="G490">
        <v>72.890038899999993</v>
      </c>
      <c r="H490">
        <f t="shared" si="35"/>
        <v>3116.4</v>
      </c>
      <c r="I490" s="4">
        <f t="shared" si="36"/>
        <v>18550</v>
      </c>
      <c r="J490" s="6">
        <f t="shared" si="37"/>
        <v>350</v>
      </c>
      <c r="K490" s="6">
        <f t="shared" si="38"/>
        <v>6492500</v>
      </c>
      <c r="L490" s="3" t="str">
        <f t="shared" si="39"/>
        <v>Popular</v>
      </c>
    </row>
    <row r="491" spans="1:12">
      <c r="A491" t="s">
        <v>845</v>
      </c>
      <c r="B491" t="s">
        <v>862</v>
      </c>
      <c r="C491" s="4">
        <v>4.5</v>
      </c>
      <c r="D491" s="4">
        <v>2253</v>
      </c>
      <c r="E491" t="s">
        <v>863</v>
      </c>
      <c r="F491" s="4">
        <v>19.070120500000002</v>
      </c>
      <c r="G491">
        <v>72.8975121</v>
      </c>
      <c r="H491">
        <f t="shared" si="35"/>
        <v>10138.5</v>
      </c>
      <c r="I491" s="4">
        <f t="shared" si="36"/>
        <v>56325</v>
      </c>
      <c r="J491" s="6">
        <f t="shared" si="37"/>
        <v>450</v>
      </c>
      <c r="K491" s="6">
        <f t="shared" si="38"/>
        <v>25346250</v>
      </c>
      <c r="L491" s="3" t="str">
        <f t="shared" si="39"/>
        <v>Premium</v>
      </c>
    </row>
    <row r="492" spans="1:12">
      <c r="A492" t="s">
        <v>845</v>
      </c>
      <c r="B492" t="s">
        <v>864</v>
      </c>
      <c r="C492" s="4">
        <v>4.4000000000000004</v>
      </c>
      <c r="D492" s="4">
        <v>55</v>
      </c>
      <c r="E492" t="s">
        <v>865</v>
      </c>
      <c r="F492" s="4">
        <v>19.086154499999999</v>
      </c>
      <c r="G492">
        <v>72.889519899999996</v>
      </c>
      <c r="H492">
        <f t="shared" si="35"/>
        <v>242.00000000000003</v>
      </c>
      <c r="I492" s="4">
        <f t="shared" si="36"/>
        <v>1375</v>
      </c>
      <c r="J492" s="6">
        <f t="shared" si="37"/>
        <v>450</v>
      </c>
      <c r="K492" s="6">
        <f t="shared" si="38"/>
        <v>618750</v>
      </c>
      <c r="L492" s="3" t="str">
        <f t="shared" si="39"/>
        <v>Popular</v>
      </c>
    </row>
    <row r="493" spans="1:12">
      <c r="A493" t="s">
        <v>845</v>
      </c>
      <c r="B493" t="s">
        <v>866</v>
      </c>
      <c r="C493" s="4">
        <v>4.2</v>
      </c>
      <c r="D493" s="4">
        <v>505</v>
      </c>
      <c r="E493" t="s">
        <v>867</v>
      </c>
      <c r="F493" s="4">
        <v>19.083734499999998</v>
      </c>
      <c r="G493">
        <v>72.883161599999994</v>
      </c>
      <c r="H493">
        <f t="shared" si="35"/>
        <v>2121</v>
      </c>
      <c r="I493" s="4">
        <f t="shared" si="36"/>
        <v>12625</v>
      </c>
      <c r="J493" s="6">
        <f t="shared" si="37"/>
        <v>350</v>
      </c>
      <c r="K493" s="6">
        <f t="shared" si="38"/>
        <v>4418750</v>
      </c>
      <c r="L493" s="3" t="str">
        <f t="shared" si="39"/>
        <v>Popular</v>
      </c>
    </row>
    <row r="494" spans="1:12">
      <c r="A494" t="s">
        <v>845</v>
      </c>
      <c r="B494" t="s">
        <v>868</v>
      </c>
      <c r="C494" s="4">
        <v>4.8</v>
      </c>
      <c r="D494" s="4">
        <v>71</v>
      </c>
      <c r="E494" t="s">
        <v>869</v>
      </c>
      <c r="F494" s="4">
        <v>19.080453299999999</v>
      </c>
      <c r="G494">
        <v>72.889644500000003</v>
      </c>
      <c r="H494">
        <f t="shared" si="35"/>
        <v>340.8</v>
      </c>
      <c r="I494" s="4">
        <f t="shared" si="36"/>
        <v>1775</v>
      </c>
      <c r="J494" s="6">
        <f t="shared" si="37"/>
        <v>550</v>
      </c>
      <c r="K494" s="6">
        <f t="shared" si="38"/>
        <v>976250</v>
      </c>
      <c r="L494" s="3" t="str">
        <f t="shared" si="39"/>
        <v>Premium</v>
      </c>
    </row>
    <row r="495" spans="1:12">
      <c r="A495" t="s">
        <v>845</v>
      </c>
      <c r="B495" t="s">
        <v>870</v>
      </c>
      <c r="C495" s="4">
        <v>4.2</v>
      </c>
      <c r="D495" s="4">
        <v>52</v>
      </c>
      <c r="E495" t="s">
        <v>871</v>
      </c>
      <c r="F495" s="4">
        <v>19.0624623</v>
      </c>
      <c r="G495">
        <v>72.876644499999998</v>
      </c>
      <c r="H495">
        <f t="shared" si="35"/>
        <v>218.4</v>
      </c>
      <c r="I495" s="4">
        <f t="shared" si="36"/>
        <v>1300</v>
      </c>
      <c r="J495" s="6">
        <f t="shared" si="37"/>
        <v>350</v>
      </c>
      <c r="K495" s="6">
        <f t="shared" si="38"/>
        <v>455000</v>
      </c>
      <c r="L495" s="3" t="str">
        <f t="shared" si="39"/>
        <v>Popular</v>
      </c>
    </row>
    <row r="496" spans="1:12">
      <c r="A496" t="s">
        <v>845</v>
      </c>
      <c r="B496" t="s">
        <v>309</v>
      </c>
      <c r="C496" s="4">
        <v>4.3</v>
      </c>
      <c r="D496" s="4">
        <v>283</v>
      </c>
      <c r="E496" t="s">
        <v>872</v>
      </c>
      <c r="F496" s="4">
        <v>19.085432999999998</v>
      </c>
      <c r="G496">
        <v>72.887681299999997</v>
      </c>
      <c r="H496">
        <f t="shared" si="35"/>
        <v>1216.8999999999999</v>
      </c>
      <c r="I496" s="4">
        <f t="shared" si="36"/>
        <v>7075</v>
      </c>
      <c r="J496" s="6">
        <f t="shared" si="37"/>
        <v>350</v>
      </c>
      <c r="K496" s="6">
        <f t="shared" si="38"/>
        <v>2476250</v>
      </c>
      <c r="L496" s="3" t="str">
        <f t="shared" si="39"/>
        <v>Popular</v>
      </c>
    </row>
    <row r="497" spans="1:12">
      <c r="A497" t="s">
        <v>845</v>
      </c>
      <c r="B497" t="s">
        <v>873</v>
      </c>
      <c r="C497" s="4">
        <v>4.7</v>
      </c>
      <c r="D497" s="4">
        <v>49</v>
      </c>
      <c r="E497" t="s">
        <v>874</v>
      </c>
      <c r="F497" s="4">
        <v>19.073816000000001</v>
      </c>
      <c r="G497">
        <v>72.8817193</v>
      </c>
      <c r="H497">
        <f t="shared" si="35"/>
        <v>230.3</v>
      </c>
      <c r="I497" s="4">
        <f t="shared" si="36"/>
        <v>1225</v>
      </c>
      <c r="J497" s="6">
        <f t="shared" si="37"/>
        <v>550</v>
      </c>
      <c r="K497" s="6">
        <f t="shared" si="38"/>
        <v>673750</v>
      </c>
      <c r="L497" s="3" t="str">
        <f t="shared" si="39"/>
        <v>Premium</v>
      </c>
    </row>
    <row r="498" spans="1:12">
      <c r="A498" t="s">
        <v>845</v>
      </c>
      <c r="B498" t="s">
        <v>875</v>
      </c>
      <c r="C498" s="4">
        <v>4.0999999999999996</v>
      </c>
      <c r="D498" s="4">
        <v>646</v>
      </c>
      <c r="E498" t="s">
        <v>876</v>
      </c>
      <c r="F498" s="4">
        <v>19.0766195</v>
      </c>
      <c r="G498">
        <v>72.880073699999997</v>
      </c>
      <c r="H498">
        <f t="shared" si="35"/>
        <v>2648.6</v>
      </c>
      <c r="I498" s="4">
        <f t="shared" si="36"/>
        <v>16150</v>
      </c>
      <c r="J498" s="6">
        <f t="shared" si="37"/>
        <v>350</v>
      </c>
      <c r="K498" s="6">
        <f t="shared" si="38"/>
        <v>5652500</v>
      </c>
      <c r="L498" s="3" t="str">
        <f t="shared" si="39"/>
        <v>Popular</v>
      </c>
    </row>
    <row r="499" spans="1:12">
      <c r="A499" t="s">
        <v>845</v>
      </c>
      <c r="B499" t="s">
        <v>140</v>
      </c>
      <c r="C499" s="4">
        <v>3.9</v>
      </c>
      <c r="D499" s="4">
        <v>554</v>
      </c>
      <c r="E499" t="s">
        <v>877</v>
      </c>
      <c r="F499" s="4">
        <v>19.0866319</v>
      </c>
      <c r="G499">
        <v>72.889421999999996</v>
      </c>
      <c r="H499">
        <f t="shared" si="35"/>
        <v>2160.6</v>
      </c>
      <c r="I499" s="4">
        <f t="shared" si="36"/>
        <v>13850</v>
      </c>
      <c r="J499" s="6">
        <f t="shared" si="37"/>
        <v>350</v>
      </c>
      <c r="K499" s="6">
        <f t="shared" si="38"/>
        <v>4847500</v>
      </c>
      <c r="L499" s="3" t="str">
        <f t="shared" si="39"/>
        <v>Average</v>
      </c>
    </row>
    <row r="500" spans="1:12">
      <c r="A500" t="s">
        <v>845</v>
      </c>
      <c r="B500" t="s">
        <v>878</v>
      </c>
      <c r="C500" s="4">
        <v>4.9000000000000004</v>
      </c>
      <c r="D500" s="4">
        <v>26</v>
      </c>
      <c r="E500" t="s">
        <v>879</v>
      </c>
      <c r="F500" s="4">
        <v>19.086236499999998</v>
      </c>
      <c r="G500">
        <v>72.890171100000003</v>
      </c>
      <c r="H500">
        <f t="shared" si="35"/>
        <v>127.4</v>
      </c>
      <c r="I500" s="4">
        <f t="shared" si="36"/>
        <v>650</v>
      </c>
      <c r="J500" s="6">
        <f t="shared" si="37"/>
        <v>550</v>
      </c>
      <c r="K500" s="6">
        <f t="shared" si="38"/>
        <v>357500</v>
      </c>
      <c r="L500" s="3" t="str">
        <f t="shared" si="39"/>
        <v>Premium</v>
      </c>
    </row>
    <row r="501" spans="1:12">
      <c r="A501" t="s">
        <v>845</v>
      </c>
      <c r="B501" t="s">
        <v>123</v>
      </c>
      <c r="C501" s="4">
        <v>4.4000000000000004</v>
      </c>
      <c r="D501" s="4">
        <v>1594</v>
      </c>
      <c r="E501" t="s">
        <v>880</v>
      </c>
      <c r="F501" s="4">
        <v>19.086688599999999</v>
      </c>
      <c r="G501">
        <v>72.890236599999994</v>
      </c>
      <c r="H501">
        <f t="shared" si="35"/>
        <v>7013.6</v>
      </c>
      <c r="I501" s="4">
        <f t="shared" si="36"/>
        <v>39850</v>
      </c>
      <c r="J501" s="6">
        <f t="shared" si="37"/>
        <v>450</v>
      </c>
      <c r="K501" s="6">
        <f t="shared" si="38"/>
        <v>17932500</v>
      </c>
      <c r="L501" s="3" t="str">
        <f t="shared" si="39"/>
        <v>Popular</v>
      </c>
    </row>
    <row r="502" spans="1:12">
      <c r="A502" t="s">
        <v>845</v>
      </c>
      <c r="B502" t="s">
        <v>881</v>
      </c>
      <c r="C502" s="4">
        <v>4.3</v>
      </c>
      <c r="D502" s="4">
        <v>2600</v>
      </c>
      <c r="E502" t="s">
        <v>882</v>
      </c>
      <c r="F502" s="4">
        <v>19.086301599999999</v>
      </c>
      <c r="G502">
        <v>72.888437499999995</v>
      </c>
      <c r="H502">
        <f t="shared" si="35"/>
        <v>11180</v>
      </c>
      <c r="I502" s="4">
        <f t="shared" si="36"/>
        <v>65000</v>
      </c>
      <c r="J502" s="6">
        <f t="shared" si="37"/>
        <v>350</v>
      </c>
      <c r="K502" s="6">
        <f t="shared" si="38"/>
        <v>22750000</v>
      </c>
      <c r="L502" s="3" t="str">
        <f t="shared" si="39"/>
        <v>Popular</v>
      </c>
    </row>
    <row r="503" spans="1:12">
      <c r="A503" t="s">
        <v>845</v>
      </c>
      <c r="B503" t="s">
        <v>883</v>
      </c>
      <c r="C503" s="4">
        <v>4.2</v>
      </c>
      <c r="D503" s="4">
        <v>49</v>
      </c>
      <c r="E503" t="s">
        <v>884</v>
      </c>
      <c r="F503" s="4">
        <v>19.086811300000001</v>
      </c>
      <c r="G503">
        <v>72.890064199999998</v>
      </c>
      <c r="H503">
        <f t="shared" si="35"/>
        <v>205.8</v>
      </c>
      <c r="I503" s="4">
        <f t="shared" si="36"/>
        <v>1225</v>
      </c>
      <c r="J503" s="6">
        <f t="shared" si="37"/>
        <v>350</v>
      </c>
      <c r="K503" s="6">
        <f t="shared" si="38"/>
        <v>428750</v>
      </c>
      <c r="L503" s="3" t="str">
        <f t="shared" si="39"/>
        <v>Popular</v>
      </c>
    </row>
    <row r="504" spans="1:12">
      <c r="A504" t="s">
        <v>845</v>
      </c>
      <c r="B504" t="s">
        <v>885</v>
      </c>
      <c r="C504" s="4">
        <v>4.9000000000000004</v>
      </c>
      <c r="D504" s="4">
        <v>26</v>
      </c>
      <c r="E504" t="s">
        <v>886</v>
      </c>
      <c r="F504" s="4">
        <v>19.061946800000001</v>
      </c>
      <c r="G504">
        <v>72.8833032</v>
      </c>
      <c r="H504">
        <f t="shared" si="35"/>
        <v>127.4</v>
      </c>
      <c r="I504" s="4">
        <f t="shared" si="36"/>
        <v>650</v>
      </c>
      <c r="J504" s="6">
        <f t="shared" si="37"/>
        <v>550</v>
      </c>
      <c r="K504" s="6">
        <f t="shared" si="38"/>
        <v>357500</v>
      </c>
      <c r="L504" s="3" t="str">
        <f t="shared" si="39"/>
        <v>Premium</v>
      </c>
    </row>
    <row r="505" spans="1:12">
      <c r="A505" t="s">
        <v>845</v>
      </c>
      <c r="B505" t="s">
        <v>887</v>
      </c>
      <c r="C505" s="4">
        <v>5</v>
      </c>
      <c r="D505" s="4">
        <v>25</v>
      </c>
      <c r="E505" t="s">
        <v>888</v>
      </c>
      <c r="F505" s="4">
        <v>19.070233300000002</v>
      </c>
      <c r="G505">
        <v>72.875476800000001</v>
      </c>
      <c r="H505">
        <f t="shared" si="35"/>
        <v>125</v>
      </c>
      <c r="I505" s="4">
        <f t="shared" si="36"/>
        <v>625</v>
      </c>
      <c r="J505" s="6">
        <f t="shared" si="37"/>
        <v>550</v>
      </c>
      <c r="K505" s="6">
        <f t="shared" si="38"/>
        <v>343750</v>
      </c>
      <c r="L505" s="3" t="str">
        <f t="shared" si="39"/>
        <v>Premium</v>
      </c>
    </row>
    <row r="506" spans="1:12">
      <c r="A506" t="s">
        <v>845</v>
      </c>
      <c r="B506" t="s">
        <v>889</v>
      </c>
      <c r="C506" s="4">
        <v>3.9</v>
      </c>
      <c r="D506" s="4">
        <v>1394</v>
      </c>
      <c r="E506" t="s">
        <v>890</v>
      </c>
      <c r="F506" s="4">
        <v>19.059376799999999</v>
      </c>
      <c r="G506">
        <v>72.865386099999995</v>
      </c>
      <c r="H506">
        <f t="shared" si="35"/>
        <v>5436.5999999999995</v>
      </c>
      <c r="I506" s="4">
        <f t="shared" si="36"/>
        <v>34850</v>
      </c>
      <c r="J506" s="6">
        <f t="shared" si="37"/>
        <v>350</v>
      </c>
      <c r="K506" s="6">
        <f t="shared" si="38"/>
        <v>12197500</v>
      </c>
      <c r="L506" s="3" t="str">
        <f t="shared" si="39"/>
        <v>Average</v>
      </c>
    </row>
    <row r="507" spans="1:12">
      <c r="A507" t="s">
        <v>845</v>
      </c>
      <c r="B507" t="s">
        <v>891</v>
      </c>
      <c r="C507" s="4">
        <v>4.3</v>
      </c>
      <c r="D507" s="4">
        <v>5139</v>
      </c>
      <c r="E507" t="s">
        <v>892</v>
      </c>
      <c r="F507" s="4">
        <v>19.059371800000001</v>
      </c>
      <c r="G507">
        <v>72.865197600000002</v>
      </c>
      <c r="H507">
        <f t="shared" si="35"/>
        <v>22097.7</v>
      </c>
      <c r="I507" s="4">
        <f t="shared" si="36"/>
        <v>128475</v>
      </c>
      <c r="J507" s="6">
        <f t="shared" si="37"/>
        <v>350</v>
      </c>
      <c r="K507" s="6">
        <f t="shared" si="38"/>
        <v>44966250</v>
      </c>
      <c r="L507" s="3" t="str">
        <f t="shared" si="39"/>
        <v>Popular</v>
      </c>
    </row>
    <row r="508" spans="1:12">
      <c r="A508" t="s">
        <v>845</v>
      </c>
      <c r="B508" t="s">
        <v>48</v>
      </c>
      <c r="C508" s="4">
        <v>4.7</v>
      </c>
      <c r="D508" s="4">
        <v>170</v>
      </c>
      <c r="E508" t="s">
        <v>893</v>
      </c>
      <c r="F508" s="4">
        <v>19.068366099999999</v>
      </c>
      <c r="G508">
        <v>72.868303799999893</v>
      </c>
      <c r="H508">
        <f t="shared" si="35"/>
        <v>799</v>
      </c>
      <c r="I508" s="4">
        <f t="shared" si="36"/>
        <v>4250</v>
      </c>
      <c r="J508" s="6">
        <f t="shared" si="37"/>
        <v>550</v>
      </c>
      <c r="K508" s="6">
        <f t="shared" si="38"/>
        <v>2337500</v>
      </c>
      <c r="L508" s="3" t="str">
        <f t="shared" si="39"/>
        <v>Premium</v>
      </c>
    </row>
    <row r="509" spans="1:12">
      <c r="A509" t="s">
        <v>845</v>
      </c>
      <c r="B509" t="s">
        <v>894</v>
      </c>
      <c r="C509" s="4">
        <v>4.8</v>
      </c>
      <c r="D509" s="4">
        <v>43</v>
      </c>
      <c r="E509" t="s">
        <v>895</v>
      </c>
      <c r="F509" s="4">
        <v>19.065328900000001</v>
      </c>
      <c r="G509">
        <v>72.875344299999995</v>
      </c>
      <c r="H509">
        <f t="shared" si="35"/>
        <v>206.4</v>
      </c>
      <c r="I509" s="4">
        <f t="shared" si="36"/>
        <v>1075</v>
      </c>
      <c r="J509" s="6">
        <f t="shared" si="37"/>
        <v>550</v>
      </c>
      <c r="K509" s="6">
        <f t="shared" si="38"/>
        <v>591250</v>
      </c>
      <c r="L509" s="3" t="str">
        <f t="shared" si="39"/>
        <v>Premium</v>
      </c>
    </row>
    <row r="510" spans="1:12">
      <c r="A510" t="s">
        <v>845</v>
      </c>
      <c r="B510" t="s">
        <v>896</v>
      </c>
      <c r="C510" s="4">
        <v>4.0999999999999996</v>
      </c>
      <c r="D510" s="4">
        <v>399</v>
      </c>
      <c r="E510" t="s">
        <v>897</v>
      </c>
      <c r="F510" s="4">
        <v>19.060616700000001</v>
      </c>
      <c r="G510">
        <v>72.8646928</v>
      </c>
      <c r="H510">
        <f t="shared" si="35"/>
        <v>1635.8999999999999</v>
      </c>
      <c r="I510" s="4">
        <f t="shared" si="36"/>
        <v>9975</v>
      </c>
      <c r="J510" s="6">
        <f t="shared" si="37"/>
        <v>350</v>
      </c>
      <c r="K510" s="6">
        <f t="shared" si="38"/>
        <v>3491250</v>
      </c>
      <c r="L510" s="3" t="str">
        <f t="shared" si="39"/>
        <v>Popular</v>
      </c>
    </row>
    <row r="511" spans="1:12">
      <c r="A511" t="s">
        <v>845</v>
      </c>
      <c r="B511" t="s">
        <v>898</v>
      </c>
      <c r="C511" s="4">
        <v>4.5</v>
      </c>
      <c r="D511" s="4">
        <v>42</v>
      </c>
      <c r="E511" t="s">
        <v>899</v>
      </c>
      <c r="F511" s="4">
        <v>19.075983699999998</v>
      </c>
      <c r="G511">
        <v>72.877655899999993</v>
      </c>
      <c r="H511">
        <f t="shared" si="35"/>
        <v>189</v>
      </c>
      <c r="I511" s="4">
        <f t="shared" si="36"/>
        <v>1050</v>
      </c>
      <c r="J511" s="6">
        <f t="shared" si="37"/>
        <v>450</v>
      </c>
      <c r="K511" s="6">
        <f t="shared" si="38"/>
        <v>472500</v>
      </c>
      <c r="L511" s="3" t="str">
        <f t="shared" si="39"/>
        <v>Premium</v>
      </c>
    </row>
    <row r="512" spans="1:12">
      <c r="A512" t="s">
        <v>845</v>
      </c>
      <c r="B512" t="s">
        <v>900</v>
      </c>
      <c r="C512" s="4">
        <v>3.8</v>
      </c>
      <c r="D512" s="4">
        <v>54</v>
      </c>
      <c r="E512" t="s">
        <v>901</v>
      </c>
      <c r="F512" s="4">
        <v>19.0537642</v>
      </c>
      <c r="G512">
        <v>72.851673499999904</v>
      </c>
      <c r="H512">
        <f t="shared" si="35"/>
        <v>205.2</v>
      </c>
      <c r="I512" s="4">
        <f t="shared" si="36"/>
        <v>1350</v>
      </c>
      <c r="J512" s="6">
        <f t="shared" si="37"/>
        <v>350</v>
      </c>
      <c r="K512" s="6">
        <f t="shared" si="38"/>
        <v>472500</v>
      </c>
      <c r="L512" s="3" t="str">
        <f t="shared" si="39"/>
        <v>Average</v>
      </c>
    </row>
    <row r="513" spans="1:12">
      <c r="A513" t="s">
        <v>845</v>
      </c>
      <c r="B513" t="s">
        <v>902</v>
      </c>
      <c r="C513" s="4">
        <v>4.2</v>
      </c>
      <c r="D513" s="4">
        <v>6129</v>
      </c>
      <c r="E513" t="s">
        <v>903</v>
      </c>
      <c r="F513" s="4">
        <v>19.075987300000001</v>
      </c>
      <c r="G513">
        <v>72.876933600000001</v>
      </c>
      <c r="H513">
        <f t="shared" si="35"/>
        <v>25741.8</v>
      </c>
      <c r="I513" s="4">
        <f t="shared" si="36"/>
        <v>153225</v>
      </c>
      <c r="J513" s="6">
        <f t="shared" si="37"/>
        <v>350</v>
      </c>
      <c r="K513" s="6">
        <f t="shared" si="38"/>
        <v>53628750</v>
      </c>
      <c r="L513" s="3" t="str">
        <f t="shared" si="39"/>
        <v>Popular</v>
      </c>
    </row>
    <row r="514" spans="1:12">
      <c r="A514" t="s">
        <v>845</v>
      </c>
      <c r="B514" t="s">
        <v>904</v>
      </c>
      <c r="C514" s="4">
        <v>4.0999999999999996</v>
      </c>
      <c r="D514" s="4">
        <v>177</v>
      </c>
      <c r="E514" t="s">
        <v>905</v>
      </c>
      <c r="F514" s="4">
        <v>19.0759474</v>
      </c>
      <c r="G514">
        <v>72.874136999999905</v>
      </c>
      <c r="H514">
        <f t="shared" ref="H514:H577" si="40">C514*D514</f>
        <v>725.69999999999993</v>
      </c>
      <c r="I514" s="4">
        <f t="shared" ref="I514:I577" si="41">D514*25</f>
        <v>4425</v>
      </c>
      <c r="J514" s="6">
        <f t="shared" ref="J514:J577" si="42">IF(C514&gt;=4.7,550,IF(C514&gt;=4.4,450,IF(C514&gt;=O516,350,250)))</f>
        <v>350</v>
      </c>
      <c r="K514" s="6">
        <f t="shared" ref="K514:K577" si="43">I514*J514</f>
        <v>1548750</v>
      </c>
      <c r="L514" s="3" t="str">
        <f t="shared" ref="L514:L577" si="44">IF(C514&gt;=4.5,"Premium",IF(C514&gt;=4,"Popular","Average"))</f>
        <v>Popular</v>
      </c>
    </row>
    <row r="515" spans="1:12">
      <c r="A515" t="s">
        <v>845</v>
      </c>
      <c r="B515" t="s">
        <v>906</v>
      </c>
      <c r="C515" s="4">
        <v>4.3</v>
      </c>
      <c r="D515" s="4">
        <v>1573</v>
      </c>
      <c r="E515" t="s">
        <v>907</v>
      </c>
      <c r="F515" s="4">
        <v>19.0631953</v>
      </c>
      <c r="G515">
        <v>72.861653099999998</v>
      </c>
      <c r="H515">
        <f t="shared" si="40"/>
        <v>6763.9</v>
      </c>
      <c r="I515" s="4">
        <f t="shared" si="41"/>
        <v>39325</v>
      </c>
      <c r="J515" s="6">
        <f t="shared" si="42"/>
        <v>350</v>
      </c>
      <c r="K515" s="6">
        <f t="shared" si="43"/>
        <v>13763750</v>
      </c>
      <c r="L515" s="3" t="str">
        <f t="shared" si="44"/>
        <v>Popular</v>
      </c>
    </row>
    <row r="516" spans="1:12">
      <c r="A516" t="s">
        <v>845</v>
      </c>
      <c r="B516" t="s">
        <v>908</v>
      </c>
      <c r="C516" s="4">
        <v>4.4000000000000004</v>
      </c>
      <c r="D516" s="4">
        <v>1198</v>
      </c>
      <c r="E516" t="s">
        <v>909</v>
      </c>
      <c r="F516" s="4">
        <v>19.054140799999999</v>
      </c>
      <c r="G516">
        <v>72.851351800000003</v>
      </c>
      <c r="H516">
        <f t="shared" si="40"/>
        <v>5271.2000000000007</v>
      </c>
      <c r="I516" s="4">
        <f t="shared" si="41"/>
        <v>29950</v>
      </c>
      <c r="J516" s="6">
        <f t="shared" si="42"/>
        <v>450</v>
      </c>
      <c r="K516" s="6">
        <f t="shared" si="43"/>
        <v>13477500</v>
      </c>
      <c r="L516" s="3" t="str">
        <f t="shared" si="44"/>
        <v>Popular</v>
      </c>
    </row>
    <row r="517" spans="1:12">
      <c r="A517" t="s">
        <v>845</v>
      </c>
      <c r="B517" t="s">
        <v>910</v>
      </c>
      <c r="C517" s="4">
        <v>4.0999999999999996</v>
      </c>
      <c r="D517" s="4">
        <v>47</v>
      </c>
      <c r="E517" t="s">
        <v>911</v>
      </c>
      <c r="F517" s="4">
        <v>19.098666000000001</v>
      </c>
      <c r="G517">
        <v>72.883408000000003</v>
      </c>
      <c r="H517">
        <f t="shared" si="40"/>
        <v>192.7</v>
      </c>
      <c r="I517" s="4">
        <f t="shared" si="41"/>
        <v>1175</v>
      </c>
      <c r="J517" s="6">
        <f t="shared" si="42"/>
        <v>350</v>
      </c>
      <c r="K517" s="6">
        <f t="shared" si="43"/>
        <v>411250</v>
      </c>
      <c r="L517" s="3" t="str">
        <f t="shared" si="44"/>
        <v>Popular</v>
      </c>
    </row>
    <row r="518" spans="1:12">
      <c r="A518" t="s">
        <v>845</v>
      </c>
      <c r="B518" t="s">
        <v>912</v>
      </c>
      <c r="C518" s="4">
        <v>0</v>
      </c>
      <c r="D518" s="4">
        <v>0</v>
      </c>
      <c r="E518" t="s">
        <v>913</v>
      </c>
      <c r="F518" s="4">
        <v>19.076447699999999</v>
      </c>
      <c r="G518">
        <v>72.877914899999993</v>
      </c>
      <c r="H518">
        <f t="shared" si="40"/>
        <v>0</v>
      </c>
      <c r="I518" s="4">
        <f t="shared" si="41"/>
        <v>0</v>
      </c>
      <c r="J518" s="6">
        <f t="shared" si="42"/>
        <v>350</v>
      </c>
      <c r="K518" s="6">
        <f t="shared" si="43"/>
        <v>0</v>
      </c>
      <c r="L518" s="3" t="str">
        <f t="shared" si="44"/>
        <v>Average</v>
      </c>
    </row>
    <row r="519" spans="1:12">
      <c r="A519" t="s">
        <v>845</v>
      </c>
      <c r="B519" t="s">
        <v>914</v>
      </c>
      <c r="C519" s="4">
        <v>4.4000000000000004</v>
      </c>
      <c r="D519" s="4">
        <v>117</v>
      </c>
      <c r="E519" t="s">
        <v>915</v>
      </c>
      <c r="F519" s="4">
        <v>19.076406299999999</v>
      </c>
      <c r="G519">
        <v>72.883090899999999</v>
      </c>
      <c r="H519">
        <f t="shared" si="40"/>
        <v>514.80000000000007</v>
      </c>
      <c r="I519" s="4">
        <f t="shared" si="41"/>
        <v>2925</v>
      </c>
      <c r="J519" s="6">
        <f t="shared" si="42"/>
        <v>450</v>
      </c>
      <c r="K519" s="6">
        <f t="shared" si="43"/>
        <v>1316250</v>
      </c>
      <c r="L519" s="3" t="str">
        <f t="shared" si="44"/>
        <v>Popular</v>
      </c>
    </row>
    <row r="520" spans="1:12">
      <c r="A520" t="s">
        <v>845</v>
      </c>
      <c r="B520" t="s">
        <v>916</v>
      </c>
      <c r="C520" s="4">
        <v>5</v>
      </c>
      <c r="D520" s="4">
        <v>8</v>
      </c>
      <c r="E520" t="s">
        <v>917</v>
      </c>
      <c r="F520" s="4">
        <v>19.0758093</v>
      </c>
      <c r="G520">
        <v>72.876691199999996</v>
      </c>
      <c r="H520">
        <f t="shared" si="40"/>
        <v>40</v>
      </c>
      <c r="I520" s="4">
        <f t="shared" si="41"/>
        <v>200</v>
      </c>
      <c r="J520" s="6">
        <f t="shared" si="42"/>
        <v>550</v>
      </c>
      <c r="K520" s="6">
        <f t="shared" si="43"/>
        <v>110000</v>
      </c>
      <c r="L520" s="3" t="str">
        <f t="shared" si="44"/>
        <v>Premium</v>
      </c>
    </row>
    <row r="521" spans="1:12">
      <c r="A521" t="s">
        <v>845</v>
      </c>
      <c r="B521" t="s">
        <v>918</v>
      </c>
      <c r="C521" s="4">
        <v>4.8</v>
      </c>
      <c r="D521" s="4">
        <v>44</v>
      </c>
      <c r="E521" t="s">
        <v>919</v>
      </c>
      <c r="F521" s="4">
        <v>19.077392799999998</v>
      </c>
      <c r="G521">
        <v>72.880414799999997</v>
      </c>
      <c r="H521">
        <f t="shared" si="40"/>
        <v>211.2</v>
      </c>
      <c r="I521" s="4">
        <f t="shared" si="41"/>
        <v>1100</v>
      </c>
      <c r="J521" s="6">
        <f t="shared" si="42"/>
        <v>550</v>
      </c>
      <c r="K521" s="6">
        <f t="shared" si="43"/>
        <v>605000</v>
      </c>
      <c r="L521" s="3" t="str">
        <f t="shared" si="44"/>
        <v>Premium</v>
      </c>
    </row>
    <row r="522" spans="1:12">
      <c r="A522" t="s">
        <v>845</v>
      </c>
      <c r="B522" t="s">
        <v>920</v>
      </c>
      <c r="C522" s="4">
        <v>5</v>
      </c>
      <c r="D522" s="4">
        <v>17</v>
      </c>
      <c r="E522" t="s">
        <v>921</v>
      </c>
      <c r="F522" s="4">
        <v>19.079141400000001</v>
      </c>
      <c r="G522">
        <v>72.880369999999999</v>
      </c>
      <c r="H522">
        <f t="shared" si="40"/>
        <v>85</v>
      </c>
      <c r="I522" s="4">
        <f t="shared" si="41"/>
        <v>425</v>
      </c>
      <c r="J522" s="6">
        <f t="shared" si="42"/>
        <v>550</v>
      </c>
      <c r="K522" s="6">
        <f t="shared" si="43"/>
        <v>233750</v>
      </c>
      <c r="L522" s="3" t="str">
        <f t="shared" si="44"/>
        <v>Premium</v>
      </c>
    </row>
    <row r="523" spans="1:12">
      <c r="A523" t="s">
        <v>845</v>
      </c>
      <c r="B523" t="s">
        <v>922</v>
      </c>
      <c r="C523" s="4">
        <v>5</v>
      </c>
      <c r="D523" s="4">
        <v>11</v>
      </c>
      <c r="E523" t="s">
        <v>923</v>
      </c>
      <c r="F523" s="4">
        <v>19.0694509</v>
      </c>
      <c r="G523">
        <v>72.897071799999907</v>
      </c>
      <c r="H523">
        <f t="shared" si="40"/>
        <v>55</v>
      </c>
      <c r="I523" s="4">
        <f t="shared" si="41"/>
        <v>275</v>
      </c>
      <c r="J523" s="6">
        <f t="shared" si="42"/>
        <v>550</v>
      </c>
      <c r="K523" s="6">
        <f t="shared" si="43"/>
        <v>151250</v>
      </c>
      <c r="L523" s="3" t="str">
        <f t="shared" si="44"/>
        <v>Premium</v>
      </c>
    </row>
    <row r="524" spans="1:12">
      <c r="A524" t="s">
        <v>845</v>
      </c>
      <c r="B524" t="s">
        <v>924</v>
      </c>
      <c r="C524" s="4">
        <v>4.2</v>
      </c>
      <c r="D524" s="4">
        <v>38</v>
      </c>
      <c r="E524" t="s">
        <v>925</v>
      </c>
      <c r="F524" s="4">
        <v>19.076461800000001</v>
      </c>
      <c r="G524">
        <v>72.880100599999906</v>
      </c>
      <c r="H524">
        <f t="shared" si="40"/>
        <v>159.6</v>
      </c>
      <c r="I524" s="4">
        <f t="shared" si="41"/>
        <v>950</v>
      </c>
      <c r="J524" s="6">
        <f t="shared" si="42"/>
        <v>350</v>
      </c>
      <c r="K524" s="6">
        <f t="shared" si="43"/>
        <v>332500</v>
      </c>
      <c r="L524" s="3" t="str">
        <f t="shared" si="44"/>
        <v>Popular</v>
      </c>
    </row>
    <row r="525" spans="1:12">
      <c r="A525" t="s">
        <v>845</v>
      </c>
      <c r="B525" t="s">
        <v>926</v>
      </c>
      <c r="C525" s="4">
        <v>3.8</v>
      </c>
      <c r="D525" s="4">
        <v>104</v>
      </c>
      <c r="E525" t="s">
        <v>927</v>
      </c>
      <c r="F525" s="4">
        <v>19.068217300000001</v>
      </c>
      <c r="G525">
        <v>72.878705099999905</v>
      </c>
      <c r="H525">
        <f t="shared" si="40"/>
        <v>395.2</v>
      </c>
      <c r="I525" s="4">
        <f t="shared" si="41"/>
        <v>2600</v>
      </c>
      <c r="J525" s="6">
        <f t="shared" si="42"/>
        <v>350</v>
      </c>
      <c r="K525" s="6">
        <f t="shared" si="43"/>
        <v>910000</v>
      </c>
      <c r="L525" s="3" t="str">
        <f t="shared" si="44"/>
        <v>Average</v>
      </c>
    </row>
    <row r="526" spans="1:12">
      <c r="A526" t="s">
        <v>845</v>
      </c>
      <c r="B526" t="s">
        <v>928</v>
      </c>
      <c r="C526" s="4">
        <v>5</v>
      </c>
      <c r="D526" s="4">
        <v>2</v>
      </c>
      <c r="E526" t="s">
        <v>929</v>
      </c>
      <c r="F526" s="4">
        <v>19.0640441</v>
      </c>
      <c r="G526">
        <v>72.895866400000003</v>
      </c>
      <c r="H526">
        <f t="shared" si="40"/>
        <v>10</v>
      </c>
      <c r="I526" s="4">
        <f t="shared" si="41"/>
        <v>50</v>
      </c>
      <c r="J526" s="6">
        <f t="shared" si="42"/>
        <v>550</v>
      </c>
      <c r="K526" s="6">
        <f t="shared" si="43"/>
        <v>27500</v>
      </c>
      <c r="L526" s="3" t="str">
        <f t="shared" si="44"/>
        <v>Premium</v>
      </c>
    </row>
    <row r="527" spans="1:12">
      <c r="A527" t="s">
        <v>845</v>
      </c>
      <c r="B527" t="s">
        <v>94</v>
      </c>
      <c r="C527" s="4">
        <v>4.4000000000000004</v>
      </c>
      <c r="D527" s="4">
        <v>617</v>
      </c>
      <c r="E527" t="s">
        <v>930</v>
      </c>
      <c r="F527" s="4">
        <v>19.053632400000001</v>
      </c>
      <c r="G527">
        <v>72.850844100000003</v>
      </c>
      <c r="H527">
        <f t="shared" si="40"/>
        <v>2714.8</v>
      </c>
      <c r="I527" s="4">
        <f t="shared" si="41"/>
        <v>15425</v>
      </c>
      <c r="J527" s="6">
        <f t="shared" si="42"/>
        <v>450</v>
      </c>
      <c r="K527" s="6">
        <f t="shared" si="43"/>
        <v>6941250</v>
      </c>
      <c r="L527" s="3" t="str">
        <f t="shared" si="44"/>
        <v>Popular</v>
      </c>
    </row>
    <row r="528" spans="1:12">
      <c r="A528" t="s">
        <v>845</v>
      </c>
      <c r="B528" t="s">
        <v>931</v>
      </c>
      <c r="C528" s="4">
        <v>4.2</v>
      </c>
      <c r="D528" s="4">
        <v>66</v>
      </c>
      <c r="E528" t="s">
        <v>932</v>
      </c>
      <c r="F528" s="4">
        <v>19.0612198</v>
      </c>
      <c r="G528">
        <v>72.899378299999995</v>
      </c>
      <c r="H528">
        <f t="shared" si="40"/>
        <v>277.2</v>
      </c>
      <c r="I528" s="4">
        <f t="shared" si="41"/>
        <v>1650</v>
      </c>
      <c r="J528" s="6">
        <f t="shared" si="42"/>
        <v>350</v>
      </c>
      <c r="K528" s="6">
        <f t="shared" si="43"/>
        <v>577500</v>
      </c>
      <c r="L528" s="3" t="str">
        <f t="shared" si="44"/>
        <v>Popular</v>
      </c>
    </row>
    <row r="529" spans="1:12">
      <c r="A529" t="s">
        <v>845</v>
      </c>
      <c r="B529" t="s">
        <v>933</v>
      </c>
      <c r="C529" s="4">
        <v>3.8</v>
      </c>
      <c r="D529" s="4">
        <v>594</v>
      </c>
      <c r="E529" t="s">
        <v>934</v>
      </c>
      <c r="F529" s="4">
        <v>19.0863704</v>
      </c>
      <c r="G529">
        <v>72.889925599999998</v>
      </c>
      <c r="H529">
        <f t="shared" si="40"/>
        <v>2257.1999999999998</v>
      </c>
      <c r="I529" s="4">
        <f t="shared" si="41"/>
        <v>14850</v>
      </c>
      <c r="J529" s="6">
        <f t="shared" si="42"/>
        <v>350</v>
      </c>
      <c r="K529" s="6">
        <f t="shared" si="43"/>
        <v>5197500</v>
      </c>
      <c r="L529" s="3" t="str">
        <f t="shared" si="44"/>
        <v>Average</v>
      </c>
    </row>
    <row r="530" spans="1:12">
      <c r="A530" t="s">
        <v>845</v>
      </c>
      <c r="B530" t="s">
        <v>935</v>
      </c>
      <c r="C530" s="4">
        <v>4.7</v>
      </c>
      <c r="D530" s="4">
        <v>3</v>
      </c>
      <c r="E530" t="s">
        <v>936</v>
      </c>
      <c r="F530" s="4">
        <v>19.0665075</v>
      </c>
      <c r="G530">
        <v>72.877959799999999</v>
      </c>
      <c r="H530">
        <f t="shared" si="40"/>
        <v>14.100000000000001</v>
      </c>
      <c r="I530" s="4">
        <f t="shared" si="41"/>
        <v>75</v>
      </c>
      <c r="J530" s="6">
        <f t="shared" si="42"/>
        <v>550</v>
      </c>
      <c r="K530" s="6">
        <f t="shared" si="43"/>
        <v>41250</v>
      </c>
      <c r="L530" s="3" t="str">
        <f t="shared" si="44"/>
        <v>Premium</v>
      </c>
    </row>
    <row r="531" spans="1:12">
      <c r="A531" t="s">
        <v>845</v>
      </c>
      <c r="B531" t="s">
        <v>937</v>
      </c>
      <c r="C531" s="4">
        <v>3.7</v>
      </c>
      <c r="D531" s="4">
        <v>103</v>
      </c>
      <c r="E531" t="s">
        <v>938</v>
      </c>
      <c r="F531" s="4">
        <v>19.064433099999999</v>
      </c>
      <c r="G531">
        <v>72.881819100000001</v>
      </c>
      <c r="H531">
        <f t="shared" si="40"/>
        <v>381.1</v>
      </c>
      <c r="I531" s="4">
        <f t="shared" si="41"/>
        <v>2575</v>
      </c>
      <c r="J531" s="6">
        <f t="shared" si="42"/>
        <v>350</v>
      </c>
      <c r="K531" s="6">
        <f t="shared" si="43"/>
        <v>901250</v>
      </c>
      <c r="L531" s="3" t="str">
        <f t="shared" si="44"/>
        <v>Average</v>
      </c>
    </row>
    <row r="532" spans="1:12">
      <c r="A532" t="s">
        <v>845</v>
      </c>
      <c r="B532" t="s">
        <v>609</v>
      </c>
      <c r="C532" s="4">
        <v>4.0999999999999996</v>
      </c>
      <c r="D532" s="4">
        <v>51</v>
      </c>
      <c r="E532" t="s">
        <v>610</v>
      </c>
      <c r="F532" s="4">
        <v>19.112267599999999</v>
      </c>
      <c r="G532">
        <v>72.8679877</v>
      </c>
      <c r="H532">
        <f t="shared" si="40"/>
        <v>209.1</v>
      </c>
      <c r="I532" s="4">
        <f t="shared" si="41"/>
        <v>1275</v>
      </c>
      <c r="J532" s="6">
        <f t="shared" si="42"/>
        <v>350</v>
      </c>
      <c r="K532" s="6">
        <f t="shared" si="43"/>
        <v>446250</v>
      </c>
      <c r="L532" s="3" t="str">
        <f t="shared" si="44"/>
        <v>Popular</v>
      </c>
    </row>
    <row r="533" spans="1:12">
      <c r="A533" t="s">
        <v>845</v>
      </c>
      <c r="B533" t="s">
        <v>939</v>
      </c>
      <c r="C533" s="4">
        <v>3.7</v>
      </c>
      <c r="D533" s="4">
        <v>54</v>
      </c>
      <c r="E533" t="s">
        <v>940</v>
      </c>
      <c r="F533" s="4">
        <v>19.0605431</v>
      </c>
      <c r="G533">
        <v>72.865209699999994</v>
      </c>
      <c r="H533">
        <f t="shared" si="40"/>
        <v>199.8</v>
      </c>
      <c r="I533" s="4">
        <f t="shared" si="41"/>
        <v>1350</v>
      </c>
      <c r="J533" s="6">
        <f t="shared" si="42"/>
        <v>350</v>
      </c>
      <c r="K533" s="6">
        <f t="shared" si="43"/>
        <v>472500</v>
      </c>
      <c r="L533" s="3" t="str">
        <f t="shared" si="44"/>
        <v>Average</v>
      </c>
    </row>
    <row r="534" spans="1:12">
      <c r="A534" t="s">
        <v>845</v>
      </c>
      <c r="B534" t="s">
        <v>941</v>
      </c>
      <c r="C534" s="4">
        <v>4.9000000000000004</v>
      </c>
      <c r="D534" s="4">
        <v>523</v>
      </c>
      <c r="E534" t="s">
        <v>942</v>
      </c>
      <c r="F534" s="4">
        <v>19.071451799999998</v>
      </c>
      <c r="G534">
        <v>72.883819700000004</v>
      </c>
      <c r="H534">
        <f t="shared" si="40"/>
        <v>2562.7000000000003</v>
      </c>
      <c r="I534" s="4">
        <f t="shared" si="41"/>
        <v>13075</v>
      </c>
      <c r="J534" s="6">
        <f t="shared" si="42"/>
        <v>550</v>
      </c>
      <c r="K534" s="6">
        <f t="shared" si="43"/>
        <v>7191250</v>
      </c>
      <c r="L534" s="3" t="str">
        <f t="shared" si="44"/>
        <v>Premium</v>
      </c>
    </row>
    <row r="535" spans="1:12">
      <c r="A535" t="s">
        <v>845</v>
      </c>
      <c r="B535" t="s">
        <v>943</v>
      </c>
      <c r="C535" s="4">
        <v>4.7</v>
      </c>
      <c r="D535" s="4">
        <v>3</v>
      </c>
      <c r="E535" t="s">
        <v>944</v>
      </c>
      <c r="F535" s="4">
        <v>19.064975100000002</v>
      </c>
      <c r="G535">
        <v>72.876574399999996</v>
      </c>
      <c r="H535">
        <f t="shared" si="40"/>
        <v>14.100000000000001</v>
      </c>
      <c r="I535" s="4">
        <f t="shared" si="41"/>
        <v>75</v>
      </c>
      <c r="J535" s="6">
        <f t="shared" si="42"/>
        <v>550</v>
      </c>
      <c r="K535" s="6">
        <f t="shared" si="43"/>
        <v>41250</v>
      </c>
      <c r="L535" s="3" t="str">
        <f t="shared" si="44"/>
        <v>Premium</v>
      </c>
    </row>
    <row r="536" spans="1:12">
      <c r="A536" t="s">
        <v>845</v>
      </c>
      <c r="B536" t="s">
        <v>945</v>
      </c>
      <c r="C536" s="4">
        <v>4.2</v>
      </c>
      <c r="D536" s="4">
        <v>17</v>
      </c>
      <c r="E536" t="s">
        <v>946</v>
      </c>
      <c r="F536" s="4">
        <v>19.075210999999999</v>
      </c>
      <c r="G536">
        <v>72.879126299999996</v>
      </c>
      <c r="H536">
        <f t="shared" si="40"/>
        <v>71.400000000000006</v>
      </c>
      <c r="I536" s="4">
        <f t="shared" si="41"/>
        <v>425</v>
      </c>
      <c r="J536" s="6">
        <f t="shared" si="42"/>
        <v>350</v>
      </c>
      <c r="K536" s="6">
        <f t="shared" si="43"/>
        <v>148750</v>
      </c>
      <c r="L536" s="3" t="str">
        <f t="shared" si="44"/>
        <v>Popular</v>
      </c>
    </row>
    <row r="537" spans="1:12">
      <c r="A537" t="s">
        <v>845</v>
      </c>
      <c r="B537" t="s">
        <v>947</v>
      </c>
      <c r="C537" s="4">
        <v>4.8</v>
      </c>
      <c r="D537" s="4">
        <v>6</v>
      </c>
      <c r="E537" t="s">
        <v>948</v>
      </c>
      <c r="F537" s="4">
        <v>19.0898656</v>
      </c>
      <c r="G537">
        <v>72.883241999999996</v>
      </c>
      <c r="H537">
        <f t="shared" si="40"/>
        <v>28.799999999999997</v>
      </c>
      <c r="I537" s="4">
        <f t="shared" si="41"/>
        <v>150</v>
      </c>
      <c r="J537" s="6">
        <f t="shared" si="42"/>
        <v>550</v>
      </c>
      <c r="K537" s="6">
        <f t="shared" si="43"/>
        <v>82500</v>
      </c>
      <c r="L537" s="3" t="str">
        <f t="shared" si="44"/>
        <v>Premium</v>
      </c>
    </row>
    <row r="538" spans="1:12">
      <c r="A538" t="s">
        <v>845</v>
      </c>
      <c r="B538" t="s">
        <v>949</v>
      </c>
      <c r="C538" s="4">
        <v>4.3</v>
      </c>
      <c r="D538" s="4">
        <v>10</v>
      </c>
      <c r="E538" t="s">
        <v>950</v>
      </c>
      <c r="F538" s="4">
        <v>19.0752141</v>
      </c>
      <c r="G538">
        <v>72.8770557</v>
      </c>
      <c r="H538">
        <f t="shared" si="40"/>
        <v>43</v>
      </c>
      <c r="I538" s="4">
        <f t="shared" si="41"/>
        <v>250</v>
      </c>
      <c r="J538" s="6">
        <f t="shared" si="42"/>
        <v>350</v>
      </c>
      <c r="K538" s="6">
        <f t="shared" si="43"/>
        <v>87500</v>
      </c>
      <c r="L538" s="3" t="str">
        <f t="shared" si="44"/>
        <v>Popular</v>
      </c>
    </row>
    <row r="539" spans="1:12">
      <c r="A539" t="s">
        <v>845</v>
      </c>
      <c r="B539" t="s">
        <v>951</v>
      </c>
      <c r="C539" s="4">
        <v>4.8</v>
      </c>
      <c r="D539" s="4">
        <v>79</v>
      </c>
      <c r="E539" t="s">
        <v>952</v>
      </c>
      <c r="F539" s="4">
        <v>19.070259199999999</v>
      </c>
      <c r="G539">
        <v>72.875644500000007</v>
      </c>
      <c r="H539">
        <f t="shared" si="40"/>
        <v>379.2</v>
      </c>
      <c r="I539" s="4">
        <f t="shared" si="41"/>
        <v>1975</v>
      </c>
      <c r="J539" s="6">
        <f t="shared" si="42"/>
        <v>550</v>
      </c>
      <c r="K539" s="6">
        <f t="shared" si="43"/>
        <v>1086250</v>
      </c>
      <c r="L539" s="3" t="str">
        <f t="shared" si="44"/>
        <v>Premium</v>
      </c>
    </row>
    <row r="540" spans="1:12">
      <c r="A540" t="s">
        <v>845</v>
      </c>
      <c r="B540" t="s">
        <v>953</v>
      </c>
      <c r="C540" s="4">
        <v>4</v>
      </c>
      <c r="D540" s="4">
        <v>63</v>
      </c>
      <c r="E540" t="s">
        <v>954</v>
      </c>
      <c r="F540" s="4">
        <v>19.073863100000001</v>
      </c>
      <c r="G540">
        <v>72.8700154</v>
      </c>
      <c r="H540">
        <f t="shared" si="40"/>
        <v>252</v>
      </c>
      <c r="I540" s="4">
        <f t="shared" si="41"/>
        <v>1575</v>
      </c>
      <c r="J540" s="6">
        <f t="shared" si="42"/>
        <v>350</v>
      </c>
      <c r="K540" s="6">
        <f t="shared" si="43"/>
        <v>551250</v>
      </c>
      <c r="L540" s="3" t="str">
        <f t="shared" si="44"/>
        <v>Popular</v>
      </c>
    </row>
    <row r="541" spans="1:12">
      <c r="A541" t="s">
        <v>845</v>
      </c>
      <c r="B541" t="s">
        <v>955</v>
      </c>
      <c r="C541" s="4">
        <v>4.3</v>
      </c>
      <c r="D541" s="4">
        <v>4159</v>
      </c>
      <c r="E541" t="s">
        <v>956</v>
      </c>
      <c r="F541" s="4">
        <v>19.086335200000001</v>
      </c>
      <c r="G541">
        <v>72.888983999999994</v>
      </c>
      <c r="H541">
        <f t="shared" si="40"/>
        <v>17883.7</v>
      </c>
      <c r="I541" s="4">
        <f t="shared" si="41"/>
        <v>103975</v>
      </c>
      <c r="J541" s="6">
        <f t="shared" si="42"/>
        <v>350</v>
      </c>
      <c r="K541" s="6">
        <f t="shared" si="43"/>
        <v>36391250</v>
      </c>
      <c r="L541" s="3" t="str">
        <f t="shared" si="44"/>
        <v>Popular</v>
      </c>
    </row>
    <row r="542" spans="1:12">
      <c r="A542" t="s">
        <v>957</v>
      </c>
      <c r="B542" t="s">
        <v>958</v>
      </c>
      <c r="C542" s="4">
        <v>4.3</v>
      </c>
      <c r="D542" s="4">
        <v>533</v>
      </c>
      <c r="E542" t="s">
        <v>959</v>
      </c>
      <c r="F542" s="4">
        <v>19.076845800000001</v>
      </c>
      <c r="G542">
        <v>72.903571299999996</v>
      </c>
      <c r="H542">
        <f t="shared" si="40"/>
        <v>2291.9</v>
      </c>
      <c r="I542" s="4">
        <f t="shared" si="41"/>
        <v>13325</v>
      </c>
      <c r="J542" s="6">
        <f t="shared" si="42"/>
        <v>350</v>
      </c>
      <c r="K542" s="6">
        <f t="shared" si="43"/>
        <v>4663750</v>
      </c>
      <c r="L542" s="3" t="str">
        <f t="shared" si="44"/>
        <v>Popular</v>
      </c>
    </row>
    <row r="543" spans="1:12">
      <c r="A543" t="s">
        <v>957</v>
      </c>
      <c r="B543" t="s">
        <v>960</v>
      </c>
      <c r="C543" s="4">
        <v>4.7</v>
      </c>
      <c r="D543" s="4">
        <v>1368</v>
      </c>
      <c r="E543" t="s">
        <v>961</v>
      </c>
      <c r="F543" s="4">
        <v>19.084400299999999</v>
      </c>
      <c r="G543">
        <v>72.909052199999905</v>
      </c>
      <c r="H543">
        <f t="shared" si="40"/>
        <v>6429.6</v>
      </c>
      <c r="I543" s="4">
        <f t="shared" si="41"/>
        <v>34200</v>
      </c>
      <c r="J543" s="6">
        <f t="shared" si="42"/>
        <v>550</v>
      </c>
      <c r="K543" s="6">
        <f t="shared" si="43"/>
        <v>18810000</v>
      </c>
      <c r="L543" s="3" t="str">
        <f t="shared" si="44"/>
        <v>Premium</v>
      </c>
    </row>
    <row r="544" spans="1:12">
      <c r="A544" t="s">
        <v>957</v>
      </c>
      <c r="B544" t="s">
        <v>962</v>
      </c>
      <c r="C544" s="4">
        <v>3.9</v>
      </c>
      <c r="D544" s="4">
        <v>357</v>
      </c>
      <c r="E544" t="s">
        <v>963</v>
      </c>
      <c r="F544" s="4">
        <v>19.084101499999999</v>
      </c>
      <c r="G544">
        <v>72.904312199999893</v>
      </c>
      <c r="H544">
        <f t="shared" si="40"/>
        <v>1392.3</v>
      </c>
      <c r="I544" s="4">
        <f t="shared" si="41"/>
        <v>8925</v>
      </c>
      <c r="J544" s="6">
        <f t="shared" si="42"/>
        <v>350</v>
      </c>
      <c r="K544" s="6">
        <f t="shared" si="43"/>
        <v>3123750</v>
      </c>
      <c r="L544" s="3" t="str">
        <f t="shared" si="44"/>
        <v>Average</v>
      </c>
    </row>
    <row r="545" spans="1:12">
      <c r="A545" t="s">
        <v>957</v>
      </c>
      <c r="B545" t="s">
        <v>964</v>
      </c>
      <c r="C545" s="4">
        <v>4.2</v>
      </c>
      <c r="D545" s="4">
        <v>1699</v>
      </c>
      <c r="E545" t="s">
        <v>965</v>
      </c>
      <c r="F545" s="4">
        <v>19.099355800000001</v>
      </c>
      <c r="G545">
        <v>72.916342099999994</v>
      </c>
      <c r="H545">
        <f t="shared" si="40"/>
        <v>7135.8</v>
      </c>
      <c r="I545" s="4">
        <f t="shared" si="41"/>
        <v>42475</v>
      </c>
      <c r="J545" s="6">
        <f t="shared" si="42"/>
        <v>350</v>
      </c>
      <c r="K545" s="6">
        <f t="shared" si="43"/>
        <v>14866250</v>
      </c>
      <c r="L545" s="3" t="str">
        <f t="shared" si="44"/>
        <v>Popular</v>
      </c>
    </row>
    <row r="546" spans="1:12">
      <c r="A546" t="s">
        <v>957</v>
      </c>
      <c r="B546" t="s">
        <v>966</v>
      </c>
      <c r="C546" s="4">
        <v>4.0999999999999996</v>
      </c>
      <c r="D546" s="4">
        <v>2538</v>
      </c>
      <c r="E546" t="s">
        <v>967</v>
      </c>
      <c r="F546" s="4">
        <v>19.0783825</v>
      </c>
      <c r="G546">
        <v>72.903865400000001</v>
      </c>
      <c r="H546">
        <f t="shared" si="40"/>
        <v>10405.799999999999</v>
      </c>
      <c r="I546" s="4">
        <f t="shared" si="41"/>
        <v>63450</v>
      </c>
      <c r="J546" s="6">
        <f t="shared" si="42"/>
        <v>350</v>
      </c>
      <c r="K546" s="6">
        <f t="shared" si="43"/>
        <v>22207500</v>
      </c>
      <c r="L546" s="3" t="str">
        <f t="shared" si="44"/>
        <v>Popular</v>
      </c>
    </row>
    <row r="547" spans="1:12">
      <c r="A547" t="s">
        <v>957</v>
      </c>
      <c r="B547" t="s">
        <v>968</v>
      </c>
      <c r="C547" s="4">
        <v>4.8</v>
      </c>
      <c r="D547" s="4">
        <v>127</v>
      </c>
      <c r="E547" t="s">
        <v>969</v>
      </c>
      <c r="F547" s="4">
        <v>19.083770900000001</v>
      </c>
      <c r="G547">
        <v>72.909148000000002</v>
      </c>
      <c r="H547">
        <f t="shared" si="40"/>
        <v>609.6</v>
      </c>
      <c r="I547" s="4">
        <f t="shared" si="41"/>
        <v>3175</v>
      </c>
      <c r="J547" s="6">
        <f t="shared" si="42"/>
        <v>550</v>
      </c>
      <c r="K547" s="6">
        <f t="shared" si="43"/>
        <v>1746250</v>
      </c>
      <c r="L547" s="3" t="str">
        <f t="shared" si="44"/>
        <v>Premium</v>
      </c>
    </row>
    <row r="548" spans="1:12">
      <c r="A548" t="s">
        <v>957</v>
      </c>
      <c r="B548" t="s">
        <v>970</v>
      </c>
      <c r="C548" s="4">
        <v>4</v>
      </c>
      <c r="D548" s="4">
        <v>491</v>
      </c>
      <c r="E548" t="s">
        <v>971</v>
      </c>
      <c r="F548" s="4">
        <v>19.0727236</v>
      </c>
      <c r="G548">
        <v>72.9069413</v>
      </c>
      <c r="H548">
        <f t="shared" si="40"/>
        <v>1964</v>
      </c>
      <c r="I548" s="4">
        <f t="shared" si="41"/>
        <v>12275</v>
      </c>
      <c r="J548" s="6">
        <f t="shared" si="42"/>
        <v>350</v>
      </c>
      <c r="K548" s="6">
        <f t="shared" si="43"/>
        <v>4296250</v>
      </c>
      <c r="L548" s="3" t="str">
        <f t="shared" si="44"/>
        <v>Popular</v>
      </c>
    </row>
    <row r="549" spans="1:12">
      <c r="A549" t="s">
        <v>957</v>
      </c>
      <c r="B549" t="s">
        <v>972</v>
      </c>
      <c r="C549" s="4">
        <v>3.9</v>
      </c>
      <c r="D549" s="4">
        <v>9790</v>
      </c>
      <c r="E549" t="s">
        <v>973</v>
      </c>
      <c r="F549" s="4">
        <v>19.085657399999999</v>
      </c>
      <c r="G549">
        <v>72.907378899999998</v>
      </c>
      <c r="H549">
        <f t="shared" si="40"/>
        <v>38181</v>
      </c>
      <c r="I549" s="4">
        <f t="shared" si="41"/>
        <v>244750</v>
      </c>
      <c r="J549" s="6">
        <f t="shared" si="42"/>
        <v>350</v>
      </c>
      <c r="K549" s="6">
        <f t="shared" si="43"/>
        <v>85662500</v>
      </c>
      <c r="L549" s="3" t="str">
        <f t="shared" si="44"/>
        <v>Average</v>
      </c>
    </row>
    <row r="550" spans="1:12">
      <c r="A550" t="s">
        <v>957</v>
      </c>
      <c r="B550" t="s">
        <v>974</v>
      </c>
      <c r="C550" s="4">
        <v>4.5</v>
      </c>
      <c r="D550" s="4">
        <v>172</v>
      </c>
      <c r="E550" t="s">
        <v>975</v>
      </c>
      <c r="F550" s="4">
        <v>19.099660700000001</v>
      </c>
      <c r="G550">
        <v>72.916021099999995</v>
      </c>
      <c r="H550">
        <f t="shared" si="40"/>
        <v>774</v>
      </c>
      <c r="I550" s="4">
        <f t="shared" si="41"/>
        <v>4300</v>
      </c>
      <c r="J550" s="6">
        <f t="shared" si="42"/>
        <v>450</v>
      </c>
      <c r="K550" s="6">
        <f t="shared" si="43"/>
        <v>1935000</v>
      </c>
      <c r="L550" s="3" t="str">
        <f t="shared" si="44"/>
        <v>Premium</v>
      </c>
    </row>
    <row r="551" spans="1:12">
      <c r="A551" t="s">
        <v>957</v>
      </c>
      <c r="B551" t="s">
        <v>976</v>
      </c>
      <c r="C551" s="4">
        <v>4.4000000000000004</v>
      </c>
      <c r="D551" s="4">
        <v>101</v>
      </c>
      <c r="E551" t="s">
        <v>977</v>
      </c>
      <c r="F551" s="4">
        <v>19.077449099999999</v>
      </c>
      <c r="G551">
        <v>72.898932500000001</v>
      </c>
      <c r="H551">
        <f t="shared" si="40"/>
        <v>444.40000000000003</v>
      </c>
      <c r="I551" s="4">
        <f t="shared" si="41"/>
        <v>2525</v>
      </c>
      <c r="J551" s="6">
        <f t="shared" si="42"/>
        <v>450</v>
      </c>
      <c r="K551" s="6">
        <f t="shared" si="43"/>
        <v>1136250</v>
      </c>
      <c r="L551" s="3" t="str">
        <f t="shared" si="44"/>
        <v>Popular</v>
      </c>
    </row>
    <row r="552" spans="1:12">
      <c r="A552" t="s">
        <v>957</v>
      </c>
      <c r="B552" t="s">
        <v>978</v>
      </c>
      <c r="C552" s="4">
        <v>4</v>
      </c>
      <c r="D552" s="4">
        <v>131</v>
      </c>
      <c r="E552" t="s">
        <v>979</v>
      </c>
      <c r="F552" s="4">
        <v>19.0846491</v>
      </c>
      <c r="G552">
        <v>72.9076357</v>
      </c>
      <c r="H552">
        <f t="shared" si="40"/>
        <v>524</v>
      </c>
      <c r="I552" s="4">
        <f t="shared" si="41"/>
        <v>3275</v>
      </c>
      <c r="J552" s="6">
        <f t="shared" si="42"/>
        <v>350</v>
      </c>
      <c r="K552" s="6">
        <f t="shared" si="43"/>
        <v>1146250</v>
      </c>
      <c r="L552" s="3" t="str">
        <f t="shared" si="44"/>
        <v>Popular</v>
      </c>
    </row>
    <row r="553" spans="1:12">
      <c r="A553" t="s">
        <v>957</v>
      </c>
      <c r="B553" t="s">
        <v>48</v>
      </c>
      <c r="C553" s="4">
        <v>4.8</v>
      </c>
      <c r="D553" s="4">
        <v>786</v>
      </c>
      <c r="E553" t="s">
        <v>980</v>
      </c>
      <c r="F553" s="4">
        <v>19.099697599999999</v>
      </c>
      <c r="G553">
        <v>72.9166685</v>
      </c>
      <c r="H553">
        <f t="shared" si="40"/>
        <v>3772.7999999999997</v>
      </c>
      <c r="I553" s="4">
        <f t="shared" si="41"/>
        <v>19650</v>
      </c>
      <c r="J553" s="6">
        <f t="shared" si="42"/>
        <v>550</v>
      </c>
      <c r="K553" s="6">
        <f t="shared" si="43"/>
        <v>10807500</v>
      </c>
      <c r="L553" s="3" t="str">
        <f t="shared" si="44"/>
        <v>Premium</v>
      </c>
    </row>
    <row r="554" spans="1:12">
      <c r="A554" t="s">
        <v>957</v>
      </c>
      <c r="B554" t="s">
        <v>981</v>
      </c>
      <c r="C554" s="4">
        <v>4.5</v>
      </c>
      <c r="D554" s="4">
        <v>808</v>
      </c>
      <c r="E554" t="s">
        <v>982</v>
      </c>
      <c r="F554" s="4">
        <v>19.0999087</v>
      </c>
      <c r="G554">
        <v>72.917145599999998</v>
      </c>
      <c r="H554">
        <f t="shared" si="40"/>
        <v>3636</v>
      </c>
      <c r="I554" s="4">
        <f t="shared" si="41"/>
        <v>20200</v>
      </c>
      <c r="J554" s="6">
        <f t="shared" si="42"/>
        <v>450</v>
      </c>
      <c r="K554" s="6">
        <f t="shared" si="43"/>
        <v>9090000</v>
      </c>
      <c r="L554" s="3" t="str">
        <f t="shared" si="44"/>
        <v>Premium</v>
      </c>
    </row>
    <row r="555" spans="1:12">
      <c r="A555" t="s">
        <v>957</v>
      </c>
      <c r="B555" t="s">
        <v>983</v>
      </c>
      <c r="C555" s="4">
        <v>4.3</v>
      </c>
      <c r="D555" s="4">
        <v>93</v>
      </c>
      <c r="E555" t="s">
        <v>984</v>
      </c>
      <c r="F555" s="4">
        <v>19.080745</v>
      </c>
      <c r="G555">
        <v>72.904340899999994</v>
      </c>
      <c r="H555">
        <f t="shared" si="40"/>
        <v>399.9</v>
      </c>
      <c r="I555" s="4">
        <f t="shared" si="41"/>
        <v>2325</v>
      </c>
      <c r="J555" s="6">
        <f t="shared" si="42"/>
        <v>350</v>
      </c>
      <c r="K555" s="6">
        <f t="shared" si="43"/>
        <v>813750</v>
      </c>
      <c r="L555" s="3" t="str">
        <f t="shared" si="44"/>
        <v>Popular</v>
      </c>
    </row>
    <row r="556" spans="1:12">
      <c r="A556" t="s">
        <v>957</v>
      </c>
      <c r="B556" t="s">
        <v>985</v>
      </c>
      <c r="C556" s="4">
        <v>4.8</v>
      </c>
      <c r="D556" s="4">
        <v>65</v>
      </c>
      <c r="E556" t="s">
        <v>986</v>
      </c>
      <c r="F556" s="4">
        <v>19.078949699999999</v>
      </c>
      <c r="G556">
        <v>72.909579600000001</v>
      </c>
      <c r="H556">
        <f t="shared" si="40"/>
        <v>312</v>
      </c>
      <c r="I556" s="4">
        <f t="shared" si="41"/>
        <v>1625</v>
      </c>
      <c r="J556" s="6">
        <f t="shared" si="42"/>
        <v>550</v>
      </c>
      <c r="K556" s="6">
        <f t="shared" si="43"/>
        <v>893750</v>
      </c>
      <c r="L556" s="3" t="str">
        <f t="shared" si="44"/>
        <v>Premium</v>
      </c>
    </row>
    <row r="557" spans="1:12">
      <c r="A557" t="s">
        <v>957</v>
      </c>
      <c r="B557" t="s">
        <v>987</v>
      </c>
      <c r="C557" s="4">
        <v>4.2</v>
      </c>
      <c r="D557" s="4">
        <v>144</v>
      </c>
      <c r="E557" t="s">
        <v>988</v>
      </c>
      <c r="F557" s="4">
        <v>19.0745757</v>
      </c>
      <c r="G557">
        <v>72.905437499999906</v>
      </c>
      <c r="H557">
        <f t="shared" si="40"/>
        <v>604.80000000000007</v>
      </c>
      <c r="I557" s="4">
        <f t="shared" si="41"/>
        <v>3600</v>
      </c>
      <c r="J557" s="6">
        <f t="shared" si="42"/>
        <v>350</v>
      </c>
      <c r="K557" s="6">
        <f t="shared" si="43"/>
        <v>1260000</v>
      </c>
      <c r="L557" s="3" t="str">
        <f t="shared" si="44"/>
        <v>Popular</v>
      </c>
    </row>
    <row r="558" spans="1:12">
      <c r="A558" t="s">
        <v>957</v>
      </c>
      <c r="B558" t="s">
        <v>989</v>
      </c>
      <c r="C558" s="4">
        <v>4.5999999999999996</v>
      </c>
      <c r="D558" s="4">
        <v>71</v>
      </c>
      <c r="E558" t="s">
        <v>990</v>
      </c>
      <c r="F558" s="4">
        <v>19.076944399999999</v>
      </c>
      <c r="G558">
        <v>72.903028899999995</v>
      </c>
      <c r="H558">
        <f t="shared" si="40"/>
        <v>326.59999999999997</v>
      </c>
      <c r="I558" s="4">
        <f t="shared" si="41"/>
        <v>1775</v>
      </c>
      <c r="J558" s="6">
        <f t="shared" si="42"/>
        <v>450</v>
      </c>
      <c r="K558" s="6">
        <f t="shared" si="43"/>
        <v>798750</v>
      </c>
      <c r="L558" s="3" t="str">
        <f t="shared" si="44"/>
        <v>Premium</v>
      </c>
    </row>
    <row r="559" spans="1:12">
      <c r="A559" t="s">
        <v>957</v>
      </c>
      <c r="B559" t="s">
        <v>288</v>
      </c>
      <c r="C559" s="4">
        <v>4.3</v>
      </c>
      <c r="D559" s="4">
        <v>808</v>
      </c>
      <c r="E559" t="s">
        <v>991</v>
      </c>
      <c r="F559" s="4">
        <v>19.079191399999999</v>
      </c>
      <c r="G559">
        <v>72.908625899999905</v>
      </c>
      <c r="H559">
        <f t="shared" si="40"/>
        <v>3474.3999999999996</v>
      </c>
      <c r="I559" s="4">
        <f t="shared" si="41"/>
        <v>20200</v>
      </c>
      <c r="J559" s="6">
        <f t="shared" si="42"/>
        <v>350</v>
      </c>
      <c r="K559" s="6">
        <f t="shared" si="43"/>
        <v>7070000</v>
      </c>
      <c r="L559" s="3" t="str">
        <f t="shared" si="44"/>
        <v>Popular</v>
      </c>
    </row>
    <row r="560" spans="1:12">
      <c r="A560" t="s">
        <v>957</v>
      </c>
      <c r="B560" t="s">
        <v>992</v>
      </c>
      <c r="C560" s="4">
        <v>3.8</v>
      </c>
      <c r="D560" s="4">
        <v>286</v>
      </c>
      <c r="E560" t="s">
        <v>993</v>
      </c>
      <c r="F560" s="4">
        <v>19.099504199999998</v>
      </c>
      <c r="G560">
        <v>72.916644300000002</v>
      </c>
      <c r="H560">
        <f t="shared" si="40"/>
        <v>1086.8</v>
      </c>
      <c r="I560" s="4">
        <f t="shared" si="41"/>
        <v>7150</v>
      </c>
      <c r="J560" s="6">
        <f t="shared" si="42"/>
        <v>350</v>
      </c>
      <c r="K560" s="6">
        <f t="shared" si="43"/>
        <v>2502500</v>
      </c>
      <c r="L560" s="3" t="str">
        <f t="shared" si="44"/>
        <v>Average</v>
      </c>
    </row>
    <row r="561" spans="1:12">
      <c r="A561" t="s">
        <v>957</v>
      </c>
      <c r="B561" t="s">
        <v>994</v>
      </c>
      <c r="C561" s="4">
        <v>4</v>
      </c>
      <c r="D561" s="4">
        <v>83</v>
      </c>
      <c r="E561" t="s">
        <v>995</v>
      </c>
      <c r="F561" s="4">
        <v>19.079868000000001</v>
      </c>
      <c r="G561">
        <v>72.905751899999998</v>
      </c>
      <c r="H561">
        <f t="shared" si="40"/>
        <v>332</v>
      </c>
      <c r="I561" s="4">
        <f t="shared" si="41"/>
        <v>2075</v>
      </c>
      <c r="J561" s="6">
        <f t="shared" si="42"/>
        <v>350</v>
      </c>
      <c r="K561" s="6">
        <f t="shared" si="43"/>
        <v>726250</v>
      </c>
      <c r="L561" s="3" t="str">
        <f t="shared" si="44"/>
        <v>Popular</v>
      </c>
    </row>
    <row r="562" spans="1:12">
      <c r="A562" t="s">
        <v>957</v>
      </c>
      <c r="B562" t="s">
        <v>755</v>
      </c>
      <c r="C562" s="4">
        <v>3.8</v>
      </c>
      <c r="D562" s="4">
        <v>185</v>
      </c>
      <c r="E562" t="s">
        <v>996</v>
      </c>
      <c r="F562" s="4">
        <v>19.078955499999999</v>
      </c>
      <c r="G562">
        <v>72.904257200000004</v>
      </c>
      <c r="H562">
        <f t="shared" si="40"/>
        <v>703</v>
      </c>
      <c r="I562" s="4">
        <f t="shared" si="41"/>
        <v>4625</v>
      </c>
      <c r="J562" s="6">
        <f t="shared" si="42"/>
        <v>350</v>
      </c>
      <c r="K562" s="6">
        <f t="shared" si="43"/>
        <v>1618750</v>
      </c>
      <c r="L562" s="3" t="str">
        <f t="shared" si="44"/>
        <v>Average</v>
      </c>
    </row>
    <row r="563" spans="1:12">
      <c r="A563" t="s">
        <v>957</v>
      </c>
      <c r="B563" t="s">
        <v>997</v>
      </c>
      <c r="C563" s="4">
        <v>4.2</v>
      </c>
      <c r="D563" s="4">
        <v>91</v>
      </c>
      <c r="E563" t="s">
        <v>998</v>
      </c>
      <c r="F563" s="4">
        <v>19.0785084</v>
      </c>
      <c r="G563">
        <v>72.903891099999996</v>
      </c>
      <c r="H563">
        <f t="shared" si="40"/>
        <v>382.2</v>
      </c>
      <c r="I563" s="4">
        <f t="shared" si="41"/>
        <v>2275</v>
      </c>
      <c r="J563" s="6">
        <f t="shared" si="42"/>
        <v>350</v>
      </c>
      <c r="K563" s="6">
        <f t="shared" si="43"/>
        <v>796250</v>
      </c>
      <c r="L563" s="3" t="str">
        <f t="shared" si="44"/>
        <v>Popular</v>
      </c>
    </row>
    <row r="564" spans="1:12">
      <c r="A564" t="s">
        <v>957</v>
      </c>
      <c r="B564" t="s">
        <v>999</v>
      </c>
      <c r="C564" s="4">
        <v>4.7</v>
      </c>
      <c r="D564" s="4">
        <v>130</v>
      </c>
      <c r="E564" t="s">
        <v>1000</v>
      </c>
      <c r="F564" s="4">
        <v>19.099355800000001</v>
      </c>
      <c r="G564">
        <v>72.916342099999994</v>
      </c>
      <c r="H564">
        <f t="shared" si="40"/>
        <v>611</v>
      </c>
      <c r="I564" s="4">
        <f t="shared" si="41"/>
        <v>3250</v>
      </c>
      <c r="J564" s="6">
        <f t="shared" si="42"/>
        <v>550</v>
      </c>
      <c r="K564" s="6">
        <f t="shared" si="43"/>
        <v>1787500</v>
      </c>
      <c r="L564" s="3" t="str">
        <f t="shared" si="44"/>
        <v>Premium</v>
      </c>
    </row>
    <row r="565" spans="1:12">
      <c r="A565" t="s">
        <v>957</v>
      </c>
      <c r="B565" t="s">
        <v>862</v>
      </c>
      <c r="C565" s="4">
        <v>4.5</v>
      </c>
      <c r="D565" s="4">
        <v>2253</v>
      </c>
      <c r="E565" t="s">
        <v>863</v>
      </c>
      <c r="F565" s="4">
        <v>19.070120500000002</v>
      </c>
      <c r="G565">
        <v>72.8975121</v>
      </c>
      <c r="H565">
        <f t="shared" si="40"/>
        <v>10138.5</v>
      </c>
      <c r="I565" s="4">
        <f t="shared" si="41"/>
        <v>56325</v>
      </c>
      <c r="J565" s="6">
        <f t="shared" si="42"/>
        <v>450</v>
      </c>
      <c r="K565" s="6">
        <f t="shared" si="43"/>
        <v>25346250</v>
      </c>
      <c r="L565" s="3" t="str">
        <f t="shared" si="44"/>
        <v>Premium</v>
      </c>
    </row>
    <row r="566" spans="1:12">
      <c r="A566" t="s">
        <v>957</v>
      </c>
      <c r="B566" t="s">
        <v>1001</v>
      </c>
      <c r="C566" s="4">
        <v>4.2</v>
      </c>
      <c r="D566" s="4">
        <v>17</v>
      </c>
      <c r="E566" t="s">
        <v>1002</v>
      </c>
      <c r="F566" s="4">
        <v>19.075835600000001</v>
      </c>
      <c r="G566">
        <v>72.905298799999997</v>
      </c>
      <c r="H566">
        <f t="shared" si="40"/>
        <v>71.400000000000006</v>
      </c>
      <c r="I566" s="4">
        <f t="shared" si="41"/>
        <v>425</v>
      </c>
      <c r="J566" s="6">
        <f t="shared" si="42"/>
        <v>350</v>
      </c>
      <c r="K566" s="6">
        <f t="shared" si="43"/>
        <v>148750</v>
      </c>
      <c r="L566" s="3" t="str">
        <f t="shared" si="44"/>
        <v>Popular</v>
      </c>
    </row>
    <row r="567" spans="1:12">
      <c r="A567" t="s">
        <v>957</v>
      </c>
      <c r="B567" t="s">
        <v>1003</v>
      </c>
      <c r="C567" s="4">
        <v>4.7</v>
      </c>
      <c r="D567" s="4">
        <v>44</v>
      </c>
      <c r="E567" t="s">
        <v>1004</v>
      </c>
      <c r="F567" s="4">
        <v>19.087616000000001</v>
      </c>
      <c r="G567">
        <v>72.909305099999997</v>
      </c>
      <c r="H567">
        <f t="shared" si="40"/>
        <v>206.8</v>
      </c>
      <c r="I567" s="4">
        <f t="shared" si="41"/>
        <v>1100</v>
      </c>
      <c r="J567" s="6">
        <f t="shared" si="42"/>
        <v>550</v>
      </c>
      <c r="K567" s="6">
        <f t="shared" si="43"/>
        <v>605000</v>
      </c>
      <c r="L567" s="3" t="str">
        <f t="shared" si="44"/>
        <v>Premium</v>
      </c>
    </row>
    <row r="568" spans="1:12">
      <c r="A568" t="s">
        <v>957</v>
      </c>
      <c r="B568" t="s">
        <v>1005</v>
      </c>
      <c r="C568" s="4">
        <v>4.9000000000000004</v>
      </c>
      <c r="D568" s="4">
        <v>126</v>
      </c>
      <c r="E568" t="s">
        <v>1006</v>
      </c>
      <c r="F568" s="4">
        <v>19.0772187</v>
      </c>
      <c r="G568">
        <v>72.899657300000001</v>
      </c>
      <c r="H568">
        <f t="shared" si="40"/>
        <v>617.40000000000009</v>
      </c>
      <c r="I568" s="4">
        <f t="shared" si="41"/>
        <v>3150</v>
      </c>
      <c r="J568" s="6">
        <f t="shared" si="42"/>
        <v>550</v>
      </c>
      <c r="K568" s="6">
        <f t="shared" si="43"/>
        <v>1732500</v>
      </c>
      <c r="L568" s="3" t="str">
        <f t="shared" si="44"/>
        <v>Premium</v>
      </c>
    </row>
    <row r="569" spans="1:12">
      <c r="A569" t="s">
        <v>957</v>
      </c>
      <c r="B569" t="s">
        <v>1007</v>
      </c>
      <c r="C569" s="4">
        <v>4.4000000000000004</v>
      </c>
      <c r="D569" s="4">
        <v>401</v>
      </c>
      <c r="E569" t="s">
        <v>1008</v>
      </c>
      <c r="F569" s="4">
        <v>19.0799691</v>
      </c>
      <c r="G569">
        <v>72.911089699999906</v>
      </c>
      <c r="H569">
        <f t="shared" si="40"/>
        <v>1764.4</v>
      </c>
      <c r="I569" s="4">
        <f t="shared" si="41"/>
        <v>10025</v>
      </c>
      <c r="J569" s="6">
        <f t="shared" si="42"/>
        <v>450</v>
      </c>
      <c r="K569" s="6">
        <f t="shared" si="43"/>
        <v>4511250</v>
      </c>
      <c r="L569" s="3" t="str">
        <f t="shared" si="44"/>
        <v>Popular</v>
      </c>
    </row>
    <row r="570" spans="1:12">
      <c r="A570" t="s">
        <v>957</v>
      </c>
      <c r="B570" t="s">
        <v>123</v>
      </c>
      <c r="C570" s="4">
        <v>4.3</v>
      </c>
      <c r="D570" s="4">
        <v>630</v>
      </c>
      <c r="E570" t="s">
        <v>1009</v>
      </c>
      <c r="F570" s="4">
        <v>19.0774583</v>
      </c>
      <c r="G570">
        <v>72.907296700000003</v>
      </c>
      <c r="H570">
        <f t="shared" si="40"/>
        <v>2709</v>
      </c>
      <c r="I570" s="4">
        <f t="shared" si="41"/>
        <v>15750</v>
      </c>
      <c r="J570" s="6">
        <f t="shared" si="42"/>
        <v>350</v>
      </c>
      <c r="K570" s="6">
        <f t="shared" si="43"/>
        <v>5512500</v>
      </c>
      <c r="L570" s="3" t="str">
        <f t="shared" si="44"/>
        <v>Popular</v>
      </c>
    </row>
    <row r="571" spans="1:12">
      <c r="A571" t="s">
        <v>957</v>
      </c>
      <c r="B571" t="s">
        <v>1010</v>
      </c>
      <c r="C571" s="4">
        <v>4.0999999999999996</v>
      </c>
      <c r="D571" s="4">
        <v>10076</v>
      </c>
      <c r="E571" t="s">
        <v>1011</v>
      </c>
      <c r="F571" s="4">
        <v>19.075049199999999</v>
      </c>
      <c r="G571">
        <v>72.903907099999998</v>
      </c>
      <c r="H571">
        <f t="shared" si="40"/>
        <v>41311.599999999999</v>
      </c>
      <c r="I571" s="4">
        <f t="shared" si="41"/>
        <v>251900</v>
      </c>
      <c r="J571" s="6">
        <f t="shared" si="42"/>
        <v>350</v>
      </c>
      <c r="K571" s="6">
        <f t="shared" si="43"/>
        <v>88165000</v>
      </c>
      <c r="L571" s="3" t="str">
        <f t="shared" si="44"/>
        <v>Popular</v>
      </c>
    </row>
    <row r="572" spans="1:12">
      <c r="A572" t="s">
        <v>957</v>
      </c>
      <c r="B572" t="s">
        <v>1012</v>
      </c>
      <c r="C572" s="4">
        <v>4</v>
      </c>
      <c r="D572" s="4">
        <v>428</v>
      </c>
      <c r="E572" t="s">
        <v>1013</v>
      </c>
      <c r="F572" s="4">
        <v>19.0800628</v>
      </c>
      <c r="G572">
        <v>72.905370300000001</v>
      </c>
      <c r="H572">
        <f t="shared" si="40"/>
        <v>1712</v>
      </c>
      <c r="I572" s="4">
        <f t="shared" si="41"/>
        <v>10700</v>
      </c>
      <c r="J572" s="6">
        <f t="shared" si="42"/>
        <v>350</v>
      </c>
      <c r="K572" s="6">
        <f t="shared" si="43"/>
        <v>3745000</v>
      </c>
      <c r="L572" s="3" t="str">
        <f t="shared" si="44"/>
        <v>Popular</v>
      </c>
    </row>
    <row r="573" spans="1:12">
      <c r="A573" t="s">
        <v>957</v>
      </c>
      <c r="B573" t="s">
        <v>1014</v>
      </c>
      <c r="C573" s="4">
        <v>4.4000000000000004</v>
      </c>
      <c r="D573" s="4">
        <v>80</v>
      </c>
      <c r="E573" t="s">
        <v>1015</v>
      </c>
      <c r="F573" s="4">
        <v>19.078859099999999</v>
      </c>
      <c r="G573">
        <v>72.910521000000003</v>
      </c>
      <c r="H573">
        <f t="shared" si="40"/>
        <v>352</v>
      </c>
      <c r="I573" s="4">
        <f t="shared" si="41"/>
        <v>2000</v>
      </c>
      <c r="J573" s="6">
        <f t="shared" si="42"/>
        <v>450</v>
      </c>
      <c r="K573" s="6">
        <f t="shared" si="43"/>
        <v>900000</v>
      </c>
      <c r="L573" s="3" t="str">
        <f t="shared" si="44"/>
        <v>Popular</v>
      </c>
    </row>
    <row r="574" spans="1:12">
      <c r="A574" t="s">
        <v>957</v>
      </c>
      <c r="B574" t="s">
        <v>1016</v>
      </c>
      <c r="C574" s="4">
        <v>4</v>
      </c>
      <c r="D574" s="4">
        <v>2056</v>
      </c>
      <c r="E574" t="s">
        <v>1017</v>
      </c>
      <c r="F574" s="4">
        <v>19.0794827</v>
      </c>
      <c r="G574">
        <v>72.909287599999999</v>
      </c>
      <c r="H574">
        <f t="shared" si="40"/>
        <v>8224</v>
      </c>
      <c r="I574" s="4">
        <f t="shared" si="41"/>
        <v>51400</v>
      </c>
      <c r="J574" s="6">
        <f t="shared" si="42"/>
        <v>350</v>
      </c>
      <c r="K574" s="6">
        <f t="shared" si="43"/>
        <v>17990000</v>
      </c>
      <c r="L574" s="3" t="str">
        <f t="shared" si="44"/>
        <v>Popular</v>
      </c>
    </row>
    <row r="575" spans="1:12">
      <c r="A575" t="s">
        <v>957</v>
      </c>
      <c r="B575" t="s">
        <v>1018</v>
      </c>
      <c r="C575" s="4">
        <v>4.2</v>
      </c>
      <c r="D575" s="4">
        <v>150</v>
      </c>
      <c r="E575" t="s">
        <v>1019</v>
      </c>
      <c r="F575" s="4">
        <v>19.085650300000001</v>
      </c>
      <c r="G575">
        <v>72.911476899999997</v>
      </c>
      <c r="H575">
        <f t="shared" si="40"/>
        <v>630</v>
      </c>
      <c r="I575" s="4">
        <f t="shared" si="41"/>
        <v>3750</v>
      </c>
      <c r="J575" s="6">
        <f t="shared" si="42"/>
        <v>350</v>
      </c>
      <c r="K575" s="6">
        <f t="shared" si="43"/>
        <v>1312500</v>
      </c>
      <c r="L575" s="3" t="str">
        <f t="shared" si="44"/>
        <v>Popular</v>
      </c>
    </row>
    <row r="576" spans="1:12">
      <c r="A576" t="s">
        <v>957</v>
      </c>
      <c r="B576" t="s">
        <v>1020</v>
      </c>
      <c r="C576" s="4">
        <v>4.5</v>
      </c>
      <c r="D576" s="4">
        <v>39</v>
      </c>
      <c r="E576" t="s">
        <v>1021</v>
      </c>
      <c r="F576" s="4">
        <v>19.082504</v>
      </c>
      <c r="G576">
        <v>72.904930300000004</v>
      </c>
      <c r="H576">
        <f t="shared" si="40"/>
        <v>175.5</v>
      </c>
      <c r="I576" s="4">
        <f t="shared" si="41"/>
        <v>975</v>
      </c>
      <c r="J576" s="6">
        <f t="shared" si="42"/>
        <v>450</v>
      </c>
      <c r="K576" s="6">
        <f t="shared" si="43"/>
        <v>438750</v>
      </c>
      <c r="L576" s="3" t="str">
        <f t="shared" si="44"/>
        <v>Premium</v>
      </c>
    </row>
    <row r="577" spans="1:12">
      <c r="A577" t="s">
        <v>957</v>
      </c>
      <c r="B577" t="s">
        <v>1022</v>
      </c>
      <c r="C577" s="4">
        <v>4.7</v>
      </c>
      <c r="D577" s="4">
        <v>26</v>
      </c>
      <c r="E577" t="s">
        <v>1023</v>
      </c>
      <c r="F577" s="4">
        <v>19.077398500000001</v>
      </c>
      <c r="G577">
        <v>72.899722099999906</v>
      </c>
      <c r="H577">
        <f t="shared" si="40"/>
        <v>122.2</v>
      </c>
      <c r="I577" s="4">
        <f t="shared" si="41"/>
        <v>650</v>
      </c>
      <c r="J577" s="6">
        <f t="shared" si="42"/>
        <v>550</v>
      </c>
      <c r="K577" s="6">
        <f t="shared" si="43"/>
        <v>357500</v>
      </c>
      <c r="L577" s="3" t="str">
        <f t="shared" si="44"/>
        <v>Premium</v>
      </c>
    </row>
    <row r="578" spans="1:12">
      <c r="A578" t="s">
        <v>957</v>
      </c>
      <c r="B578" t="s">
        <v>1024</v>
      </c>
      <c r="C578" s="4">
        <v>4.9000000000000004</v>
      </c>
      <c r="D578" s="4">
        <v>70</v>
      </c>
      <c r="E578" t="s">
        <v>1025</v>
      </c>
      <c r="F578" s="4">
        <v>19.0823477</v>
      </c>
      <c r="G578">
        <v>72.908811799999995</v>
      </c>
      <c r="H578">
        <f t="shared" ref="H578:H641" si="45">C578*D578</f>
        <v>343</v>
      </c>
      <c r="I578" s="4">
        <f t="shared" ref="I578:I641" si="46">D578*25</f>
        <v>1750</v>
      </c>
      <c r="J578" s="6">
        <f t="shared" ref="J578:J641" si="47">IF(C578&gt;=4.7,550,IF(C578&gt;=4.4,450,IF(C578&gt;=O580,350,250)))</f>
        <v>550</v>
      </c>
      <c r="K578" s="6">
        <f t="shared" ref="K578:K641" si="48">I578*J578</f>
        <v>962500</v>
      </c>
      <c r="L578" s="3" t="str">
        <f t="shared" ref="L578:L641" si="49">IF(C578&gt;=4.5,"Premium",IF(C578&gt;=4,"Popular","Average"))</f>
        <v>Premium</v>
      </c>
    </row>
    <row r="579" spans="1:12">
      <c r="A579" t="s">
        <v>957</v>
      </c>
      <c r="B579" t="s">
        <v>1026</v>
      </c>
      <c r="C579" s="4">
        <v>4</v>
      </c>
      <c r="D579" s="4">
        <v>832</v>
      </c>
      <c r="E579" t="s">
        <v>1027</v>
      </c>
      <c r="F579" s="4">
        <v>19.079111900000001</v>
      </c>
      <c r="G579">
        <v>72.905678100000003</v>
      </c>
      <c r="H579">
        <f t="shared" si="45"/>
        <v>3328</v>
      </c>
      <c r="I579" s="4">
        <f t="shared" si="46"/>
        <v>20800</v>
      </c>
      <c r="J579" s="6">
        <f t="shared" si="47"/>
        <v>350</v>
      </c>
      <c r="K579" s="6">
        <f t="shared" si="48"/>
        <v>7280000</v>
      </c>
      <c r="L579" s="3" t="str">
        <f t="shared" si="49"/>
        <v>Popular</v>
      </c>
    </row>
    <row r="580" spans="1:12">
      <c r="A580" t="s">
        <v>957</v>
      </c>
      <c r="B580" t="s">
        <v>1028</v>
      </c>
      <c r="C580" s="4">
        <v>3.6</v>
      </c>
      <c r="D580" s="4">
        <v>249</v>
      </c>
      <c r="E580" t="s">
        <v>1029</v>
      </c>
      <c r="F580" s="4">
        <v>19.098803400000001</v>
      </c>
      <c r="G580">
        <v>72.916628699999904</v>
      </c>
      <c r="H580">
        <f t="shared" si="45"/>
        <v>896.4</v>
      </c>
      <c r="I580" s="4">
        <f t="shared" si="46"/>
        <v>6225</v>
      </c>
      <c r="J580" s="6">
        <f t="shared" si="47"/>
        <v>350</v>
      </c>
      <c r="K580" s="6">
        <f t="shared" si="48"/>
        <v>2178750</v>
      </c>
      <c r="L580" s="3" t="str">
        <f t="shared" si="49"/>
        <v>Average</v>
      </c>
    </row>
    <row r="581" spans="1:12">
      <c r="A581" t="s">
        <v>957</v>
      </c>
      <c r="B581" t="s">
        <v>1030</v>
      </c>
      <c r="C581" s="4">
        <v>4.3</v>
      </c>
      <c r="D581" s="4">
        <v>739</v>
      </c>
      <c r="E581" t="s">
        <v>1031</v>
      </c>
      <c r="F581" s="4">
        <v>19.078827400000002</v>
      </c>
      <c r="G581">
        <v>72.909940800000001</v>
      </c>
      <c r="H581">
        <f t="shared" si="45"/>
        <v>3177.7</v>
      </c>
      <c r="I581" s="4">
        <f t="shared" si="46"/>
        <v>18475</v>
      </c>
      <c r="J581" s="6">
        <f t="shared" si="47"/>
        <v>350</v>
      </c>
      <c r="K581" s="6">
        <f t="shared" si="48"/>
        <v>6466250</v>
      </c>
      <c r="L581" s="3" t="str">
        <f t="shared" si="49"/>
        <v>Popular</v>
      </c>
    </row>
    <row r="582" spans="1:12">
      <c r="A582" t="s">
        <v>957</v>
      </c>
      <c r="B582" t="s">
        <v>123</v>
      </c>
      <c r="C582" s="4">
        <v>4.4000000000000004</v>
      </c>
      <c r="D582" s="4">
        <v>2307</v>
      </c>
      <c r="E582" t="s">
        <v>1032</v>
      </c>
      <c r="F582" s="4">
        <v>19.099654399999999</v>
      </c>
      <c r="G582">
        <v>72.916262699999905</v>
      </c>
      <c r="H582">
        <f t="shared" si="45"/>
        <v>10150.800000000001</v>
      </c>
      <c r="I582" s="4">
        <f t="shared" si="46"/>
        <v>57675</v>
      </c>
      <c r="J582" s="6">
        <f t="shared" si="47"/>
        <v>450</v>
      </c>
      <c r="K582" s="6">
        <f t="shared" si="48"/>
        <v>25953750</v>
      </c>
      <c r="L582" s="3" t="str">
        <f t="shared" si="49"/>
        <v>Popular</v>
      </c>
    </row>
    <row r="583" spans="1:12">
      <c r="A583" t="s">
        <v>957</v>
      </c>
      <c r="B583" t="s">
        <v>1033</v>
      </c>
      <c r="C583" s="4">
        <v>4.5999999999999996</v>
      </c>
      <c r="D583" s="4">
        <v>284</v>
      </c>
      <c r="E583" t="s">
        <v>1034</v>
      </c>
      <c r="F583" s="4">
        <v>19.093147200000001</v>
      </c>
      <c r="G583">
        <v>72.920238499999996</v>
      </c>
      <c r="H583">
        <f t="shared" si="45"/>
        <v>1306.3999999999999</v>
      </c>
      <c r="I583" s="4">
        <f t="shared" si="46"/>
        <v>7100</v>
      </c>
      <c r="J583" s="6">
        <f t="shared" si="47"/>
        <v>450</v>
      </c>
      <c r="K583" s="6">
        <f t="shared" si="48"/>
        <v>3195000</v>
      </c>
      <c r="L583" s="3" t="str">
        <f t="shared" si="49"/>
        <v>Premium</v>
      </c>
    </row>
    <row r="584" spans="1:12">
      <c r="A584" t="s">
        <v>957</v>
      </c>
      <c r="B584" t="s">
        <v>1035</v>
      </c>
      <c r="C584" s="4">
        <v>4.4000000000000004</v>
      </c>
      <c r="D584" s="4">
        <v>3152</v>
      </c>
      <c r="E584" t="s">
        <v>1036</v>
      </c>
      <c r="F584" s="4">
        <v>19.061594199999998</v>
      </c>
      <c r="G584">
        <v>72.899740999999906</v>
      </c>
      <c r="H584">
        <f t="shared" si="45"/>
        <v>13868.800000000001</v>
      </c>
      <c r="I584" s="4">
        <f t="shared" si="46"/>
        <v>78800</v>
      </c>
      <c r="J584" s="6">
        <f t="shared" si="47"/>
        <v>450</v>
      </c>
      <c r="K584" s="6">
        <f t="shared" si="48"/>
        <v>35460000</v>
      </c>
      <c r="L584" s="3" t="str">
        <f t="shared" si="49"/>
        <v>Popular</v>
      </c>
    </row>
    <row r="585" spans="1:12">
      <c r="A585" t="s">
        <v>957</v>
      </c>
      <c r="B585" t="s">
        <v>1037</v>
      </c>
      <c r="C585" s="4">
        <v>3.6</v>
      </c>
      <c r="D585" s="4">
        <v>96</v>
      </c>
      <c r="E585" t="s">
        <v>1038</v>
      </c>
      <c r="F585" s="4">
        <v>19.082859200000001</v>
      </c>
      <c r="G585">
        <v>72.9070179</v>
      </c>
      <c r="H585">
        <f t="shared" si="45"/>
        <v>345.6</v>
      </c>
      <c r="I585" s="4">
        <f t="shared" si="46"/>
        <v>2400</v>
      </c>
      <c r="J585" s="6">
        <f t="shared" si="47"/>
        <v>350</v>
      </c>
      <c r="K585" s="6">
        <f t="shared" si="48"/>
        <v>840000</v>
      </c>
      <c r="L585" s="3" t="str">
        <f t="shared" si="49"/>
        <v>Average</v>
      </c>
    </row>
    <row r="586" spans="1:12">
      <c r="A586" t="s">
        <v>957</v>
      </c>
      <c r="B586" t="s">
        <v>1039</v>
      </c>
      <c r="C586" s="4">
        <v>4.5999999999999996</v>
      </c>
      <c r="D586" s="4">
        <v>504</v>
      </c>
      <c r="E586" t="s">
        <v>1040</v>
      </c>
      <c r="F586" s="4">
        <v>19.069397200000001</v>
      </c>
      <c r="G586">
        <v>72.896929599999893</v>
      </c>
      <c r="H586">
        <f t="shared" si="45"/>
        <v>2318.3999999999996</v>
      </c>
      <c r="I586" s="4">
        <f t="shared" si="46"/>
        <v>12600</v>
      </c>
      <c r="J586" s="6">
        <f t="shared" si="47"/>
        <v>450</v>
      </c>
      <c r="K586" s="6">
        <f t="shared" si="48"/>
        <v>5670000</v>
      </c>
      <c r="L586" s="3" t="str">
        <f t="shared" si="49"/>
        <v>Premium</v>
      </c>
    </row>
    <row r="587" spans="1:12">
      <c r="A587" t="s">
        <v>957</v>
      </c>
      <c r="B587" t="s">
        <v>1041</v>
      </c>
      <c r="C587" s="4">
        <v>4.7</v>
      </c>
      <c r="D587" s="4">
        <v>66</v>
      </c>
      <c r="E587" t="s">
        <v>1042</v>
      </c>
      <c r="F587" s="4">
        <v>19.077157100000001</v>
      </c>
      <c r="G587">
        <v>72.900784399999907</v>
      </c>
      <c r="H587">
        <f t="shared" si="45"/>
        <v>310.2</v>
      </c>
      <c r="I587" s="4">
        <f t="shared" si="46"/>
        <v>1650</v>
      </c>
      <c r="J587" s="6">
        <f t="shared" si="47"/>
        <v>550</v>
      </c>
      <c r="K587" s="6">
        <f t="shared" si="48"/>
        <v>907500</v>
      </c>
      <c r="L587" s="3" t="str">
        <f t="shared" si="49"/>
        <v>Premium</v>
      </c>
    </row>
    <row r="588" spans="1:12">
      <c r="A588" t="s">
        <v>957</v>
      </c>
      <c r="B588" t="s">
        <v>1043</v>
      </c>
      <c r="C588" s="4">
        <v>4.2</v>
      </c>
      <c r="D588" s="4">
        <v>1388</v>
      </c>
      <c r="E588" t="s">
        <v>1044</v>
      </c>
      <c r="F588" s="4">
        <v>19.086579799999999</v>
      </c>
      <c r="G588">
        <v>72.908104999999907</v>
      </c>
      <c r="H588">
        <f t="shared" si="45"/>
        <v>5829.6</v>
      </c>
      <c r="I588" s="4">
        <f t="shared" si="46"/>
        <v>34700</v>
      </c>
      <c r="J588" s="6">
        <f t="shared" si="47"/>
        <v>350</v>
      </c>
      <c r="K588" s="6">
        <f t="shared" si="48"/>
        <v>12145000</v>
      </c>
      <c r="L588" s="3" t="str">
        <f t="shared" si="49"/>
        <v>Popular</v>
      </c>
    </row>
    <row r="589" spans="1:12">
      <c r="A589" t="s">
        <v>957</v>
      </c>
      <c r="B589" t="s">
        <v>1045</v>
      </c>
      <c r="C589" s="4">
        <v>3.8</v>
      </c>
      <c r="D589" s="4">
        <v>927</v>
      </c>
      <c r="E589" t="s">
        <v>1046</v>
      </c>
      <c r="F589" s="4">
        <v>19.0963089</v>
      </c>
      <c r="G589">
        <v>72.915329599999893</v>
      </c>
      <c r="H589">
        <f t="shared" si="45"/>
        <v>3522.6</v>
      </c>
      <c r="I589" s="4">
        <f t="shared" si="46"/>
        <v>23175</v>
      </c>
      <c r="J589" s="6">
        <f t="shared" si="47"/>
        <v>350</v>
      </c>
      <c r="K589" s="6">
        <f t="shared" si="48"/>
        <v>8111250</v>
      </c>
      <c r="L589" s="3" t="str">
        <f t="shared" si="49"/>
        <v>Average</v>
      </c>
    </row>
    <row r="590" spans="1:12">
      <c r="A590" t="s">
        <v>957</v>
      </c>
      <c r="B590" t="s">
        <v>1047</v>
      </c>
      <c r="C590" s="4">
        <v>4.3</v>
      </c>
      <c r="D590" s="4">
        <v>2219</v>
      </c>
      <c r="E590" t="s">
        <v>1048</v>
      </c>
      <c r="F590" s="4">
        <v>19.079921200000001</v>
      </c>
      <c r="G590">
        <v>72.905660900000001</v>
      </c>
      <c r="H590">
        <f t="shared" si="45"/>
        <v>9541.6999999999989</v>
      </c>
      <c r="I590" s="4">
        <f t="shared" si="46"/>
        <v>55475</v>
      </c>
      <c r="J590" s="6">
        <f t="shared" si="47"/>
        <v>350</v>
      </c>
      <c r="K590" s="6">
        <f t="shared" si="48"/>
        <v>19416250</v>
      </c>
      <c r="L590" s="3" t="str">
        <f t="shared" si="49"/>
        <v>Popular</v>
      </c>
    </row>
    <row r="591" spans="1:12">
      <c r="A591" t="s">
        <v>957</v>
      </c>
      <c r="B591" t="s">
        <v>1049</v>
      </c>
      <c r="C591" s="4">
        <v>4.0999999999999996</v>
      </c>
      <c r="D591" s="4">
        <v>542</v>
      </c>
      <c r="E591" t="s">
        <v>1050</v>
      </c>
      <c r="F591" s="4">
        <v>19.079788300000001</v>
      </c>
      <c r="G591">
        <v>72.906141399999996</v>
      </c>
      <c r="H591">
        <f t="shared" si="45"/>
        <v>2222.1999999999998</v>
      </c>
      <c r="I591" s="4">
        <f t="shared" si="46"/>
        <v>13550</v>
      </c>
      <c r="J591" s="6">
        <f t="shared" si="47"/>
        <v>350</v>
      </c>
      <c r="K591" s="6">
        <f t="shared" si="48"/>
        <v>4742500</v>
      </c>
      <c r="L591" s="3" t="str">
        <f t="shared" si="49"/>
        <v>Popular</v>
      </c>
    </row>
    <row r="592" spans="1:12">
      <c r="A592" t="s">
        <v>957</v>
      </c>
      <c r="B592" t="s">
        <v>1020</v>
      </c>
      <c r="C592" s="4">
        <v>4.0999999999999996</v>
      </c>
      <c r="D592" s="4">
        <v>33</v>
      </c>
      <c r="E592" t="s">
        <v>1051</v>
      </c>
      <c r="F592" s="4">
        <v>19.087069499999998</v>
      </c>
      <c r="G592">
        <v>72.904443999999998</v>
      </c>
      <c r="H592">
        <f t="shared" si="45"/>
        <v>135.29999999999998</v>
      </c>
      <c r="I592" s="4">
        <f t="shared" si="46"/>
        <v>825</v>
      </c>
      <c r="J592" s="6">
        <f t="shared" si="47"/>
        <v>350</v>
      </c>
      <c r="K592" s="6">
        <f t="shared" si="48"/>
        <v>288750</v>
      </c>
      <c r="L592" s="3" t="str">
        <f t="shared" si="49"/>
        <v>Popular</v>
      </c>
    </row>
    <row r="593" spans="1:12">
      <c r="A593" t="s">
        <v>957</v>
      </c>
      <c r="B593" t="s">
        <v>1052</v>
      </c>
      <c r="C593" s="4">
        <v>4.5</v>
      </c>
      <c r="D593" s="4">
        <v>5001</v>
      </c>
      <c r="E593" t="s">
        <v>1053</v>
      </c>
      <c r="F593" s="4">
        <v>19.085387600000001</v>
      </c>
      <c r="G593">
        <v>72.909024399999893</v>
      </c>
      <c r="H593">
        <f t="shared" si="45"/>
        <v>22504.5</v>
      </c>
      <c r="I593" s="4">
        <f t="shared" si="46"/>
        <v>125025</v>
      </c>
      <c r="J593" s="6">
        <f t="shared" si="47"/>
        <v>450</v>
      </c>
      <c r="K593" s="6">
        <f t="shared" si="48"/>
        <v>56261250</v>
      </c>
      <c r="L593" s="3" t="str">
        <f t="shared" si="49"/>
        <v>Premium</v>
      </c>
    </row>
    <row r="594" spans="1:12">
      <c r="A594" t="s">
        <v>957</v>
      </c>
      <c r="B594" t="s">
        <v>1054</v>
      </c>
      <c r="C594" s="4">
        <v>4.3</v>
      </c>
      <c r="D594" s="4">
        <v>993</v>
      </c>
      <c r="E594" t="s">
        <v>1055</v>
      </c>
      <c r="F594" s="4">
        <v>19.099355800000001</v>
      </c>
      <c r="G594">
        <v>72.916342099999994</v>
      </c>
      <c r="H594">
        <f t="shared" si="45"/>
        <v>4269.8999999999996</v>
      </c>
      <c r="I594" s="4">
        <f t="shared" si="46"/>
        <v>24825</v>
      </c>
      <c r="J594" s="6">
        <f t="shared" si="47"/>
        <v>350</v>
      </c>
      <c r="K594" s="6">
        <f t="shared" si="48"/>
        <v>8688750</v>
      </c>
      <c r="L594" s="3" t="str">
        <f t="shared" si="49"/>
        <v>Popular</v>
      </c>
    </row>
    <row r="595" spans="1:12">
      <c r="A595" t="s">
        <v>957</v>
      </c>
      <c r="B595" t="s">
        <v>1056</v>
      </c>
      <c r="C595" s="4">
        <v>4.0999999999999996</v>
      </c>
      <c r="D595" s="4">
        <v>1854</v>
      </c>
      <c r="E595" t="s">
        <v>1057</v>
      </c>
      <c r="F595" s="4">
        <v>19.075226499999999</v>
      </c>
      <c r="G595">
        <v>72.905197299999998</v>
      </c>
      <c r="H595">
        <f t="shared" si="45"/>
        <v>7601.4</v>
      </c>
      <c r="I595" s="4">
        <f t="shared" si="46"/>
        <v>46350</v>
      </c>
      <c r="J595" s="6">
        <f t="shared" si="47"/>
        <v>350</v>
      </c>
      <c r="K595" s="6">
        <f t="shared" si="48"/>
        <v>16222500</v>
      </c>
      <c r="L595" s="3" t="str">
        <f t="shared" si="49"/>
        <v>Popular</v>
      </c>
    </row>
    <row r="596" spans="1:12">
      <c r="A596" t="s">
        <v>957</v>
      </c>
      <c r="B596" t="s">
        <v>1058</v>
      </c>
      <c r="C596" s="4">
        <v>4.0999999999999996</v>
      </c>
      <c r="D596" s="4">
        <v>62</v>
      </c>
      <c r="E596" t="s">
        <v>1059</v>
      </c>
      <c r="F596" s="4">
        <v>19.080446899999998</v>
      </c>
      <c r="G596">
        <v>72.904587399999997</v>
      </c>
      <c r="H596">
        <f t="shared" si="45"/>
        <v>254.2</v>
      </c>
      <c r="I596" s="4">
        <f t="shared" si="46"/>
        <v>1550</v>
      </c>
      <c r="J596" s="6">
        <f t="shared" si="47"/>
        <v>350</v>
      </c>
      <c r="K596" s="6">
        <f t="shared" si="48"/>
        <v>542500</v>
      </c>
      <c r="L596" s="3" t="str">
        <f t="shared" si="49"/>
        <v>Popular</v>
      </c>
    </row>
    <row r="597" spans="1:12">
      <c r="A597" t="s">
        <v>957</v>
      </c>
      <c r="B597" t="s">
        <v>1060</v>
      </c>
      <c r="C597" s="4">
        <v>4.7</v>
      </c>
      <c r="D597" s="4">
        <v>513</v>
      </c>
      <c r="E597" t="s">
        <v>1061</v>
      </c>
      <c r="F597" s="4">
        <v>19.085251400000001</v>
      </c>
      <c r="G597">
        <v>72.912363200000001</v>
      </c>
      <c r="H597">
        <f t="shared" si="45"/>
        <v>2411.1</v>
      </c>
      <c r="I597" s="4">
        <f t="shared" si="46"/>
        <v>12825</v>
      </c>
      <c r="J597" s="6">
        <f t="shared" si="47"/>
        <v>550</v>
      </c>
      <c r="K597" s="6">
        <f t="shared" si="48"/>
        <v>7053750</v>
      </c>
      <c r="L597" s="3" t="str">
        <f t="shared" si="49"/>
        <v>Premium</v>
      </c>
    </row>
    <row r="598" spans="1:12">
      <c r="A598" t="s">
        <v>957</v>
      </c>
      <c r="B598" t="s">
        <v>1062</v>
      </c>
      <c r="C598" s="4">
        <v>4.3</v>
      </c>
      <c r="D598" s="4">
        <v>416</v>
      </c>
      <c r="E598" t="s">
        <v>1063</v>
      </c>
      <c r="F598" s="4">
        <v>19.0839535</v>
      </c>
      <c r="G598">
        <v>72.909147300000001</v>
      </c>
      <c r="H598">
        <f t="shared" si="45"/>
        <v>1788.8</v>
      </c>
      <c r="I598" s="4">
        <f t="shared" si="46"/>
        <v>10400</v>
      </c>
      <c r="J598" s="6">
        <f t="shared" si="47"/>
        <v>350</v>
      </c>
      <c r="K598" s="6">
        <f t="shared" si="48"/>
        <v>3640000</v>
      </c>
      <c r="L598" s="3" t="str">
        <f t="shared" si="49"/>
        <v>Popular</v>
      </c>
    </row>
    <row r="599" spans="1:12">
      <c r="A599" t="s">
        <v>957</v>
      </c>
      <c r="B599" t="s">
        <v>1064</v>
      </c>
      <c r="C599" s="4">
        <v>4.9000000000000004</v>
      </c>
      <c r="D599" s="4">
        <v>37</v>
      </c>
      <c r="E599" t="s">
        <v>1065</v>
      </c>
      <c r="F599" s="4">
        <v>19.079289299999999</v>
      </c>
      <c r="G599">
        <v>72.910098500000004</v>
      </c>
      <c r="H599">
        <f t="shared" si="45"/>
        <v>181.3</v>
      </c>
      <c r="I599" s="4">
        <f t="shared" si="46"/>
        <v>925</v>
      </c>
      <c r="J599" s="6">
        <f t="shared" si="47"/>
        <v>550</v>
      </c>
      <c r="K599" s="6">
        <f t="shared" si="48"/>
        <v>508750</v>
      </c>
      <c r="L599" s="3" t="str">
        <f t="shared" si="49"/>
        <v>Premium</v>
      </c>
    </row>
    <row r="600" spans="1:12">
      <c r="A600" t="s">
        <v>957</v>
      </c>
      <c r="B600" t="s">
        <v>1066</v>
      </c>
      <c r="C600" s="4">
        <v>4.2</v>
      </c>
      <c r="D600" s="4">
        <v>63</v>
      </c>
      <c r="E600" t="s">
        <v>1067</v>
      </c>
      <c r="F600" s="4">
        <v>19.074612599999998</v>
      </c>
      <c r="G600">
        <v>72.9131237</v>
      </c>
      <c r="H600">
        <f t="shared" si="45"/>
        <v>264.60000000000002</v>
      </c>
      <c r="I600" s="4">
        <f t="shared" si="46"/>
        <v>1575</v>
      </c>
      <c r="J600" s="6">
        <f t="shared" si="47"/>
        <v>350</v>
      </c>
      <c r="K600" s="6">
        <f t="shared" si="48"/>
        <v>551250</v>
      </c>
      <c r="L600" s="3" t="str">
        <f t="shared" si="49"/>
        <v>Popular</v>
      </c>
    </row>
    <row r="601" spans="1:12">
      <c r="A601" t="s">
        <v>957</v>
      </c>
      <c r="B601" t="s">
        <v>1068</v>
      </c>
      <c r="C601" s="4">
        <v>5</v>
      </c>
      <c r="D601" s="4">
        <v>3</v>
      </c>
      <c r="E601" t="s">
        <v>1069</v>
      </c>
      <c r="F601" s="4">
        <v>19.0824569</v>
      </c>
      <c r="G601">
        <v>72.9127723</v>
      </c>
      <c r="H601">
        <f t="shared" si="45"/>
        <v>15</v>
      </c>
      <c r="I601" s="4">
        <f t="shared" si="46"/>
        <v>75</v>
      </c>
      <c r="J601" s="6">
        <f t="shared" si="47"/>
        <v>550</v>
      </c>
      <c r="K601" s="6">
        <f t="shared" si="48"/>
        <v>41250</v>
      </c>
      <c r="L601" s="3" t="str">
        <f t="shared" si="49"/>
        <v>Premium</v>
      </c>
    </row>
    <row r="602" spans="1:12">
      <c r="A602" t="s">
        <v>1070</v>
      </c>
      <c r="B602" t="s">
        <v>1071</v>
      </c>
      <c r="C602" s="4">
        <v>4.3</v>
      </c>
      <c r="D602" s="4">
        <v>1529</v>
      </c>
      <c r="E602" t="s">
        <v>1072</v>
      </c>
      <c r="F602" s="4">
        <v>19.180744499999999</v>
      </c>
      <c r="G602">
        <v>72.946734499999906</v>
      </c>
      <c r="H602">
        <f t="shared" si="45"/>
        <v>6574.7</v>
      </c>
      <c r="I602" s="4">
        <f t="shared" si="46"/>
        <v>38225</v>
      </c>
      <c r="J602" s="6">
        <f t="shared" si="47"/>
        <v>350</v>
      </c>
      <c r="K602" s="6">
        <f t="shared" si="48"/>
        <v>13378750</v>
      </c>
      <c r="L602" s="3" t="str">
        <f t="shared" si="49"/>
        <v>Popular</v>
      </c>
    </row>
    <row r="603" spans="1:12">
      <c r="A603" t="s">
        <v>1070</v>
      </c>
      <c r="B603" t="s">
        <v>1073</v>
      </c>
      <c r="C603" s="4">
        <v>4</v>
      </c>
      <c r="D603" s="4">
        <v>1791</v>
      </c>
      <c r="E603" t="s">
        <v>1074</v>
      </c>
      <c r="F603" s="4">
        <v>19.172873899999999</v>
      </c>
      <c r="G603">
        <v>72.941472899999994</v>
      </c>
      <c r="H603">
        <f t="shared" si="45"/>
        <v>7164</v>
      </c>
      <c r="I603" s="4">
        <f t="shared" si="46"/>
        <v>44775</v>
      </c>
      <c r="J603" s="6">
        <f t="shared" si="47"/>
        <v>350</v>
      </c>
      <c r="K603" s="6">
        <f t="shared" si="48"/>
        <v>15671250</v>
      </c>
      <c r="L603" s="3" t="str">
        <f t="shared" si="49"/>
        <v>Popular</v>
      </c>
    </row>
    <row r="604" spans="1:12">
      <c r="A604" t="s">
        <v>1070</v>
      </c>
      <c r="B604" t="s">
        <v>1075</v>
      </c>
      <c r="C604" s="4">
        <v>4.4000000000000004</v>
      </c>
      <c r="D604" s="4">
        <v>358</v>
      </c>
      <c r="E604" t="s">
        <v>1076</v>
      </c>
      <c r="F604" s="4">
        <v>19.1724341</v>
      </c>
      <c r="G604">
        <v>72.941307799999905</v>
      </c>
      <c r="H604">
        <f t="shared" si="45"/>
        <v>1575.2</v>
      </c>
      <c r="I604" s="4">
        <f t="shared" si="46"/>
        <v>8950</v>
      </c>
      <c r="J604" s="6">
        <f t="shared" si="47"/>
        <v>450</v>
      </c>
      <c r="K604" s="6">
        <f t="shared" si="48"/>
        <v>4027500</v>
      </c>
      <c r="L604" s="3" t="str">
        <f t="shared" si="49"/>
        <v>Popular</v>
      </c>
    </row>
    <row r="605" spans="1:12">
      <c r="A605" t="s">
        <v>1070</v>
      </c>
      <c r="B605" t="s">
        <v>174</v>
      </c>
      <c r="C605" s="4">
        <v>4.3</v>
      </c>
      <c r="D605" s="4">
        <v>2549</v>
      </c>
      <c r="E605" t="s">
        <v>1077</v>
      </c>
      <c r="F605" s="4">
        <v>19.171517300000001</v>
      </c>
      <c r="G605">
        <v>72.952986899999999</v>
      </c>
      <c r="H605">
        <f t="shared" si="45"/>
        <v>10960.699999999999</v>
      </c>
      <c r="I605" s="4">
        <f t="shared" si="46"/>
        <v>63725</v>
      </c>
      <c r="J605" s="6">
        <f t="shared" si="47"/>
        <v>350</v>
      </c>
      <c r="K605" s="6">
        <f t="shared" si="48"/>
        <v>22303750</v>
      </c>
      <c r="L605" s="3" t="str">
        <f t="shared" si="49"/>
        <v>Popular</v>
      </c>
    </row>
    <row r="606" spans="1:12">
      <c r="A606" t="s">
        <v>1070</v>
      </c>
      <c r="B606" t="s">
        <v>48</v>
      </c>
      <c r="C606" s="4">
        <v>4.8</v>
      </c>
      <c r="D606" s="4">
        <v>1114</v>
      </c>
      <c r="E606" t="s">
        <v>703</v>
      </c>
      <c r="F606" s="4">
        <v>19.160822799999998</v>
      </c>
      <c r="G606">
        <v>72.945387199999999</v>
      </c>
      <c r="H606">
        <f t="shared" si="45"/>
        <v>5347.2</v>
      </c>
      <c r="I606" s="4">
        <f t="shared" si="46"/>
        <v>27850</v>
      </c>
      <c r="J606" s="6">
        <f t="shared" si="47"/>
        <v>550</v>
      </c>
      <c r="K606" s="6">
        <f t="shared" si="48"/>
        <v>15317500</v>
      </c>
      <c r="L606" s="3" t="str">
        <f t="shared" si="49"/>
        <v>Premium</v>
      </c>
    </row>
    <row r="607" spans="1:12">
      <c r="A607" t="s">
        <v>1070</v>
      </c>
      <c r="B607" t="s">
        <v>1078</v>
      </c>
      <c r="C607" s="4">
        <v>4.3</v>
      </c>
      <c r="D607" s="4">
        <v>172</v>
      </c>
      <c r="E607" t="s">
        <v>1079</v>
      </c>
      <c r="F607" s="4">
        <v>19.170914</v>
      </c>
      <c r="G607">
        <v>72.943690699999905</v>
      </c>
      <c r="H607">
        <f t="shared" si="45"/>
        <v>739.6</v>
      </c>
      <c r="I607" s="4">
        <f t="shared" si="46"/>
        <v>4300</v>
      </c>
      <c r="J607" s="6">
        <f t="shared" si="47"/>
        <v>350</v>
      </c>
      <c r="K607" s="6">
        <f t="shared" si="48"/>
        <v>1505000</v>
      </c>
      <c r="L607" s="3" t="str">
        <f t="shared" si="49"/>
        <v>Popular</v>
      </c>
    </row>
    <row r="608" spans="1:12">
      <c r="A608" t="s">
        <v>1070</v>
      </c>
      <c r="B608" t="s">
        <v>1080</v>
      </c>
      <c r="C608" s="4">
        <v>4.5999999999999996</v>
      </c>
      <c r="D608" s="4">
        <v>354</v>
      </c>
      <c r="E608" t="s">
        <v>1081</v>
      </c>
      <c r="F608" s="4">
        <v>19.172840000000001</v>
      </c>
      <c r="G608">
        <v>72.9555194</v>
      </c>
      <c r="H608">
        <f t="shared" si="45"/>
        <v>1628.3999999999999</v>
      </c>
      <c r="I608" s="4">
        <f t="shared" si="46"/>
        <v>8850</v>
      </c>
      <c r="J608" s="6">
        <f t="shared" si="47"/>
        <v>450</v>
      </c>
      <c r="K608" s="6">
        <f t="shared" si="48"/>
        <v>3982500</v>
      </c>
      <c r="L608" s="3" t="str">
        <f t="shared" si="49"/>
        <v>Premium</v>
      </c>
    </row>
    <row r="609" spans="1:12">
      <c r="A609" t="s">
        <v>1070</v>
      </c>
      <c r="B609" t="s">
        <v>1082</v>
      </c>
      <c r="C609" s="4">
        <v>4.3</v>
      </c>
      <c r="D609" s="4">
        <v>256</v>
      </c>
      <c r="E609" t="s">
        <v>1083</v>
      </c>
      <c r="F609" s="4">
        <v>19.175584400000002</v>
      </c>
      <c r="G609">
        <v>72.943590499999999</v>
      </c>
      <c r="H609">
        <f t="shared" si="45"/>
        <v>1100.8</v>
      </c>
      <c r="I609" s="4">
        <f t="shared" si="46"/>
        <v>6400</v>
      </c>
      <c r="J609" s="6">
        <f t="shared" si="47"/>
        <v>350</v>
      </c>
      <c r="K609" s="6">
        <f t="shared" si="48"/>
        <v>2240000</v>
      </c>
      <c r="L609" s="3" t="str">
        <f t="shared" si="49"/>
        <v>Popular</v>
      </c>
    </row>
    <row r="610" spans="1:12">
      <c r="A610" t="s">
        <v>1070</v>
      </c>
      <c r="B610" t="s">
        <v>1084</v>
      </c>
      <c r="C610" s="4">
        <v>4</v>
      </c>
      <c r="D610" s="4">
        <v>1374</v>
      </c>
      <c r="E610" t="s">
        <v>1085</v>
      </c>
      <c r="F610" s="4">
        <v>19.174410999999999</v>
      </c>
      <c r="G610">
        <v>72.958136999999994</v>
      </c>
      <c r="H610">
        <f t="shared" si="45"/>
        <v>5496</v>
      </c>
      <c r="I610" s="4">
        <f t="shared" si="46"/>
        <v>34350</v>
      </c>
      <c r="J610" s="6">
        <f t="shared" si="47"/>
        <v>350</v>
      </c>
      <c r="K610" s="6">
        <f t="shared" si="48"/>
        <v>12022500</v>
      </c>
      <c r="L610" s="3" t="str">
        <f t="shared" si="49"/>
        <v>Popular</v>
      </c>
    </row>
    <row r="611" spans="1:12">
      <c r="A611" t="s">
        <v>1070</v>
      </c>
      <c r="B611" t="s">
        <v>1086</v>
      </c>
      <c r="C611" s="4">
        <v>4.4000000000000004</v>
      </c>
      <c r="D611" s="4">
        <v>1585</v>
      </c>
      <c r="E611" t="s">
        <v>1087</v>
      </c>
      <c r="F611" s="4">
        <v>19.1755423</v>
      </c>
      <c r="G611">
        <v>72.943579299999996</v>
      </c>
      <c r="H611">
        <f t="shared" si="45"/>
        <v>6974.0000000000009</v>
      </c>
      <c r="I611" s="4">
        <f t="shared" si="46"/>
        <v>39625</v>
      </c>
      <c r="J611" s="6">
        <f t="shared" si="47"/>
        <v>450</v>
      </c>
      <c r="K611" s="6">
        <f t="shared" si="48"/>
        <v>17831250</v>
      </c>
      <c r="L611" s="3" t="str">
        <f t="shared" si="49"/>
        <v>Popular</v>
      </c>
    </row>
    <row r="612" spans="1:12">
      <c r="A612" t="s">
        <v>1070</v>
      </c>
      <c r="B612" t="s">
        <v>1088</v>
      </c>
      <c r="C612" s="4">
        <v>4.0999999999999996</v>
      </c>
      <c r="D612" s="4">
        <v>7458</v>
      </c>
      <c r="E612" t="s">
        <v>1089</v>
      </c>
      <c r="F612" s="4">
        <v>19.161836600000001</v>
      </c>
      <c r="G612">
        <v>72.944497699999999</v>
      </c>
      <c r="H612">
        <f t="shared" si="45"/>
        <v>30577.799999999996</v>
      </c>
      <c r="I612" s="4">
        <f t="shared" si="46"/>
        <v>186450</v>
      </c>
      <c r="J612" s="6">
        <f t="shared" si="47"/>
        <v>350</v>
      </c>
      <c r="K612" s="6">
        <f t="shared" si="48"/>
        <v>65257500</v>
      </c>
      <c r="L612" s="3" t="str">
        <f t="shared" si="49"/>
        <v>Popular</v>
      </c>
    </row>
    <row r="613" spans="1:12">
      <c r="A613" t="s">
        <v>1070</v>
      </c>
      <c r="B613" t="s">
        <v>1090</v>
      </c>
      <c r="C613" s="4">
        <v>4.5999999999999996</v>
      </c>
      <c r="D613" s="4">
        <v>58</v>
      </c>
      <c r="E613" t="s">
        <v>1091</v>
      </c>
      <c r="F613" s="4">
        <v>19.159941</v>
      </c>
      <c r="G613">
        <v>72.945495999999906</v>
      </c>
      <c r="H613">
        <f t="shared" si="45"/>
        <v>266.79999999999995</v>
      </c>
      <c r="I613" s="4">
        <f t="shared" si="46"/>
        <v>1450</v>
      </c>
      <c r="J613" s="6">
        <f t="shared" si="47"/>
        <v>450</v>
      </c>
      <c r="K613" s="6">
        <f t="shared" si="48"/>
        <v>652500</v>
      </c>
      <c r="L613" s="3" t="str">
        <f t="shared" si="49"/>
        <v>Premium</v>
      </c>
    </row>
    <row r="614" spans="1:12">
      <c r="A614" t="s">
        <v>1070</v>
      </c>
      <c r="B614" t="s">
        <v>1092</v>
      </c>
      <c r="C614" s="4">
        <v>4.4000000000000004</v>
      </c>
      <c r="D614" s="4">
        <v>266</v>
      </c>
      <c r="E614" t="s">
        <v>1093</v>
      </c>
      <c r="F614" s="4">
        <v>19.176824199999999</v>
      </c>
      <c r="G614">
        <v>72.951477499999996</v>
      </c>
      <c r="H614">
        <f t="shared" si="45"/>
        <v>1170.4000000000001</v>
      </c>
      <c r="I614" s="4">
        <f t="shared" si="46"/>
        <v>6650</v>
      </c>
      <c r="J614" s="6">
        <f t="shared" si="47"/>
        <v>450</v>
      </c>
      <c r="K614" s="6">
        <f t="shared" si="48"/>
        <v>2992500</v>
      </c>
      <c r="L614" s="3" t="str">
        <f t="shared" si="49"/>
        <v>Popular</v>
      </c>
    </row>
    <row r="615" spans="1:12">
      <c r="A615" t="s">
        <v>1070</v>
      </c>
      <c r="B615" t="s">
        <v>1094</v>
      </c>
      <c r="C615" s="4">
        <v>4.2</v>
      </c>
      <c r="D615" s="4">
        <v>160</v>
      </c>
      <c r="E615" t="s">
        <v>1095</v>
      </c>
      <c r="F615" s="4">
        <v>19.181168499999998</v>
      </c>
      <c r="G615">
        <v>72.940707399999994</v>
      </c>
      <c r="H615">
        <f t="shared" si="45"/>
        <v>672</v>
      </c>
      <c r="I615" s="4">
        <f t="shared" si="46"/>
        <v>4000</v>
      </c>
      <c r="J615" s="6">
        <f t="shared" si="47"/>
        <v>350</v>
      </c>
      <c r="K615" s="6">
        <f t="shared" si="48"/>
        <v>1400000</v>
      </c>
      <c r="L615" s="3" t="str">
        <f t="shared" si="49"/>
        <v>Popular</v>
      </c>
    </row>
    <row r="616" spans="1:12">
      <c r="A616" t="s">
        <v>1070</v>
      </c>
      <c r="B616" t="s">
        <v>1096</v>
      </c>
      <c r="C616" s="4">
        <v>4.3</v>
      </c>
      <c r="D616" s="4">
        <v>151</v>
      </c>
      <c r="E616" t="s">
        <v>1097</v>
      </c>
      <c r="F616" s="4">
        <v>19.180487299999999</v>
      </c>
      <c r="G616">
        <v>72.940049500000001</v>
      </c>
      <c r="H616">
        <f t="shared" si="45"/>
        <v>649.29999999999995</v>
      </c>
      <c r="I616" s="4">
        <f t="shared" si="46"/>
        <v>3775</v>
      </c>
      <c r="J616" s="6">
        <f t="shared" si="47"/>
        <v>350</v>
      </c>
      <c r="K616" s="6">
        <f t="shared" si="48"/>
        <v>1321250</v>
      </c>
      <c r="L616" s="3" t="str">
        <f t="shared" si="49"/>
        <v>Popular</v>
      </c>
    </row>
    <row r="617" spans="1:12">
      <c r="A617" t="s">
        <v>1070</v>
      </c>
      <c r="B617" t="s">
        <v>1098</v>
      </c>
      <c r="C617" s="4">
        <v>4.5</v>
      </c>
      <c r="D617" s="4">
        <v>155</v>
      </c>
      <c r="E617" t="s">
        <v>1099</v>
      </c>
      <c r="F617" s="4">
        <v>19.180924300000001</v>
      </c>
      <c r="G617">
        <v>72.93974</v>
      </c>
      <c r="H617">
        <f t="shared" si="45"/>
        <v>697.5</v>
      </c>
      <c r="I617" s="4">
        <f t="shared" si="46"/>
        <v>3875</v>
      </c>
      <c r="J617" s="6">
        <f t="shared" si="47"/>
        <v>450</v>
      </c>
      <c r="K617" s="6">
        <f t="shared" si="48"/>
        <v>1743750</v>
      </c>
      <c r="L617" s="3" t="str">
        <f t="shared" si="49"/>
        <v>Premium</v>
      </c>
    </row>
    <row r="618" spans="1:12">
      <c r="A618" t="s">
        <v>1070</v>
      </c>
      <c r="B618" t="s">
        <v>288</v>
      </c>
      <c r="C618" s="4">
        <v>4.3</v>
      </c>
      <c r="D618" s="4">
        <v>1501</v>
      </c>
      <c r="E618" t="s">
        <v>1100</v>
      </c>
      <c r="F618" s="4">
        <v>19.168358999999999</v>
      </c>
      <c r="G618">
        <v>72.960910499999997</v>
      </c>
      <c r="H618">
        <f t="shared" si="45"/>
        <v>6454.3</v>
      </c>
      <c r="I618" s="4">
        <f t="shared" si="46"/>
        <v>37525</v>
      </c>
      <c r="J618" s="6">
        <f t="shared" si="47"/>
        <v>350</v>
      </c>
      <c r="K618" s="6">
        <f t="shared" si="48"/>
        <v>13133750</v>
      </c>
      <c r="L618" s="3" t="str">
        <f t="shared" si="49"/>
        <v>Popular</v>
      </c>
    </row>
    <row r="619" spans="1:12">
      <c r="A619" t="s">
        <v>1070</v>
      </c>
      <c r="B619" t="s">
        <v>123</v>
      </c>
      <c r="C619" s="4">
        <v>4.5</v>
      </c>
      <c r="D619" s="4">
        <v>66</v>
      </c>
      <c r="E619" t="s">
        <v>1101</v>
      </c>
      <c r="F619" s="4">
        <v>19.181123599999999</v>
      </c>
      <c r="G619">
        <v>72.940634500000002</v>
      </c>
      <c r="H619">
        <f t="shared" si="45"/>
        <v>297</v>
      </c>
      <c r="I619" s="4">
        <f t="shared" si="46"/>
        <v>1650</v>
      </c>
      <c r="J619" s="6">
        <f t="shared" si="47"/>
        <v>450</v>
      </c>
      <c r="K619" s="6">
        <f t="shared" si="48"/>
        <v>742500</v>
      </c>
      <c r="L619" s="3" t="str">
        <f t="shared" si="49"/>
        <v>Premium</v>
      </c>
    </row>
    <row r="620" spans="1:12">
      <c r="A620" t="s">
        <v>1070</v>
      </c>
      <c r="B620" t="s">
        <v>1102</v>
      </c>
      <c r="C620" s="4">
        <v>4.5999999999999996</v>
      </c>
      <c r="D620" s="4">
        <v>193</v>
      </c>
      <c r="E620" t="s">
        <v>1103</v>
      </c>
      <c r="F620" s="4">
        <v>19.170770999999998</v>
      </c>
      <c r="G620">
        <v>72.947432499999906</v>
      </c>
      <c r="H620">
        <f t="shared" si="45"/>
        <v>887.8</v>
      </c>
      <c r="I620" s="4">
        <f t="shared" si="46"/>
        <v>4825</v>
      </c>
      <c r="J620" s="6">
        <f t="shared" si="47"/>
        <v>450</v>
      </c>
      <c r="K620" s="6">
        <f t="shared" si="48"/>
        <v>2171250</v>
      </c>
      <c r="L620" s="3" t="str">
        <f t="shared" si="49"/>
        <v>Premium</v>
      </c>
    </row>
    <row r="621" spans="1:12">
      <c r="A621" t="s">
        <v>1070</v>
      </c>
      <c r="B621" t="s">
        <v>1104</v>
      </c>
      <c r="C621" s="4">
        <v>4.4000000000000004</v>
      </c>
      <c r="D621" s="4">
        <v>119</v>
      </c>
      <c r="E621" t="s">
        <v>1105</v>
      </c>
      <c r="F621" s="4">
        <v>19.1808397</v>
      </c>
      <c r="G621">
        <v>72.939138999999997</v>
      </c>
      <c r="H621">
        <f t="shared" si="45"/>
        <v>523.6</v>
      </c>
      <c r="I621" s="4">
        <f t="shared" si="46"/>
        <v>2975</v>
      </c>
      <c r="J621" s="6">
        <f t="shared" si="47"/>
        <v>450</v>
      </c>
      <c r="K621" s="6">
        <f t="shared" si="48"/>
        <v>1338750</v>
      </c>
      <c r="L621" s="3" t="str">
        <f t="shared" si="49"/>
        <v>Popular</v>
      </c>
    </row>
    <row r="622" spans="1:12">
      <c r="A622" t="s">
        <v>1070</v>
      </c>
      <c r="B622" t="s">
        <v>1106</v>
      </c>
      <c r="C622" s="4">
        <v>4.7</v>
      </c>
      <c r="D622" s="4">
        <v>167</v>
      </c>
      <c r="E622" t="s">
        <v>1107</v>
      </c>
      <c r="F622" s="4">
        <v>19.173580600000001</v>
      </c>
      <c r="G622">
        <v>72.956178999999906</v>
      </c>
      <c r="H622">
        <f t="shared" si="45"/>
        <v>784.9</v>
      </c>
      <c r="I622" s="4">
        <f t="shared" si="46"/>
        <v>4175</v>
      </c>
      <c r="J622" s="6">
        <f t="shared" si="47"/>
        <v>550</v>
      </c>
      <c r="K622" s="6">
        <f t="shared" si="48"/>
        <v>2296250</v>
      </c>
      <c r="L622" s="3" t="str">
        <f t="shared" si="49"/>
        <v>Premium</v>
      </c>
    </row>
    <row r="623" spans="1:12">
      <c r="A623" t="s">
        <v>1070</v>
      </c>
      <c r="B623" t="s">
        <v>1108</v>
      </c>
      <c r="C623" s="4">
        <v>4.3</v>
      </c>
      <c r="D623" s="4">
        <v>5101</v>
      </c>
      <c r="E623" t="s">
        <v>1109</v>
      </c>
      <c r="F623" s="4">
        <v>19.183812100000001</v>
      </c>
      <c r="G623">
        <v>72.951226599999998</v>
      </c>
      <c r="H623">
        <f t="shared" si="45"/>
        <v>21934.3</v>
      </c>
      <c r="I623" s="4">
        <f t="shared" si="46"/>
        <v>127525</v>
      </c>
      <c r="J623" s="6">
        <f t="shared" si="47"/>
        <v>350</v>
      </c>
      <c r="K623" s="6">
        <f t="shared" si="48"/>
        <v>44633750</v>
      </c>
      <c r="L623" s="3" t="str">
        <f t="shared" si="49"/>
        <v>Popular</v>
      </c>
    </row>
    <row r="624" spans="1:12">
      <c r="A624" t="s">
        <v>1070</v>
      </c>
      <c r="B624" t="s">
        <v>1110</v>
      </c>
      <c r="C624" s="4">
        <v>4.2</v>
      </c>
      <c r="D624" s="4">
        <v>779</v>
      </c>
      <c r="E624" t="s">
        <v>1111</v>
      </c>
      <c r="F624" s="4">
        <v>19.1781215</v>
      </c>
      <c r="G624">
        <v>72.94426</v>
      </c>
      <c r="H624">
        <f t="shared" si="45"/>
        <v>3271.8</v>
      </c>
      <c r="I624" s="4">
        <f t="shared" si="46"/>
        <v>19475</v>
      </c>
      <c r="J624" s="6">
        <f t="shared" si="47"/>
        <v>350</v>
      </c>
      <c r="K624" s="6">
        <f t="shared" si="48"/>
        <v>6816250</v>
      </c>
      <c r="L624" s="3" t="str">
        <f t="shared" si="49"/>
        <v>Popular</v>
      </c>
    </row>
    <row r="625" spans="1:12">
      <c r="A625" t="s">
        <v>1070</v>
      </c>
      <c r="B625" t="s">
        <v>1112</v>
      </c>
      <c r="C625" s="4">
        <v>4.7</v>
      </c>
      <c r="D625" s="4">
        <v>1000</v>
      </c>
      <c r="E625" t="s">
        <v>1113</v>
      </c>
      <c r="F625" s="4">
        <v>19.164312299999999</v>
      </c>
      <c r="G625">
        <v>72.937183699999906</v>
      </c>
      <c r="H625">
        <f t="shared" si="45"/>
        <v>4700</v>
      </c>
      <c r="I625" s="4">
        <f t="shared" si="46"/>
        <v>25000</v>
      </c>
      <c r="J625" s="6">
        <f t="shared" si="47"/>
        <v>550</v>
      </c>
      <c r="K625" s="6">
        <f t="shared" si="48"/>
        <v>13750000</v>
      </c>
      <c r="L625" s="3" t="str">
        <f t="shared" si="49"/>
        <v>Premium</v>
      </c>
    </row>
    <row r="626" spans="1:12">
      <c r="A626" t="s">
        <v>1070</v>
      </c>
      <c r="B626" t="s">
        <v>1114</v>
      </c>
      <c r="C626" s="4">
        <v>4.3</v>
      </c>
      <c r="D626" s="4">
        <v>3221</v>
      </c>
      <c r="E626" t="s">
        <v>1115</v>
      </c>
      <c r="F626" s="4">
        <v>19.1714503</v>
      </c>
      <c r="G626">
        <v>72.943235599999994</v>
      </c>
      <c r="H626">
        <f t="shared" si="45"/>
        <v>13850.3</v>
      </c>
      <c r="I626" s="4">
        <f t="shared" si="46"/>
        <v>80525</v>
      </c>
      <c r="J626" s="6">
        <f t="shared" si="47"/>
        <v>350</v>
      </c>
      <c r="K626" s="6">
        <f t="shared" si="48"/>
        <v>28183750</v>
      </c>
      <c r="L626" s="3" t="str">
        <f t="shared" si="49"/>
        <v>Popular</v>
      </c>
    </row>
    <row r="627" spans="1:12">
      <c r="A627" t="s">
        <v>1070</v>
      </c>
      <c r="B627" t="s">
        <v>1086</v>
      </c>
      <c r="C627" s="4">
        <v>4.0999999999999996</v>
      </c>
      <c r="D627" s="4">
        <v>226</v>
      </c>
      <c r="E627" t="s">
        <v>1116</v>
      </c>
      <c r="F627" s="4">
        <v>19.166946100000001</v>
      </c>
      <c r="G627">
        <v>72.960529299999905</v>
      </c>
      <c r="H627">
        <f t="shared" si="45"/>
        <v>926.59999999999991</v>
      </c>
      <c r="I627" s="4">
        <f t="shared" si="46"/>
        <v>5650</v>
      </c>
      <c r="J627" s="6">
        <f t="shared" si="47"/>
        <v>350</v>
      </c>
      <c r="K627" s="6">
        <f t="shared" si="48"/>
        <v>1977500</v>
      </c>
      <c r="L627" s="3" t="str">
        <f t="shared" si="49"/>
        <v>Popular</v>
      </c>
    </row>
    <row r="628" spans="1:12">
      <c r="A628" t="s">
        <v>1070</v>
      </c>
      <c r="B628" t="s">
        <v>1117</v>
      </c>
      <c r="C628" s="4">
        <v>4.0999999999999996</v>
      </c>
      <c r="D628" s="4">
        <v>324</v>
      </c>
      <c r="E628" t="s">
        <v>1118</v>
      </c>
      <c r="F628" s="4">
        <v>19.1607719</v>
      </c>
      <c r="G628">
        <v>72.945395899999994</v>
      </c>
      <c r="H628">
        <f t="shared" si="45"/>
        <v>1328.3999999999999</v>
      </c>
      <c r="I628" s="4">
        <f t="shared" si="46"/>
        <v>8100</v>
      </c>
      <c r="J628" s="6">
        <f t="shared" si="47"/>
        <v>350</v>
      </c>
      <c r="K628" s="6">
        <f t="shared" si="48"/>
        <v>2835000</v>
      </c>
      <c r="L628" s="3" t="str">
        <f t="shared" si="49"/>
        <v>Popular</v>
      </c>
    </row>
    <row r="629" spans="1:12">
      <c r="A629" t="s">
        <v>1070</v>
      </c>
      <c r="B629" t="s">
        <v>1119</v>
      </c>
      <c r="C629" s="4">
        <v>4.2</v>
      </c>
      <c r="D629" s="4">
        <v>719</v>
      </c>
      <c r="E629" t="s">
        <v>1120</v>
      </c>
      <c r="F629" s="4">
        <v>19.170562</v>
      </c>
      <c r="G629">
        <v>72.942765199999997</v>
      </c>
      <c r="H629">
        <f t="shared" si="45"/>
        <v>3019.8</v>
      </c>
      <c r="I629" s="4">
        <f t="shared" si="46"/>
        <v>17975</v>
      </c>
      <c r="J629" s="6">
        <f t="shared" si="47"/>
        <v>350</v>
      </c>
      <c r="K629" s="6">
        <f t="shared" si="48"/>
        <v>6291250</v>
      </c>
      <c r="L629" s="3" t="str">
        <f t="shared" si="49"/>
        <v>Popular</v>
      </c>
    </row>
    <row r="630" spans="1:12">
      <c r="A630" t="s">
        <v>1070</v>
      </c>
      <c r="B630" t="s">
        <v>1121</v>
      </c>
      <c r="C630" s="4">
        <v>4.5999999999999996</v>
      </c>
      <c r="D630" s="4">
        <v>123</v>
      </c>
      <c r="E630" t="s">
        <v>1122</v>
      </c>
      <c r="F630" s="4">
        <v>19.180570299999999</v>
      </c>
      <c r="G630">
        <v>72.9400531</v>
      </c>
      <c r="H630">
        <f t="shared" si="45"/>
        <v>565.79999999999995</v>
      </c>
      <c r="I630" s="4">
        <f t="shared" si="46"/>
        <v>3075</v>
      </c>
      <c r="J630" s="6">
        <f t="shared" si="47"/>
        <v>450</v>
      </c>
      <c r="K630" s="6">
        <f t="shared" si="48"/>
        <v>1383750</v>
      </c>
      <c r="L630" s="3" t="str">
        <f t="shared" si="49"/>
        <v>Premium</v>
      </c>
    </row>
    <row r="631" spans="1:12">
      <c r="A631" t="s">
        <v>1070</v>
      </c>
      <c r="B631" t="s">
        <v>1123</v>
      </c>
      <c r="C631" s="4">
        <v>4.3</v>
      </c>
      <c r="D631" s="4">
        <v>53</v>
      </c>
      <c r="E631" t="s">
        <v>1124</v>
      </c>
      <c r="F631" s="4">
        <v>19.183879099999999</v>
      </c>
      <c r="G631">
        <v>72.951723299999998</v>
      </c>
      <c r="H631">
        <f t="shared" si="45"/>
        <v>227.89999999999998</v>
      </c>
      <c r="I631" s="4">
        <f t="shared" si="46"/>
        <v>1325</v>
      </c>
      <c r="J631" s="6">
        <f t="shared" si="47"/>
        <v>350</v>
      </c>
      <c r="K631" s="6">
        <f t="shared" si="48"/>
        <v>463750</v>
      </c>
      <c r="L631" s="3" t="str">
        <f t="shared" si="49"/>
        <v>Popular</v>
      </c>
    </row>
    <row r="632" spans="1:12">
      <c r="A632" t="s">
        <v>1070</v>
      </c>
      <c r="B632" t="s">
        <v>1125</v>
      </c>
      <c r="C632" s="4">
        <v>4</v>
      </c>
      <c r="D632" s="4">
        <v>1061</v>
      </c>
      <c r="E632" t="s">
        <v>1126</v>
      </c>
      <c r="F632" s="4">
        <v>19.161019599999999</v>
      </c>
      <c r="G632">
        <v>72.944760700000003</v>
      </c>
      <c r="H632">
        <f t="shared" si="45"/>
        <v>4244</v>
      </c>
      <c r="I632" s="4">
        <f t="shared" si="46"/>
        <v>26525</v>
      </c>
      <c r="J632" s="6">
        <f t="shared" si="47"/>
        <v>350</v>
      </c>
      <c r="K632" s="6">
        <f t="shared" si="48"/>
        <v>9283750</v>
      </c>
      <c r="L632" s="3" t="str">
        <f t="shared" si="49"/>
        <v>Popular</v>
      </c>
    </row>
    <row r="633" spans="1:12">
      <c r="A633" t="s">
        <v>1070</v>
      </c>
      <c r="B633" t="s">
        <v>1127</v>
      </c>
      <c r="C633" s="4">
        <v>4.3</v>
      </c>
      <c r="D633" s="4">
        <v>2196</v>
      </c>
      <c r="E633" t="s">
        <v>1128</v>
      </c>
      <c r="F633" s="4">
        <v>19.175779599999998</v>
      </c>
      <c r="G633">
        <v>72.951496899999995</v>
      </c>
      <c r="H633">
        <f t="shared" si="45"/>
        <v>9442.7999999999993</v>
      </c>
      <c r="I633" s="4">
        <f t="shared" si="46"/>
        <v>54900</v>
      </c>
      <c r="J633" s="6">
        <f t="shared" si="47"/>
        <v>350</v>
      </c>
      <c r="K633" s="6">
        <f t="shared" si="48"/>
        <v>19215000</v>
      </c>
      <c r="L633" s="3" t="str">
        <f t="shared" si="49"/>
        <v>Popular</v>
      </c>
    </row>
    <row r="634" spans="1:12">
      <c r="A634" t="s">
        <v>1070</v>
      </c>
      <c r="B634" t="s">
        <v>1129</v>
      </c>
      <c r="C634" s="4">
        <v>4.4000000000000004</v>
      </c>
      <c r="D634" s="4">
        <v>1856</v>
      </c>
      <c r="E634" t="s">
        <v>1130</v>
      </c>
      <c r="F634" s="4">
        <v>19.1719714</v>
      </c>
      <c r="G634">
        <v>72.941849399999995</v>
      </c>
      <c r="H634">
        <f t="shared" si="45"/>
        <v>8166.4000000000005</v>
      </c>
      <c r="I634" s="4">
        <f t="shared" si="46"/>
        <v>46400</v>
      </c>
      <c r="J634" s="6">
        <f t="shared" si="47"/>
        <v>450</v>
      </c>
      <c r="K634" s="6">
        <f t="shared" si="48"/>
        <v>20880000</v>
      </c>
      <c r="L634" s="3" t="str">
        <f t="shared" si="49"/>
        <v>Popular</v>
      </c>
    </row>
    <row r="635" spans="1:12">
      <c r="A635" t="s">
        <v>1070</v>
      </c>
      <c r="B635" t="s">
        <v>1131</v>
      </c>
      <c r="C635" s="4">
        <v>3.9</v>
      </c>
      <c r="D635" s="4">
        <v>769</v>
      </c>
      <c r="E635" t="s">
        <v>1132</v>
      </c>
      <c r="F635" s="4">
        <v>19.174689900000001</v>
      </c>
      <c r="G635">
        <v>72.965934899999993</v>
      </c>
      <c r="H635">
        <f t="shared" si="45"/>
        <v>2999.1</v>
      </c>
      <c r="I635" s="4">
        <f t="shared" si="46"/>
        <v>19225</v>
      </c>
      <c r="J635" s="6">
        <f t="shared" si="47"/>
        <v>350</v>
      </c>
      <c r="K635" s="6">
        <f t="shared" si="48"/>
        <v>6728750</v>
      </c>
      <c r="L635" s="3" t="str">
        <f t="shared" si="49"/>
        <v>Average</v>
      </c>
    </row>
    <row r="636" spans="1:12">
      <c r="A636" t="s">
        <v>1070</v>
      </c>
      <c r="B636" t="s">
        <v>190</v>
      </c>
      <c r="C636" s="4">
        <v>4</v>
      </c>
      <c r="D636" s="4">
        <v>160</v>
      </c>
      <c r="E636" t="s">
        <v>1133</v>
      </c>
      <c r="F636" s="4">
        <v>19.160776899999998</v>
      </c>
      <c r="G636">
        <v>72.945376400000001</v>
      </c>
      <c r="H636">
        <f t="shared" si="45"/>
        <v>640</v>
      </c>
      <c r="I636" s="4">
        <f t="shared" si="46"/>
        <v>4000</v>
      </c>
      <c r="J636" s="6">
        <f t="shared" si="47"/>
        <v>350</v>
      </c>
      <c r="K636" s="6">
        <f t="shared" si="48"/>
        <v>1400000</v>
      </c>
      <c r="L636" s="3" t="str">
        <f t="shared" si="49"/>
        <v>Popular</v>
      </c>
    </row>
    <row r="637" spans="1:12">
      <c r="A637" t="s">
        <v>1070</v>
      </c>
      <c r="B637" t="s">
        <v>1134</v>
      </c>
      <c r="C637" s="4">
        <v>4.2</v>
      </c>
      <c r="D637" s="4">
        <v>1621</v>
      </c>
      <c r="E637" t="s">
        <v>1135</v>
      </c>
      <c r="F637" s="4">
        <v>19.1763105</v>
      </c>
      <c r="G637">
        <v>72.951663699999997</v>
      </c>
      <c r="H637">
        <f t="shared" si="45"/>
        <v>6808.2000000000007</v>
      </c>
      <c r="I637" s="4">
        <f t="shared" si="46"/>
        <v>40525</v>
      </c>
      <c r="J637" s="6">
        <f t="shared" si="47"/>
        <v>350</v>
      </c>
      <c r="K637" s="6">
        <f t="shared" si="48"/>
        <v>14183750</v>
      </c>
      <c r="L637" s="3" t="str">
        <f t="shared" si="49"/>
        <v>Popular</v>
      </c>
    </row>
    <row r="638" spans="1:12">
      <c r="A638" t="s">
        <v>1070</v>
      </c>
      <c r="B638" t="s">
        <v>140</v>
      </c>
      <c r="C638" s="4">
        <v>3.9</v>
      </c>
      <c r="D638" s="4">
        <v>703</v>
      </c>
      <c r="E638" t="s">
        <v>1136</v>
      </c>
      <c r="F638" s="4">
        <v>19.167837299999999</v>
      </c>
      <c r="G638">
        <v>72.9610062</v>
      </c>
      <c r="H638">
        <f t="shared" si="45"/>
        <v>2741.7</v>
      </c>
      <c r="I638" s="4">
        <f t="shared" si="46"/>
        <v>17575</v>
      </c>
      <c r="J638" s="6">
        <f t="shared" si="47"/>
        <v>350</v>
      </c>
      <c r="K638" s="6">
        <f t="shared" si="48"/>
        <v>6151250</v>
      </c>
      <c r="L638" s="3" t="str">
        <f t="shared" si="49"/>
        <v>Average</v>
      </c>
    </row>
    <row r="639" spans="1:12">
      <c r="A639" t="s">
        <v>1070</v>
      </c>
      <c r="B639" t="s">
        <v>1137</v>
      </c>
      <c r="C639" s="4">
        <v>5</v>
      </c>
      <c r="D639" s="4">
        <v>12</v>
      </c>
      <c r="E639" t="s">
        <v>1138</v>
      </c>
      <c r="F639" s="4">
        <v>19.165175300000001</v>
      </c>
      <c r="G639">
        <v>72.958810599999893</v>
      </c>
      <c r="H639">
        <f t="shared" si="45"/>
        <v>60</v>
      </c>
      <c r="I639" s="4">
        <f t="shared" si="46"/>
        <v>300</v>
      </c>
      <c r="J639" s="6">
        <f t="shared" si="47"/>
        <v>550</v>
      </c>
      <c r="K639" s="6">
        <f t="shared" si="48"/>
        <v>165000</v>
      </c>
      <c r="L639" s="3" t="str">
        <f t="shared" si="49"/>
        <v>Premium</v>
      </c>
    </row>
    <row r="640" spans="1:12">
      <c r="A640" t="s">
        <v>1070</v>
      </c>
      <c r="B640" t="s">
        <v>1139</v>
      </c>
      <c r="C640" s="4">
        <v>4.7</v>
      </c>
      <c r="D640" s="4">
        <v>143</v>
      </c>
      <c r="E640" t="s">
        <v>1140</v>
      </c>
      <c r="F640" s="4">
        <v>19.1808403</v>
      </c>
      <c r="G640">
        <v>72.939138299999996</v>
      </c>
      <c r="H640">
        <f t="shared" si="45"/>
        <v>672.1</v>
      </c>
      <c r="I640" s="4">
        <f t="shared" si="46"/>
        <v>3575</v>
      </c>
      <c r="J640" s="6">
        <f t="shared" si="47"/>
        <v>550</v>
      </c>
      <c r="K640" s="6">
        <f t="shared" si="48"/>
        <v>1966250</v>
      </c>
      <c r="L640" s="3" t="str">
        <f t="shared" si="49"/>
        <v>Premium</v>
      </c>
    </row>
    <row r="641" spans="1:12">
      <c r="A641" t="s">
        <v>1070</v>
      </c>
      <c r="B641" t="s">
        <v>1141</v>
      </c>
      <c r="C641" s="4">
        <v>4.2</v>
      </c>
      <c r="D641" s="4">
        <v>3157</v>
      </c>
      <c r="E641" t="s">
        <v>1142</v>
      </c>
      <c r="F641" s="4">
        <v>19.1757122</v>
      </c>
      <c r="G641">
        <v>72.952114399999999</v>
      </c>
      <c r="H641">
        <f t="shared" si="45"/>
        <v>13259.400000000001</v>
      </c>
      <c r="I641" s="4">
        <f t="shared" si="46"/>
        <v>78925</v>
      </c>
      <c r="J641" s="6">
        <f t="shared" si="47"/>
        <v>350</v>
      </c>
      <c r="K641" s="6">
        <f t="shared" si="48"/>
        <v>27623750</v>
      </c>
      <c r="L641" s="3" t="str">
        <f t="shared" si="49"/>
        <v>Popular</v>
      </c>
    </row>
    <row r="642" spans="1:12">
      <c r="A642" t="s">
        <v>1070</v>
      </c>
      <c r="B642" t="s">
        <v>1143</v>
      </c>
      <c r="C642" s="4">
        <v>4.9000000000000004</v>
      </c>
      <c r="D642" s="4">
        <v>70</v>
      </c>
      <c r="E642" t="s">
        <v>1144</v>
      </c>
      <c r="F642" s="4">
        <v>19.164366999999999</v>
      </c>
      <c r="G642">
        <v>72.937244100000001</v>
      </c>
      <c r="H642">
        <f t="shared" ref="H642:H705" si="50">C642*D642</f>
        <v>343</v>
      </c>
      <c r="I642" s="4">
        <f t="shared" ref="I642:I705" si="51">D642*25</f>
        <v>1750</v>
      </c>
      <c r="J642" s="6">
        <f t="shared" ref="J642:J705" si="52">IF(C642&gt;=4.7,550,IF(C642&gt;=4.4,450,IF(C642&gt;=O644,350,250)))</f>
        <v>550</v>
      </c>
      <c r="K642" s="6">
        <f t="shared" ref="K642:K705" si="53">I642*J642</f>
        <v>962500</v>
      </c>
      <c r="L642" s="3" t="str">
        <f t="shared" ref="L642:L705" si="54">IF(C642&gt;=4.5,"Premium",IF(C642&gt;=4,"Popular","Average"))</f>
        <v>Premium</v>
      </c>
    </row>
    <row r="643" spans="1:12">
      <c r="A643" t="s">
        <v>1070</v>
      </c>
      <c r="B643" t="s">
        <v>1145</v>
      </c>
      <c r="C643" s="4">
        <v>3.8</v>
      </c>
      <c r="D643" s="4">
        <v>72</v>
      </c>
      <c r="E643" t="s">
        <v>1146</v>
      </c>
      <c r="F643" s="4">
        <v>19.159556299999998</v>
      </c>
      <c r="G643">
        <v>72.944882899999996</v>
      </c>
      <c r="H643">
        <f t="shared" si="50"/>
        <v>273.59999999999997</v>
      </c>
      <c r="I643" s="4">
        <f t="shared" si="51"/>
        <v>1800</v>
      </c>
      <c r="J643" s="6">
        <f t="shared" si="52"/>
        <v>350</v>
      </c>
      <c r="K643" s="6">
        <f t="shared" si="53"/>
        <v>630000</v>
      </c>
      <c r="L643" s="3" t="str">
        <f t="shared" si="54"/>
        <v>Average</v>
      </c>
    </row>
    <row r="644" spans="1:12">
      <c r="A644" t="s">
        <v>1070</v>
      </c>
      <c r="B644" t="s">
        <v>1147</v>
      </c>
      <c r="C644" s="4">
        <v>4.3</v>
      </c>
      <c r="D644" s="4">
        <v>50</v>
      </c>
      <c r="E644" t="s">
        <v>1148</v>
      </c>
      <c r="F644" s="4">
        <v>19.170681800000001</v>
      </c>
      <c r="G644">
        <v>72.956671399999905</v>
      </c>
      <c r="H644">
        <f t="shared" si="50"/>
        <v>215</v>
      </c>
      <c r="I644" s="4">
        <f t="shared" si="51"/>
        <v>1250</v>
      </c>
      <c r="J644" s="6">
        <f t="shared" si="52"/>
        <v>350</v>
      </c>
      <c r="K644" s="6">
        <f t="shared" si="53"/>
        <v>437500</v>
      </c>
      <c r="L644" s="3" t="str">
        <f t="shared" si="54"/>
        <v>Popular</v>
      </c>
    </row>
    <row r="645" spans="1:12">
      <c r="A645" t="s">
        <v>1070</v>
      </c>
      <c r="B645" t="s">
        <v>1149</v>
      </c>
      <c r="C645" s="4">
        <v>4.2</v>
      </c>
      <c r="D645" s="4">
        <v>848</v>
      </c>
      <c r="E645" t="s">
        <v>1150</v>
      </c>
      <c r="F645" s="4">
        <v>19.1719112</v>
      </c>
      <c r="G645">
        <v>72.941999999999993</v>
      </c>
      <c r="H645">
        <f t="shared" si="50"/>
        <v>3561.6000000000004</v>
      </c>
      <c r="I645" s="4">
        <f t="shared" si="51"/>
        <v>21200</v>
      </c>
      <c r="J645" s="6">
        <f t="shared" si="52"/>
        <v>350</v>
      </c>
      <c r="K645" s="6">
        <f t="shared" si="53"/>
        <v>7420000</v>
      </c>
      <c r="L645" s="3" t="str">
        <f t="shared" si="54"/>
        <v>Popular</v>
      </c>
    </row>
    <row r="646" spans="1:12">
      <c r="A646" t="s">
        <v>1070</v>
      </c>
      <c r="B646" t="s">
        <v>1020</v>
      </c>
      <c r="C646" s="4">
        <v>4.7</v>
      </c>
      <c r="D646" s="4">
        <v>99</v>
      </c>
      <c r="E646" t="s">
        <v>1151</v>
      </c>
      <c r="F646" s="4">
        <v>19.1722176</v>
      </c>
      <c r="G646">
        <v>72.962598399999905</v>
      </c>
      <c r="H646">
        <f t="shared" si="50"/>
        <v>465.3</v>
      </c>
      <c r="I646" s="4">
        <f t="shared" si="51"/>
        <v>2475</v>
      </c>
      <c r="J646" s="6">
        <f t="shared" si="52"/>
        <v>550</v>
      </c>
      <c r="K646" s="6">
        <f t="shared" si="53"/>
        <v>1361250</v>
      </c>
      <c r="L646" s="3" t="str">
        <f t="shared" si="54"/>
        <v>Premium</v>
      </c>
    </row>
    <row r="647" spans="1:12">
      <c r="A647" t="s">
        <v>1070</v>
      </c>
      <c r="B647" t="s">
        <v>1152</v>
      </c>
      <c r="C647" s="4">
        <v>4.4000000000000004</v>
      </c>
      <c r="D647" s="4">
        <v>845</v>
      </c>
      <c r="E647" t="s">
        <v>1153</v>
      </c>
      <c r="F647" s="4">
        <v>19.1687625</v>
      </c>
      <c r="G647">
        <v>72.946007799999904</v>
      </c>
      <c r="H647">
        <f t="shared" si="50"/>
        <v>3718.0000000000005</v>
      </c>
      <c r="I647" s="4">
        <f t="shared" si="51"/>
        <v>21125</v>
      </c>
      <c r="J647" s="6">
        <f t="shared" si="52"/>
        <v>450</v>
      </c>
      <c r="K647" s="6">
        <f t="shared" si="53"/>
        <v>9506250</v>
      </c>
      <c r="L647" s="3" t="str">
        <f t="shared" si="54"/>
        <v>Popular</v>
      </c>
    </row>
    <row r="648" spans="1:12">
      <c r="A648" t="s">
        <v>1070</v>
      </c>
      <c r="B648" t="s">
        <v>123</v>
      </c>
      <c r="C648" s="4">
        <v>4.4000000000000004</v>
      </c>
      <c r="D648" s="4">
        <v>2035</v>
      </c>
      <c r="E648" t="s">
        <v>1154</v>
      </c>
      <c r="F648" s="4">
        <v>19.161275</v>
      </c>
      <c r="G648">
        <v>72.944356999999997</v>
      </c>
      <c r="H648">
        <f t="shared" si="50"/>
        <v>8954</v>
      </c>
      <c r="I648" s="4">
        <f t="shared" si="51"/>
        <v>50875</v>
      </c>
      <c r="J648" s="6">
        <f t="shared" si="52"/>
        <v>450</v>
      </c>
      <c r="K648" s="6">
        <f t="shared" si="53"/>
        <v>22893750</v>
      </c>
      <c r="L648" s="3" t="str">
        <f t="shared" si="54"/>
        <v>Popular</v>
      </c>
    </row>
    <row r="649" spans="1:12">
      <c r="A649" t="s">
        <v>1070</v>
      </c>
      <c r="B649" t="s">
        <v>1155</v>
      </c>
      <c r="C649" s="4">
        <v>4.8</v>
      </c>
      <c r="D649" s="4">
        <v>522</v>
      </c>
      <c r="E649" t="s">
        <v>1156</v>
      </c>
      <c r="F649" s="4">
        <v>19.171229199999999</v>
      </c>
      <c r="G649">
        <v>72.933519599999997</v>
      </c>
      <c r="H649">
        <f t="shared" si="50"/>
        <v>2505.6</v>
      </c>
      <c r="I649" s="4">
        <f t="shared" si="51"/>
        <v>13050</v>
      </c>
      <c r="J649" s="6">
        <f t="shared" si="52"/>
        <v>550</v>
      </c>
      <c r="K649" s="6">
        <f t="shared" si="53"/>
        <v>7177500</v>
      </c>
      <c r="L649" s="3" t="str">
        <f t="shared" si="54"/>
        <v>Premium</v>
      </c>
    </row>
    <row r="650" spans="1:12">
      <c r="A650" t="s">
        <v>1070</v>
      </c>
      <c r="B650" t="s">
        <v>1157</v>
      </c>
      <c r="C650" s="4">
        <v>4.8</v>
      </c>
      <c r="D650" s="4">
        <v>143</v>
      </c>
      <c r="E650" t="s">
        <v>1158</v>
      </c>
      <c r="F650" s="4">
        <v>19.189578300000001</v>
      </c>
      <c r="G650">
        <v>72.945082900000003</v>
      </c>
      <c r="H650">
        <f t="shared" si="50"/>
        <v>686.4</v>
      </c>
      <c r="I650" s="4">
        <f t="shared" si="51"/>
        <v>3575</v>
      </c>
      <c r="J650" s="6">
        <f t="shared" si="52"/>
        <v>550</v>
      </c>
      <c r="K650" s="6">
        <f t="shared" si="53"/>
        <v>1966250</v>
      </c>
      <c r="L650" s="3" t="str">
        <f t="shared" si="54"/>
        <v>Premium</v>
      </c>
    </row>
    <row r="651" spans="1:12">
      <c r="A651" t="s">
        <v>1070</v>
      </c>
      <c r="B651" t="s">
        <v>1159</v>
      </c>
      <c r="C651" s="4">
        <v>4.5</v>
      </c>
      <c r="D651" s="4">
        <v>233</v>
      </c>
      <c r="E651" t="s">
        <v>1160</v>
      </c>
      <c r="F651" s="4">
        <v>19.1756879</v>
      </c>
      <c r="G651">
        <v>72.948129100000003</v>
      </c>
      <c r="H651">
        <f t="shared" si="50"/>
        <v>1048.5</v>
      </c>
      <c r="I651" s="4">
        <f t="shared" si="51"/>
        <v>5825</v>
      </c>
      <c r="J651" s="6">
        <f t="shared" si="52"/>
        <v>450</v>
      </c>
      <c r="K651" s="6">
        <f t="shared" si="53"/>
        <v>2621250</v>
      </c>
      <c r="L651" s="3" t="str">
        <f t="shared" si="54"/>
        <v>Premium</v>
      </c>
    </row>
    <row r="652" spans="1:12">
      <c r="A652" t="s">
        <v>1070</v>
      </c>
      <c r="B652" t="s">
        <v>1161</v>
      </c>
      <c r="C652" s="4">
        <v>4.5</v>
      </c>
      <c r="D652" s="4">
        <v>514</v>
      </c>
      <c r="E652" t="s">
        <v>1162</v>
      </c>
      <c r="F652" s="4">
        <v>19.191727199999999</v>
      </c>
      <c r="G652">
        <v>72.954816600000001</v>
      </c>
      <c r="H652">
        <f t="shared" si="50"/>
        <v>2313</v>
      </c>
      <c r="I652" s="4">
        <f t="shared" si="51"/>
        <v>12850</v>
      </c>
      <c r="J652" s="6">
        <f t="shared" si="52"/>
        <v>450</v>
      </c>
      <c r="K652" s="6">
        <f t="shared" si="53"/>
        <v>5782500</v>
      </c>
      <c r="L652" s="3" t="str">
        <f t="shared" si="54"/>
        <v>Premium</v>
      </c>
    </row>
    <row r="653" spans="1:12">
      <c r="A653" t="s">
        <v>1070</v>
      </c>
      <c r="B653" t="s">
        <v>1163</v>
      </c>
      <c r="C653" s="4">
        <v>4.0999999999999996</v>
      </c>
      <c r="D653" s="4">
        <v>2445</v>
      </c>
      <c r="E653" t="s">
        <v>1164</v>
      </c>
      <c r="F653" s="4">
        <v>19.1648526</v>
      </c>
      <c r="G653">
        <v>72.938122499999906</v>
      </c>
      <c r="H653">
        <f t="shared" si="50"/>
        <v>10024.5</v>
      </c>
      <c r="I653" s="4">
        <f t="shared" si="51"/>
        <v>61125</v>
      </c>
      <c r="J653" s="6">
        <f t="shared" si="52"/>
        <v>350</v>
      </c>
      <c r="K653" s="6">
        <f t="shared" si="53"/>
        <v>21393750</v>
      </c>
      <c r="L653" s="3" t="str">
        <f t="shared" si="54"/>
        <v>Popular</v>
      </c>
    </row>
    <row r="654" spans="1:12">
      <c r="A654" t="s">
        <v>1070</v>
      </c>
      <c r="B654" t="s">
        <v>1165</v>
      </c>
      <c r="C654" s="4">
        <v>4.4000000000000004</v>
      </c>
      <c r="D654" s="4">
        <v>19</v>
      </c>
      <c r="E654" t="s">
        <v>1166</v>
      </c>
      <c r="F654" s="4">
        <v>19.172131400000001</v>
      </c>
      <c r="G654">
        <v>72.950681700000004</v>
      </c>
      <c r="H654">
        <f t="shared" si="50"/>
        <v>83.600000000000009</v>
      </c>
      <c r="I654" s="4">
        <f t="shared" si="51"/>
        <v>475</v>
      </c>
      <c r="J654" s="6">
        <f t="shared" si="52"/>
        <v>450</v>
      </c>
      <c r="K654" s="6">
        <f t="shared" si="53"/>
        <v>213750</v>
      </c>
      <c r="L654" s="3" t="str">
        <f t="shared" si="54"/>
        <v>Popular</v>
      </c>
    </row>
    <row r="655" spans="1:12">
      <c r="A655" t="s">
        <v>1070</v>
      </c>
      <c r="B655" t="s">
        <v>1167</v>
      </c>
      <c r="C655" s="4">
        <v>4.9000000000000004</v>
      </c>
      <c r="D655" s="4">
        <v>15</v>
      </c>
      <c r="E655" t="s">
        <v>1168</v>
      </c>
      <c r="F655" s="4">
        <v>19.1731601</v>
      </c>
      <c r="G655">
        <v>72.949538699999906</v>
      </c>
      <c r="H655">
        <f t="shared" si="50"/>
        <v>73.5</v>
      </c>
      <c r="I655" s="4">
        <f t="shared" si="51"/>
        <v>375</v>
      </c>
      <c r="J655" s="6">
        <f t="shared" si="52"/>
        <v>550</v>
      </c>
      <c r="K655" s="6">
        <f t="shared" si="53"/>
        <v>206250</v>
      </c>
      <c r="L655" s="3" t="str">
        <f t="shared" si="54"/>
        <v>Premium</v>
      </c>
    </row>
    <row r="656" spans="1:12">
      <c r="A656" t="s">
        <v>1070</v>
      </c>
      <c r="B656" t="s">
        <v>1169</v>
      </c>
      <c r="C656" s="4">
        <v>4.8</v>
      </c>
      <c r="D656" s="4">
        <v>436</v>
      </c>
      <c r="E656" t="s">
        <v>1170</v>
      </c>
      <c r="F656" s="4">
        <v>19.172881100000001</v>
      </c>
      <c r="G656">
        <v>72.9566236</v>
      </c>
      <c r="H656">
        <f t="shared" si="50"/>
        <v>2092.7999999999997</v>
      </c>
      <c r="I656" s="4">
        <f t="shared" si="51"/>
        <v>10900</v>
      </c>
      <c r="J656" s="6">
        <f t="shared" si="52"/>
        <v>550</v>
      </c>
      <c r="K656" s="6">
        <f t="shared" si="53"/>
        <v>5995000</v>
      </c>
      <c r="L656" s="3" t="str">
        <f t="shared" si="54"/>
        <v>Premium</v>
      </c>
    </row>
    <row r="657" spans="1:12">
      <c r="A657" t="s">
        <v>1070</v>
      </c>
      <c r="B657" t="s">
        <v>1171</v>
      </c>
      <c r="C657" s="4">
        <v>3.5</v>
      </c>
      <c r="D657" s="4">
        <v>6</v>
      </c>
      <c r="E657" t="s">
        <v>1172</v>
      </c>
      <c r="F657" s="4">
        <v>19.180919899999999</v>
      </c>
      <c r="G657">
        <v>72.939210399999993</v>
      </c>
      <c r="H657">
        <f t="shared" si="50"/>
        <v>21</v>
      </c>
      <c r="I657" s="4">
        <f t="shared" si="51"/>
        <v>150</v>
      </c>
      <c r="J657" s="6">
        <f t="shared" si="52"/>
        <v>350</v>
      </c>
      <c r="K657" s="6">
        <f t="shared" si="53"/>
        <v>52500</v>
      </c>
      <c r="L657" s="3" t="str">
        <f t="shared" si="54"/>
        <v>Average</v>
      </c>
    </row>
    <row r="658" spans="1:12">
      <c r="A658" t="s">
        <v>1070</v>
      </c>
      <c r="B658" t="s">
        <v>1173</v>
      </c>
      <c r="C658" s="4">
        <v>4.9000000000000004</v>
      </c>
      <c r="D658" s="4">
        <v>50</v>
      </c>
      <c r="E658" t="s">
        <v>1174</v>
      </c>
      <c r="F658" s="4">
        <v>19.175964</v>
      </c>
      <c r="G658">
        <v>72.937445199999999</v>
      </c>
      <c r="H658">
        <f t="shared" si="50"/>
        <v>245.00000000000003</v>
      </c>
      <c r="I658" s="4">
        <f t="shared" si="51"/>
        <v>1250</v>
      </c>
      <c r="J658" s="6">
        <f t="shared" si="52"/>
        <v>550</v>
      </c>
      <c r="K658" s="6">
        <f t="shared" si="53"/>
        <v>687500</v>
      </c>
      <c r="L658" s="3" t="str">
        <f t="shared" si="54"/>
        <v>Premium</v>
      </c>
    </row>
    <row r="659" spans="1:12">
      <c r="A659" t="s">
        <v>1070</v>
      </c>
      <c r="B659" t="s">
        <v>1175</v>
      </c>
      <c r="C659" s="4">
        <v>5</v>
      </c>
      <c r="D659" s="4">
        <v>22</v>
      </c>
      <c r="E659" t="s">
        <v>1176</v>
      </c>
      <c r="F659" s="4">
        <v>19.175011000000001</v>
      </c>
      <c r="G659">
        <v>72.950225000000003</v>
      </c>
      <c r="H659">
        <f t="shared" si="50"/>
        <v>110</v>
      </c>
      <c r="I659" s="4">
        <f t="shared" si="51"/>
        <v>550</v>
      </c>
      <c r="J659" s="6">
        <f t="shared" si="52"/>
        <v>550</v>
      </c>
      <c r="K659" s="6">
        <f t="shared" si="53"/>
        <v>302500</v>
      </c>
      <c r="L659" s="3" t="str">
        <f t="shared" si="54"/>
        <v>Premium</v>
      </c>
    </row>
    <row r="660" spans="1:12">
      <c r="A660" t="s">
        <v>1070</v>
      </c>
      <c r="B660" t="s">
        <v>1177</v>
      </c>
      <c r="C660" s="4">
        <v>3.8</v>
      </c>
      <c r="D660" s="4">
        <v>1763</v>
      </c>
      <c r="E660" t="s">
        <v>1178</v>
      </c>
      <c r="F660" s="4">
        <v>19.177381400000002</v>
      </c>
      <c r="G660">
        <v>72.951298899999998</v>
      </c>
      <c r="H660">
        <f t="shared" si="50"/>
        <v>6699.4</v>
      </c>
      <c r="I660" s="4">
        <f t="shared" si="51"/>
        <v>44075</v>
      </c>
      <c r="J660" s="6">
        <f t="shared" si="52"/>
        <v>350</v>
      </c>
      <c r="K660" s="6">
        <f t="shared" si="53"/>
        <v>15426250</v>
      </c>
      <c r="L660" s="3" t="str">
        <f t="shared" si="54"/>
        <v>Average</v>
      </c>
    </row>
    <row r="661" spans="1:12">
      <c r="A661" t="s">
        <v>1070</v>
      </c>
      <c r="B661" t="s">
        <v>1179</v>
      </c>
      <c r="C661" s="4">
        <v>4.0999999999999996</v>
      </c>
      <c r="D661" s="4">
        <v>1187</v>
      </c>
      <c r="E661" t="s">
        <v>1180</v>
      </c>
      <c r="F661" s="4">
        <v>19.176058600000001</v>
      </c>
      <c r="G661">
        <v>72.950677200000001</v>
      </c>
      <c r="H661">
        <f t="shared" si="50"/>
        <v>4866.7</v>
      </c>
      <c r="I661" s="4">
        <f t="shared" si="51"/>
        <v>29675</v>
      </c>
      <c r="J661" s="6">
        <f t="shared" si="52"/>
        <v>350</v>
      </c>
      <c r="K661" s="6">
        <f t="shared" si="53"/>
        <v>10386250</v>
      </c>
      <c r="L661" s="3" t="str">
        <f t="shared" si="54"/>
        <v>Popular</v>
      </c>
    </row>
    <row r="662" spans="1:12">
      <c r="A662" t="s">
        <v>1181</v>
      </c>
      <c r="B662" t="s">
        <v>1182</v>
      </c>
      <c r="C662" s="4">
        <v>4.4000000000000004</v>
      </c>
      <c r="D662" s="4">
        <v>2370</v>
      </c>
      <c r="E662" t="s">
        <v>1183</v>
      </c>
      <c r="F662" s="4">
        <v>19.084952300000001</v>
      </c>
      <c r="G662">
        <v>73.007646100000002</v>
      </c>
      <c r="H662">
        <f t="shared" si="50"/>
        <v>10428</v>
      </c>
      <c r="I662" s="4">
        <f t="shared" si="51"/>
        <v>59250</v>
      </c>
      <c r="J662" s="6">
        <f t="shared" si="52"/>
        <v>450</v>
      </c>
      <c r="K662" s="6">
        <f t="shared" si="53"/>
        <v>26662500</v>
      </c>
      <c r="L662" s="3" t="str">
        <f t="shared" si="54"/>
        <v>Popular</v>
      </c>
    </row>
    <row r="663" spans="1:12">
      <c r="A663" t="s">
        <v>1181</v>
      </c>
      <c r="B663" t="s">
        <v>1184</v>
      </c>
      <c r="C663" s="4">
        <v>4.4000000000000004</v>
      </c>
      <c r="D663" s="4">
        <v>1246</v>
      </c>
      <c r="E663" t="s">
        <v>1185</v>
      </c>
      <c r="F663" s="4">
        <v>19.091699200000001</v>
      </c>
      <c r="G663">
        <v>73.005358000000001</v>
      </c>
      <c r="H663">
        <f t="shared" si="50"/>
        <v>5482.4000000000005</v>
      </c>
      <c r="I663" s="4">
        <f t="shared" si="51"/>
        <v>31150</v>
      </c>
      <c r="J663" s="6">
        <f t="shared" si="52"/>
        <v>450</v>
      </c>
      <c r="K663" s="6">
        <f t="shared" si="53"/>
        <v>14017500</v>
      </c>
      <c r="L663" s="3" t="str">
        <f t="shared" si="54"/>
        <v>Popular</v>
      </c>
    </row>
    <row r="664" spans="1:12">
      <c r="A664" t="s">
        <v>1181</v>
      </c>
      <c r="B664" t="s">
        <v>1186</v>
      </c>
      <c r="C664" s="4">
        <v>4.2</v>
      </c>
      <c r="D664" s="4">
        <v>846</v>
      </c>
      <c r="E664" t="s">
        <v>1187</v>
      </c>
      <c r="F664" s="4">
        <v>19.089621699999999</v>
      </c>
      <c r="G664">
        <v>73.007448099999905</v>
      </c>
      <c r="H664">
        <f t="shared" si="50"/>
        <v>3553.2000000000003</v>
      </c>
      <c r="I664" s="4">
        <f t="shared" si="51"/>
        <v>21150</v>
      </c>
      <c r="J664" s="6">
        <f t="shared" si="52"/>
        <v>350</v>
      </c>
      <c r="K664" s="6">
        <f t="shared" si="53"/>
        <v>7402500</v>
      </c>
      <c r="L664" s="3" t="str">
        <f t="shared" si="54"/>
        <v>Popular</v>
      </c>
    </row>
    <row r="665" spans="1:12">
      <c r="A665" t="s">
        <v>1181</v>
      </c>
      <c r="B665" t="s">
        <v>1188</v>
      </c>
      <c r="C665" s="4">
        <v>4.0999999999999996</v>
      </c>
      <c r="D665" s="4">
        <v>658</v>
      </c>
      <c r="E665" t="s">
        <v>1189</v>
      </c>
      <c r="F665" s="4">
        <v>19.0845637</v>
      </c>
      <c r="G665">
        <v>73.007719399999999</v>
      </c>
      <c r="H665">
        <f t="shared" si="50"/>
        <v>2697.7999999999997</v>
      </c>
      <c r="I665" s="4">
        <f t="shared" si="51"/>
        <v>16450</v>
      </c>
      <c r="J665" s="6">
        <f t="shared" si="52"/>
        <v>350</v>
      </c>
      <c r="K665" s="6">
        <f t="shared" si="53"/>
        <v>5757500</v>
      </c>
      <c r="L665" s="3" t="str">
        <f t="shared" si="54"/>
        <v>Popular</v>
      </c>
    </row>
    <row r="666" spans="1:12">
      <c r="A666" t="s">
        <v>1181</v>
      </c>
      <c r="B666" t="s">
        <v>1190</v>
      </c>
      <c r="C666" s="4">
        <v>4.4000000000000004</v>
      </c>
      <c r="D666" s="4">
        <v>523</v>
      </c>
      <c r="E666" t="s">
        <v>1191</v>
      </c>
      <c r="F666" s="4">
        <v>19.056582800000001</v>
      </c>
      <c r="G666">
        <v>73.0032037</v>
      </c>
      <c r="H666">
        <f t="shared" si="50"/>
        <v>2301.2000000000003</v>
      </c>
      <c r="I666" s="4">
        <f t="shared" si="51"/>
        <v>13075</v>
      </c>
      <c r="J666" s="6">
        <f t="shared" si="52"/>
        <v>450</v>
      </c>
      <c r="K666" s="6">
        <f t="shared" si="53"/>
        <v>5883750</v>
      </c>
      <c r="L666" s="3" t="str">
        <f t="shared" si="54"/>
        <v>Popular</v>
      </c>
    </row>
    <row r="667" spans="1:12">
      <c r="A667" t="s">
        <v>1181</v>
      </c>
      <c r="B667" t="s">
        <v>1192</v>
      </c>
      <c r="C667" s="4">
        <v>3.9</v>
      </c>
      <c r="D667" s="4">
        <v>95</v>
      </c>
      <c r="E667" t="s">
        <v>1193</v>
      </c>
      <c r="F667" s="4">
        <v>19.086806800000002</v>
      </c>
      <c r="G667">
        <v>73.008460499999998</v>
      </c>
      <c r="H667">
        <f t="shared" si="50"/>
        <v>370.5</v>
      </c>
      <c r="I667" s="4">
        <f t="shared" si="51"/>
        <v>2375</v>
      </c>
      <c r="J667" s="6">
        <f t="shared" si="52"/>
        <v>350</v>
      </c>
      <c r="K667" s="6">
        <f t="shared" si="53"/>
        <v>831250</v>
      </c>
      <c r="L667" s="3" t="str">
        <f t="shared" si="54"/>
        <v>Average</v>
      </c>
    </row>
    <row r="668" spans="1:12">
      <c r="A668" t="s">
        <v>1181</v>
      </c>
      <c r="B668" t="s">
        <v>1194</v>
      </c>
      <c r="C668" s="4">
        <v>4</v>
      </c>
      <c r="D668" s="4">
        <v>1724</v>
      </c>
      <c r="E668" t="s">
        <v>1195</v>
      </c>
      <c r="F668" s="4">
        <v>19.070995700000001</v>
      </c>
      <c r="G668">
        <v>73.0093478</v>
      </c>
      <c r="H668">
        <f t="shared" si="50"/>
        <v>6896</v>
      </c>
      <c r="I668" s="4">
        <f t="shared" si="51"/>
        <v>43100</v>
      </c>
      <c r="J668" s="6">
        <f t="shared" si="52"/>
        <v>350</v>
      </c>
      <c r="K668" s="6">
        <f t="shared" si="53"/>
        <v>15085000</v>
      </c>
      <c r="L668" s="3" t="str">
        <f t="shared" si="54"/>
        <v>Popular</v>
      </c>
    </row>
    <row r="669" spans="1:12">
      <c r="A669" t="s">
        <v>1181</v>
      </c>
      <c r="B669" t="s">
        <v>1196</v>
      </c>
      <c r="C669" s="4">
        <v>4.5</v>
      </c>
      <c r="D669" s="4">
        <v>257</v>
      </c>
      <c r="E669" t="s">
        <v>1197</v>
      </c>
      <c r="F669" s="4">
        <v>19.074182</v>
      </c>
      <c r="G669">
        <v>72.998292199999995</v>
      </c>
      <c r="H669">
        <f t="shared" si="50"/>
        <v>1156.5</v>
      </c>
      <c r="I669" s="4">
        <f t="shared" si="51"/>
        <v>6425</v>
      </c>
      <c r="J669" s="6">
        <f t="shared" si="52"/>
        <v>450</v>
      </c>
      <c r="K669" s="6">
        <f t="shared" si="53"/>
        <v>2891250</v>
      </c>
      <c r="L669" s="3" t="str">
        <f t="shared" si="54"/>
        <v>Premium</v>
      </c>
    </row>
    <row r="670" spans="1:12">
      <c r="A670" t="s">
        <v>1181</v>
      </c>
      <c r="B670" t="s">
        <v>1198</v>
      </c>
      <c r="C670" s="4">
        <v>4.0999999999999996</v>
      </c>
      <c r="D670" s="4">
        <v>2331</v>
      </c>
      <c r="E670" t="s">
        <v>1199</v>
      </c>
      <c r="F670" s="4">
        <v>19.0676557</v>
      </c>
      <c r="G670">
        <v>72.992965999999996</v>
      </c>
      <c r="H670">
        <f t="shared" si="50"/>
        <v>9557.0999999999985</v>
      </c>
      <c r="I670" s="4">
        <f t="shared" si="51"/>
        <v>58275</v>
      </c>
      <c r="J670" s="6">
        <f t="shared" si="52"/>
        <v>350</v>
      </c>
      <c r="K670" s="6">
        <f t="shared" si="53"/>
        <v>20396250</v>
      </c>
      <c r="L670" s="3" t="str">
        <f t="shared" si="54"/>
        <v>Popular</v>
      </c>
    </row>
    <row r="671" spans="1:12">
      <c r="A671" t="s">
        <v>1181</v>
      </c>
      <c r="B671" t="s">
        <v>48</v>
      </c>
      <c r="C671" s="4">
        <v>4.9000000000000004</v>
      </c>
      <c r="D671" s="4">
        <v>82</v>
      </c>
      <c r="E671" t="s">
        <v>1200</v>
      </c>
      <c r="F671" s="4">
        <v>19.065485800000001</v>
      </c>
      <c r="G671">
        <v>73.000705799999906</v>
      </c>
      <c r="H671">
        <f t="shared" si="50"/>
        <v>401.8</v>
      </c>
      <c r="I671" s="4">
        <f t="shared" si="51"/>
        <v>2050</v>
      </c>
      <c r="J671" s="6">
        <f t="shared" si="52"/>
        <v>550</v>
      </c>
      <c r="K671" s="6">
        <f t="shared" si="53"/>
        <v>1127500</v>
      </c>
      <c r="L671" s="3" t="str">
        <f t="shared" si="54"/>
        <v>Premium</v>
      </c>
    </row>
    <row r="672" spans="1:12">
      <c r="A672" t="s">
        <v>1181</v>
      </c>
      <c r="B672" t="s">
        <v>123</v>
      </c>
      <c r="C672" s="4">
        <v>4.5999999999999996</v>
      </c>
      <c r="D672" s="4">
        <v>582</v>
      </c>
      <c r="E672" t="s">
        <v>1201</v>
      </c>
      <c r="F672" s="4">
        <v>19.072171000000001</v>
      </c>
      <c r="G672">
        <v>72.9978014</v>
      </c>
      <c r="H672">
        <f t="shared" si="50"/>
        <v>2677.2</v>
      </c>
      <c r="I672" s="4">
        <f t="shared" si="51"/>
        <v>14550</v>
      </c>
      <c r="J672" s="6">
        <f t="shared" si="52"/>
        <v>450</v>
      </c>
      <c r="K672" s="6">
        <f t="shared" si="53"/>
        <v>6547500</v>
      </c>
      <c r="L672" s="3" t="str">
        <f t="shared" si="54"/>
        <v>Premium</v>
      </c>
    </row>
    <row r="673" spans="1:12">
      <c r="A673" t="s">
        <v>1181</v>
      </c>
      <c r="B673" t="s">
        <v>1202</v>
      </c>
      <c r="C673" s="4">
        <v>4.5</v>
      </c>
      <c r="D673" s="4">
        <v>739</v>
      </c>
      <c r="E673" t="s">
        <v>1203</v>
      </c>
      <c r="F673" s="4">
        <v>19.055643400000001</v>
      </c>
      <c r="G673">
        <v>73.015022399999907</v>
      </c>
      <c r="H673">
        <f t="shared" si="50"/>
        <v>3325.5</v>
      </c>
      <c r="I673" s="4">
        <f t="shared" si="51"/>
        <v>18475</v>
      </c>
      <c r="J673" s="6">
        <f t="shared" si="52"/>
        <v>450</v>
      </c>
      <c r="K673" s="6">
        <f t="shared" si="53"/>
        <v>8313750</v>
      </c>
      <c r="L673" s="3" t="str">
        <f t="shared" si="54"/>
        <v>Premium</v>
      </c>
    </row>
    <row r="674" spans="1:12">
      <c r="A674" t="s">
        <v>1181</v>
      </c>
      <c r="B674" t="s">
        <v>1204</v>
      </c>
      <c r="C674" s="4">
        <v>4.7</v>
      </c>
      <c r="D674" s="4">
        <v>442</v>
      </c>
      <c r="E674" t="s">
        <v>1205</v>
      </c>
      <c r="F674" s="4">
        <v>19.065708999999998</v>
      </c>
      <c r="G674">
        <v>73.001230899999996</v>
      </c>
      <c r="H674">
        <f t="shared" si="50"/>
        <v>2077.4</v>
      </c>
      <c r="I674" s="4">
        <f t="shared" si="51"/>
        <v>11050</v>
      </c>
      <c r="J674" s="6">
        <f t="shared" si="52"/>
        <v>550</v>
      </c>
      <c r="K674" s="6">
        <f t="shared" si="53"/>
        <v>6077500</v>
      </c>
      <c r="L674" s="3" t="str">
        <f t="shared" si="54"/>
        <v>Premium</v>
      </c>
    </row>
    <row r="675" spans="1:12">
      <c r="A675" t="s">
        <v>1181</v>
      </c>
      <c r="B675" t="s">
        <v>1206</v>
      </c>
      <c r="C675" s="4">
        <v>4.5</v>
      </c>
      <c r="D675" s="4">
        <v>1296</v>
      </c>
      <c r="E675" t="s">
        <v>1207</v>
      </c>
      <c r="F675" s="4">
        <v>19.0662366</v>
      </c>
      <c r="G675">
        <v>72.999246299999996</v>
      </c>
      <c r="H675">
        <f t="shared" si="50"/>
        <v>5832</v>
      </c>
      <c r="I675" s="4">
        <f t="shared" si="51"/>
        <v>32400</v>
      </c>
      <c r="J675" s="6">
        <f t="shared" si="52"/>
        <v>450</v>
      </c>
      <c r="K675" s="6">
        <f t="shared" si="53"/>
        <v>14580000</v>
      </c>
      <c r="L675" s="3" t="str">
        <f t="shared" si="54"/>
        <v>Premium</v>
      </c>
    </row>
    <row r="676" spans="1:12">
      <c r="A676" t="s">
        <v>1181</v>
      </c>
      <c r="B676" t="s">
        <v>123</v>
      </c>
      <c r="C676" s="4">
        <v>4.3</v>
      </c>
      <c r="D676" s="4">
        <v>4193</v>
      </c>
      <c r="E676" t="s">
        <v>1208</v>
      </c>
      <c r="F676" s="4">
        <v>19.065691399999999</v>
      </c>
      <c r="G676">
        <v>72.999819299999999</v>
      </c>
      <c r="H676">
        <f t="shared" si="50"/>
        <v>18029.899999999998</v>
      </c>
      <c r="I676" s="4">
        <f t="shared" si="51"/>
        <v>104825</v>
      </c>
      <c r="J676" s="6">
        <f t="shared" si="52"/>
        <v>350</v>
      </c>
      <c r="K676" s="6">
        <f t="shared" si="53"/>
        <v>36688750</v>
      </c>
      <c r="L676" s="3" t="str">
        <f t="shared" si="54"/>
        <v>Popular</v>
      </c>
    </row>
    <row r="677" spans="1:12">
      <c r="A677" t="s">
        <v>1181</v>
      </c>
      <c r="B677" t="s">
        <v>1209</v>
      </c>
      <c r="C677" s="4">
        <v>4.0999999999999996</v>
      </c>
      <c r="D677" s="4">
        <v>2550</v>
      </c>
      <c r="E677" t="s">
        <v>1210</v>
      </c>
      <c r="F677" s="4">
        <v>19.065827800000001</v>
      </c>
      <c r="G677">
        <v>73.001049699999996</v>
      </c>
      <c r="H677">
        <f t="shared" si="50"/>
        <v>10455</v>
      </c>
      <c r="I677" s="4">
        <f t="shared" si="51"/>
        <v>63750</v>
      </c>
      <c r="J677" s="6">
        <f t="shared" si="52"/>
        <v>350</v>
      </c>
      <c r="K677" s="6">
        <f t="shared" si="53"/>
        <v>22312500</v>
      </c>
      <c r="L677" s="3" t="str">
        <f t="shared" si="54"/>
        <v>Popular</v>
      </c>
    </row>
    <row r="678" spans="1:12">
      <c r="A678" t="s">
        <v>1181</v>
      </c>
      <c r="B678" t="s">
        <v>1211</v>
      </c>
      <c r="C678" s="4">
        <v>4.8</v>
      </c>
      <c r="D678" s="4">
        <v>113</v>
      </c>
      <c r="E678" t="s">
        <v>1212</v>
      </c>
      <c r="F678" s="4">
        <v>19.065326800000001</v>
      </c>
      <c r="G678">
        <v>73.002129099999905</v>
      </c>
      <c r="H678">
        <f t="shared" si="50"/>
        <v>542.4</v>
      </c>
      <c r="I678" s="4">
        <f t="shared" si="51"/>
        <v>2825</v>
      </c>
      <c r="J678" s="6">
        <f t="shared" si="52"/>
        <v>550</v>
      </c>
      <c r="K678" s="6">
        <f t="shared" si="53"/>
        <v>1553750</v>
      </c>
      <c r="L678" s="3" t="str">
        <f t="shared" si="54"/>
        <v>Premium</v>
      </c>
    </row>
    <row r="679" spans="1:12">
      <c r="A679" t="s">
        <v>1181</v>
      </c>
      <c r="B679" t="s">
        <v>1213</v>
      </c>
      <c r="C679" s="4">
        <v>4.3</v>
      </c>
      <c r="D679" s="4">
        <v>3080</v>
      </c>
      <c r="E679" t="s">
        <v>1214</v>
      </c>
      <c r="F679" s="4">
        <v>19.066978200000001</v>
      </c>
      <c r="G679">
        <v>72.999138899999906</v>
      </c>
      <c r="H679">
        <f t="shared" si="50"/>
        <v>13244</v>
      </c>
      <c r="I679" s="4">
        <f t="shared" si="51"/>
        <v>77000</v>
      </c>
      <c r="J679" s="6">
        <f t="shared" si="52"/>
        <v>350</v>
      </c>
      <c r="K679" s="6">
        <f t="shared" si="53"/>
        <v>26950000</v>
      </c>
      <c r="L679" s="3" t="str">
        <f t="shared" si="54"/>
        <v>Popular</v>
      </c>
    </row>
    <row r="680" spans="1:12">
      <c r="A680" t="s">
        <v>1181</v>
      </c>
      <c r="B680" t="s">
        <v>1215</v>
      </c>
      <c r="C680" s="4">
        <v>4.8</v>
      </c>
      <c r="D680" s="4">
        <v>19</v>
      </c>
      <c r="E680" t="s">
        <v>1216</v>
      </c>
      <c r="F680" s="4">
        <v>19.074826300000002</v>
      </c>
      <c r="G680">
        <v>72.997605499999906</v>
      </c>
      <c r="H680">
        <f t="shared" si="50"/>
        <v>91.2</v>
      </c>
      <c r="I680" s="4">
        <f t="shared" si="51"/>
        <v>475</v>
      </c>
      <c r="J680" s="6">
        <f t="shared" si="52"/>
        <v>550</v>
      </c>
      <c r="K680" s="6">
        <f t="shared" si="53"/>
        <v>261250</v>
      </c>
      <c r="L680" s="3" t="str">
        <f t="shared" si="54"/>
        <v>Premium</v>
      </c>
    </row>
    <row r="681" spans="1:12">
      <c r="A681" t="s">
        <v>1181</v>
      </c>
      <c r="B681" t="s">
        <v>1217</v>
      </c>
      <c r="C681" s="4">
        <v>4.5</v>
      </c>
      <c r="D681" s="4">
        <v>10</v>
      </c>
      <c r="E681" t="s">
        <v>1218</v>
      </c>
      <c r="F681" s="4">
        <v>19.066336</v>
      </c>
      <c r="G681">
        <v>72.998512399999996</v>
      </c>
      <c r="H681">
        <f t="shared" si="50"/>
        <v>45</v>
      </c>
      <c r="I681" s="4">
        <f t="shared" si="51"/>
        <v>250</v>
      </c>
      <c r="J681" s="6">
        <f t="shared" si="52"/>
        <v>450</v>
      </c>
      <c r="K681" s="6">
        <f t="shared" si="53"/>
        <v>112500</v>
      </c>
      <c r="L681" s="3" t="str">
        <f t="shared" si="54"/>
        <v>Premium</v>
      </c>
    </row>
    <row r="682" spans="1:12">
      <c r="A682" t="s">
        <v>1181</v>
      </c>
      <c r="B682" t="s">
        <v>1219</v>
      </c>
      <c r="C682" s="4">
        <v>4</v>
      </c>
      <c r="D682" s="4">
        <v>1567</v>
      </c>
      <c r="E682" t="s">
        <v>1220</v>
      </c>
      <c r="F682" s="4">
        <v>19.083051600000001</v>
      </c>
      <c r="G682">
        <v>73.005971700000003</v>
      </c>
      <c r="H682">
        <f t="shared" si="50"/>
        <v>6268</v>
      </c>
      <c r="I682" s="4">
        <f t="shared" si="51"/>
        <v>39175</v>
      </c>
      <c r="J682" s="6">
        <f t="shared" si="52"/>
        <v>350</v>
      </c>
      <c r="K682" s="6">
        <f t="shared" si="53"/>
        <v>13711250</v>
      </c>
      <c r="L682" s="3" t="str">
        <f t="shared" si="54"/>
        <v>Popular</v>
      </c>
    </row>
    <row r="683" spans="1:12">
      <c r="A683" t="s">
        <v>1181</v>
      </c>
      <c r="B683" t="s">
        <v>1221</v>
      </c>
      <c r="C683" s="4">
        <v>4.0999999999999996</v>
      </c>
      <c r="D683" s="4">
        <v>3862</v>
      </c>
      <c r="E683" t="s">
        <v>1222</v>
      </c>
      <c r="F683" s="4">
        <v>19.065547599999999</v>
      </c>
      <c r="G683">
        <v>73.001178699999997</v>
      </c>
      <c r="H683">
        <f t="shared" si="50"/>
        <v>15834.199999999999</v>
      </c>
      <c r="I683" s="4">
        <f t="shared" si="51"/>
        <v>96550</v>
      </c>
      <c r="J683" s="6">
        <f t="shared" si="52"/>
        <v>350</v>
      </c>
      <c r="K683" s="6">
        <f t="shared" si="53"/>
        <v>33792500</v>
      </c>
      <c r="L683" s="3" t="str">
        <f t="shared" si="54"/>
        <v>Popular</v>
      </c>
    </row>
    <row r="684" spans="1:12">
      <c r="A684" t="s">
        <v>1181</v>
      </c>
      <c r="B684" t="s">
        <v>1223</v>
      </c>
      <c r="C684" s="4">
        <v>3.8</v>
      </c>
      <c r="D684" s="4">
        <v>835</v>
      </c>
      <c r="E684" t="s">
        <v>1224</v>
      </c>
      <c r="F684" s="4">
        <v>19.086683600000001</v>
      </c>
      <c r="G684">
        <v>72.999505799999994</v>
      </c>
      <c r="H684">
        <f t="shared" si="50"/>
        <v>3173</v>
      </c>
      <c r="I684" s="4">
        <f t="shared" si="51"/>
        <v>20875</v>
      </c>
      <c r="J684" s="6">
        <f t="shared" si="52"/>
        <v>350</v>
      </c>
      <c r="K684" s="6">
        <f t="shared" si="53"/>
        <v>7306250</v>
      </c>
      <c r="L684" s="3" t="str">
        <f t="shared" si="54"/>
        <v>Average</v>
      </c>
    </row>
    <row r="685" spans="1:12">
      <c r="A685" t="s">
        <v>1181</v>
      </c>
      <c r="B685" t="s">
        <v>1225</v>
      </c>
      <c r="C685" s="4">
        <v>4.4000000000000004</v>
      </c>
      <c r="D685" s="4">
        <v>4769</v>
      </c>
      <c r="E685" t="s">
        <v>1226</v>
      </c>
      <c r="F685" s="4">
        <v>19.073132900000001</v>
      </c>
      <c r="G685">
        <v>72.998255700000001</v>
      </c>
      <c r="H685">
        <f t="shared" si="50"/>
        <v>20983.600000000002</v>
      </c>
      <c r="I685" s="4">
        <f t="shared" si="51"/>
        <v>119225</v>
      </c>
      <c r="J685" s="6">
        <f t="shared" si="52"/>
        <v>450</v>
      </c>
      <c r="K685" s="6">
        <f t="shared" si="53"/>
        <v>53651250</v>
      </c>
      <c r="L685" s="3" t="str">
        <f t="shared" si="54"/>
        <v>Popular</v>
      </c>
    </row>
    <row r="686" spans="1:12">
      <c r="A686" t="s">
        <v>1181</v>
      </c>
      <c r="B686" t="s">
        <v>1227</v>
      </c>
      <c r="C686" s="4">
        <v>4.0999999999999996</v>
      </c>
      <c r="D686" s="4">
        <v>1133</v>
      </c>
      <c r="E686" t="s">
        <v>1228</v>
      </c>
      <c r="F686" s="4">
        <v>19.083490000000001</v>
      </c>
      <c r="G686">
        <v>73.006404699999905</v>
      </c>
      <c r="H686">
        <f t="shared" si="50"/>
        <v>4645.2999999999993</v>
      </c>
      <c r="I686" s="4">
        <f t="shared" si="51"/>
        <v>28325</v>
      </c>
      <c r="J686" s="6">
        <f t="shared" si="52"/>
        <v>350</v>
      </c>
      <c r="K686" s="6">
        <f t="shared" si="53"/>
        <v>9913750</v>
      </c>
      <c r="L686" s="3" t="str">
        <f t="shared" si="54"/>
        <v>Popular</v>
      </c>
    </row>
    <row r="687" spans="1:12">
      <c r="A687" t="s">
        <v>1181</v>
      </c>
      <c r="B687" t="s">
        <v>1229</v>
      </c>
      <c r="C687" s="4">
        <v>4.9000000000000004</v>
      </c>
      <c r="D687" s="4">
        <v>112</v>
      </c>
      <c r="E687" t="s">
        <v>1230</v>
      </c>
      <c r="F687" s="4">
        <v>19.0893196</v>
      </c>
      <c r="G687">
        <v>73.014051999999893</v>
      </c>
      <c r="H687">
        <f t="shared" si="50"/>
        <v>548.80000000000007</v>
      </c>
      <c r="I687" s="4">
        <f t="shared" si="51"/>
        <v>2800</v>
      </c>
      <c r="J687" s="6">
        <f t="shared" si="52"/>
        <v>550</v>
      </c>
      <c r="K687" s="6">
        <f t="shared" si="53"/>
        <v>1540000</v>
      </c>
      <c r="L687" s="3" t="str">
        <f t="shared" si="54"/>
        <v>Premium</v>
      </c>
    </row>
    <row r="688" spans="1:12">
      <c r="A688" t="s">
        <v>1181</v>
      </c>
      <c r="B688" t="s">
        <v>1231</v>
      </c>
      <c r="C688" s="4">
        <v>4.0999999999999996</v>
      </c>
      <c r="D688" s="4">
        <v>920</v>
      </c>
      <c r="E688" t="s">
        <v>1232</v>
      </c>
      <c r="F688" s="4">
        <v>19.065710500000002</v>
      </c>
      <c r="G688">
        <v>73.000793099999996</v>
      </c>
      <c r="H688">
        <f t="shared" si="50"/>
        <v>3771.9999999999995</v>
      </c>
      <c r="I688" s="4">
        <f t="shared" si="51"/>
        <v>23000</v>
      </c>
      <c r="J688" s="6">
        <f t="shared" si="52"/>
        <v>350</v>
      </c>
      <c r="K688" s="6">
        <f t="shared" si="53"/>
        <v>8050000</v>
      </c>
      <c r="L688" s="3" t="str">
        <f t="shared" si="54"/>
        <v>Popular</v>
      </c>
    </row>
    <row r="689" spans="1:12">
      <c r="A689" t="s">
        <v>1181</v>
      </c>
      <c r="B689" t="s">
        <v>1233</v>
      </c>
      <c r="C689" s="4">
        <v>4.2</v>
      </c>
      <c r="D689" s="4">
        <v>1040</v>
      </c>
      <c r="E689" t="s">
        <v>1234</v>
      </c>
      <c r="F689" s="4">
        <v>19.066102399999998</v>
      </c>
      <c r="G689">
        <v>73.000553299999893</v>
      </c>
      <c r="H689">
        <f t="shared" si="50"/>
        <v>4368</v>
      </c>
      <c r="I689" s="4">
        <f t="shared" si="51"/>
        <v>26000</v>
      </c>
      <c r="J689" s="6">
        <f t="shared" si="52"/>
        <v>350</v>
      </c>
      <c r="K689" s="6">
        <f t="shared" si="53"/>
        <v>9100000</v>
      </c>
      <c r="L689" s="3" t="str">
        <f t="shared" si="54"/>
        <v>Popular</v>
      </c>
    </row>
    <row r="690" spans="1:12">
      <c r="A690" t="s">
        <v>1181</v>
      </c>
      <c r="B690" t="s">
        <v>1235</v>
      </c>
      <c r="C690" s="4">
        <v>4.0999999999999996</v>
      </c>
      <c r="D690" s="4">
        <v>6337</v>
      </c>
      <c r="E690" t="s">
        <v>1236</v>
      </c>
      <c r="F690" s="4">
        <v>19.082450900000001</v>
      </c>
      <c r="G690">
        <v>73.005690999999999</v>
      </c>
      <c r="H690">
        <f t="shared" si="50"/>
        <v>25981.699999999997</v>
      </c>
      <c r="I690" s="4">
        <f t="shared" si="51"/>
        <v>158425</v>
      </c>
      <c r="J690" s="6">
        <f t="shared" si="52"/>
        <v>350</v>
      </c>
      <c r="K690" s="6">
        <f t="shared" si="53"/>
        <v>55448750</v>
      </c>
      <c r="L690" s="3" t="str">
        <f t="shared" si="54"/>
        <v>Popular</v>
      </c>
    </row>
    <row r="691" spans="1:12">
      <c r="A691" t="s">
        <v>1181</v>
      </c>
      <c r="B691" t="s">
        <v>1237</v>
      </c>
      <c r="C691" s="4">
        <v>4.3</v>
      </c>
      <c r="D691" s="4">
        <v>189</v>
      </c>
      <c r="E691" t="s">
        <v>1238</v>
      </c>
      <c r="F691" s="4">
        <v>19.082727500000001</v>
      </c>
      <c r="G691">
        <v>73.006421099999997</v>
      </c>
      <c r="H691">
        <f t="shared" si="50"/>
        <v>812.69999999999993</v>
      </c>
      <c r="I691" s="4">
        <f t="shared" si="51"/>
        <v>4725</v>
      </c>
      <c r="J691" s="6">
        <f t="shared" si="52"/>
        <v>350</v>
      </c>
      <c r="K691" s="6">
        <f t="shared" si="53"/>
        <v>1653750</v>
      </c>
      <c r="L691" s="3" t="str">
        <f t="shared" si="54"/>
        <v>Popular</v>
      </c>
    </row>
    <row r="692" spans="1:12">
      <c r="A692" t="s">
        <v>1181</v>
      </c>
      <c r="B692" t="s">
        <v>140</v>
      </c>
      <c r="C692" s="4">
        <v>4.3</v>
      </c>
      <c r="D692" s="4">
        <v>1169</v>
      </c>
      <c r="E692" t="s">
        <v>1239</v>
      </c>
      <c r="F692" s="4">
        <v>19.0973389</v>
      </c>
      <c r="G692">
        <v>73.005842399999906</v>
      </c>
      <c r="H692">
        <f t="shared" si="50"/>
        <v>5026.7</v>
      </c>
      <c r="I692" s="4">
        <f t="shared" si="51"/>
        <v>29225</v>
      </c>
      <c r="J692" s="6">
        <f t="shared" si="52"/>
        <v>350</v>
      </c>
      <c r="K692" s="6">
        <f t="shared" si="53"/>
        <v>10228750</v>
      </c>
      <c r="L692" s="3" t="str">
        <f t="shared" si="54"/>
        <v>Popular</v>
      </c>
    </row>
    <row r="693" spans="1:12">
      <c r="A693" t="s">
        <v>1181</v>
      </c>
      <c r="B693" t="s">
        <v>1240</v>
      </c>
      <c r="C693" s="4">
        <v>4.3</v>
      </c>
      <c r="D693" s="4">
        <v>5040</v>
      </c>
      <c r="E693" t="s">
        <v>1241</v>
      </c>
      <c r="F693" s="4">
        <v>19.066737199999999</v>
      </c>
      <c r="G693">
        <v>72.992912099999998</v>
      </c>
      <c r="H693">
        <f t="shared" si="50"/>
        <v>21672</v>
      </c>
      <c r="I693" s="4">
        <f t="shared" si="51"/>
        <v>126000</v>
      </c>
      <c r="J693" s="6">
        <f t="shared" si="52"/>
        <v>350</v>
      </c>
      <c r="K693" s="6">
        <f t="shared" si="53"/>
        <v>44100000</v>
      </c>
      <c r="L693" s="3" t="str">
        <f t="shared" si="54"/>
        <v>Popular</v>
      </c>
    </row>
    <row r="694" spans="1:12">
      <c r="A694" t="s">
        <v>1181</v>
      </c>
      <c r="B694" t="s">
        <v>1242</v>
      </c>
      <c r="C694" s="4">
        <v>4.8</v>
      </c>
      <c r="D694" s="4">
        <v>39</v>
      </c>
      <c r="E694" t="s">
        <v>1243</v>
      </c>
      <c r="F694" s="4">
        <v>19.078833700000001</v>
      </c>
      <c r="G694">
        <v>73.013362799999996</v>
      </c>
      <c r="H694">
        <f t="shared" si="50"/>
        <v>187.2</v>
      </c>
      <c r="I694" s="4">
        <f t="shared" si="51"/>
        <v>975</v>
      </c>
      <c r="J694" s="6">
        <f t="shared" si="52"/>
        <v>550</v>
      </c>
      <c r="K694" s="6">
        <f t="shared" si="53"/>
        <v>536250</v>
      </c>
      <c r="L694" s="3" t="str">
        <f t="shared" si="54"/>
        <v>Premium</v>
      </c>
    </row>
    <row r="695" spans="1:12">
      <c r="A695" t="s">
        <v>1181</v>
      </c>
      <c r="B695" t="s">
        <v>1244</v>
      </c>
      <c r="C695" s="4">
        <v>4</v>
      </c>
      <c r="D695" s="4">
        <v>2532</v>
      </c>
      <c r="E695" t="s">
        <v>1245</v>
      </c>
      <c r="F695" s="4">
        <v>19.065773499999999</v>
      </c>
      <c r="G695">
        <v>73.000738599999906</v>
      </c>
      <c r="H695">
        <f t="shared" si="50"/>
        <v>10128</v>
      </c>
      <c r="I695" s="4">
        <f t="shared" si="51"/>
        <v>63300</v>
      </c>
      <c r="J695" s="6">
        <f t="shared" si="52"/>
        <v>350</v>
      </c>
      <c r="K695" s="6">
        <f t="shared" si="53"/>
        <v>22155000</v>
      </c>
      <c r="L695" s="3" t="str">
        <f t="shared" si="54"/>
        <v>Popular</v>
      </c>
    </row>
    <row r="696" spans="1:12">
      <c r="A696" t="s">
        <v>1181</v>
      </c>
      <c r="B696" t="s">
        <v>1246</v>
      </c>
      <c r="C696" s="4">
        <v>4.4000000000000004</v>
      </c>
      <c r="D696" s="4">
        <v>383</v>
      </c>
      <c r="E696" t="s">
        <v>1247</v>
      </c>
      <c r="F696" s="4">
        <v>19.065708999999998</v>
      </c>
      <c r="G696">
        <v>73.001230899999996</v>
      </c>
      <c r="H696">
        <f t="shared" si="50"/>
        <v>1685.2</v>
      </c>
      <c r="I696" s="4">
        <f t="shared" si="51"/>
        <v>9575</v>
      </c>
      <c r="J696" s="6">
        <f t="shared" si="52"/>
        <v>450</v>
      </c>
      <c r="K696" s="6">
        <f t="shared" si="53"/>
        <v>4308750</v>
      </c>
      <c r="L696" s="3" t="str">
        <f t="shared" si="54"/>
        <v>Popular</v>
      </c>
    </row>
    <row r="697" spans="1:12">
      <c r="A697" t="s">
        <v>1181</v>
      </c>
      <c r="B697" t="s">
        <v>1248</v>
      </c>
      <c r="C697" s="4">
        <v>4.5</v>
      </c>
      <c r="D697" s="4">
        <v>208</v>
      </c>
      <c r="E697" t="s">
        <v>1249</v>
      </c>
      <c r="F697" s="4">
        <v>19.087420900000001</v>
      </c>
      <c r="G697">
        <v>73.007493099999905</v>
      </c>
      <c r="H697">
        <f t="shared" si="50"/>
        <v>936</v>
      </c>
      <c r="I697" s="4">
        <f t="shared" si="51"/>
        <v>5200</v>
      </c>
      <c r="J697" s="6">
        <f t="shared" si="52"/>
        <v>450</v>
      </c>
      <c r="K697" s="6">
        <f t="shared" si="53"/>
        <v>2340000</v>
      </c>
      <c r="L697" s="3" t="str">
        <f t="shared" si="54"/>
        <v>Premium</v>
      </c>
    </row>
    <row r="698" spans="1:12">
      <c r="A698" t="s">
        <v>1181</v>
      </c>
      <c r="B698" t="s">
        <v>1250</v>
      </c>
      <c r="C698" s="4">
        <v>4.5999999999999996</v>
      </c>
      <c r="D698" s="4">
        <v>163</v>
      </c>
      <c r="E698" t="s">
        <v>1251</v>
      </c>
      <c r="F698" s="4">
        <v>19.0629895</v>
      </c>
      <c r="G698">
        <v>73.005710399999998</v>
      </c>
      <c r="H698">
        <f t="shared" si="50"/>
        <v>749.8</v>
      </c>
      <c r="I698" s="4">
        <f t="shared" si="51"/>
        <v>4075</v>
      </c>
      <c r="J698" s="6">
        <f t="shared" si="52"/>
        <v>450</v>
      </c>
      <c r="K698" s="6">
        <f t="shared" si="53"/>
        <v>1833750</v>
      </c>
      <c r="L698" s="3" t="str">
        <f t="shared" si="54"/>
        <v>Premium</v>
      </c>
    </row>
    <row r="699" spans="1:12">
      <c r="A699" t="s">
        <v>1181</v>
      </c>
      <c r="B699" t="s">
        <v>1252</v>
      </c>
      <c r="C699" s="4">
        <v>4.5</v>
      </c>
      <c r="D699" s="4">
        <v>250</v>
      </c>
      <c r="E699" t="s">
        <v>1253</v>
      </c>
      <c r="F699" s="4">
        <v>19.08229</v>
      </c>
      <c r="G699">
        <v>73.005936899999995</v>
      </c>
      <c r="H699">
        <f t="shared" si="50"/>
        <v>1125</v>
      </c>
      <c r="I699" s="4">
        <f t="shared" si="51"/>
        <v>6250</v>
      </c>
      <c r="J699" s="6">
        <f t="shared" si="52"/>
        <v>450</v>
      </c>
      <c r="K699" s="6">
        <f t="shared" si="53"/>
        <v>2812500</v>
      </c>
      <c r="L699" s="3" t="str">
        <f t="shared" si="54"/>
        <v>Premium</v>
      </c>
    </row>
    <row r="700" spans="1:12">
      <c r="A700" t="s">
        <v>1181</v>
      </c>
      <c r="B700" t="s">
        <v>1254</v>
      </c>
      <c r="C700" s="4">
        <v>4.5</v>
      </c>
      <c r="D700" s="4">
        <v>1577</v>
      </c>
      <c r="E700" t="s">
        <v>1255</v>
      </c>
      <c r="F700" s="4">
        <v>19.091576700000001</v>
      </c>
      <c r="G700">
        <v>73.005654300000003</v>
      </c>
      <c r="H700">
        <f t="shared" si="50"/>
        <v>7096.5</v>
      </c>
      <c r="I700" s="4">
        <f t="shared" si="51"/>
        <v>39425</v>
      </c>
      <c r="J700" s="6">
        <f t="shared" si="52"/>
        <v>450</v>
      </c>
      <c r="K700" s="6">
        <f t="shared" si="53"/>
        <v>17741250</v>
      </c>
      <c r="L700" s="3" t="str">
        <f t="shared" si="54"/>
        <v>Premium</v>
      </c>
    </row>
    <row r="701" spans="1:12">
      <c r="A701" t="s">
        <v>1181</v>
      </c>
      <c r="B701" t="s">
        <v>1256</v>
      </c>
      <c r="C701" s="4">
        <v>3</v>
      </c>
      <c r="D701" s="4">
        <v>13</v>
      </c>
      <c r="E701" t="s">
        <v>1257</v>
      </c>
      <c r="F701" s="4">
        <v>19.065766499999999</v>
      </c>
      <c r="G701">
        <v>73.000945199999904</v>
      </c>
      <c r="H701">
        <f t="shared" si="50"/>
        <v>39</v>
      </c>
      <c r="I701" s="4">
        <f t="shared" si="51"/>
        <v>325</v>
      </c>
      <c r="J701" s="6">
        <f t="shared" si="52"/>
        <v>350</v>
      </c>
      <c r="K701" s="6">
        <f t="shared" si="53"/>
        <v>113750</v>
      </c>
      <c r="L701" s="3" t="str">
        <f t="shared" si="54"/>
        <v>Average</v>
      </c>
    </row>
    <row r="702" spans="1:12">
      <c r="A702" t="s">
        <v>1181</v>
      </c>
      <c r="B702" t="s">
        <v>1258</v>
      </c>
      <c r="C702" s="4">
        <v>4.2</v>
      </c>
      <c r="D702" s="4">
        <v>5593</v>
      </c>
      <c r="E702" t="s">
        <v>1259</v>
      </c>
      <c r="F702" s="4">
        <v>19.073940700000001</v>
      </c>
      <c r="G702">
        <v>72.999619099999904</v>
      </c>
      <c r="H702">
        <f t="shared" si="50"/>
        <v>23490.600000000002</v>
      </c>
      <c r="I702" s="4">
        <f t="shared" si="51"/>
        <v>139825</v>
      </c>
      <c r="J702" s="6">
        <f t="shared" si="52"/>
        <v>350</v>
      </c>
      <c r="K702" s="6">
        <f t="shared" si="53"/>
        <v>48938750</v>
      </c>
      <c r="L702" s="3" t="str">
        <f t="shared" si="54"/>
        <v>Popular</v>
      </c>
    </row>
    <row r="703" spans="1:12">
      <c r="A703" t="s">
        <v>1181</v>
      </c>
      <c r="B703" t="s">
        <v>1260</v>
      </c>
      <c r="C703" s="4">
        <v>3.9</v>
      </c>
      <c r="D703" s="4">
        <v>4911</v>
      </c>
      <c r="E703" t="s">
        <v>1261</v>
      </c>
      <c r="F703" s="4">
        <v>19.075427099999999</v>
      </c>
      <c r="G703">
        <v>72.985011799999995</v>
      </c>
      <c r="H703">
        <f t="shared" si="50"/>
        <v>19152.899999999998</v>
      </c>
      <c r="I703" s="4">
        <f t="shared" si="51"/>
        <v>122775</v>
      </c>
      <c r="J703" s="6">
        <f t="shared" si="52"/>
        <v>350</v>
      </c>
      <c r="K703" s="6">
        <f t="shared" si="53"/>
        <v>42971250</v>
      </c>
      <c r="L703" s="3" t="str">
        <f t="shared" si="54"/>
        <v>Average</v>
      </c>
    </row>
    <row r="704" spans="1:12">
      <c r="A704" t="s">
        <v>1181</v>
      </c>
      <c r="B704" t="s">
        <v>1262</v>
      </c>
      <c r="C704" s="4">
        <v>4.3</v>
      </c>
      <c r="D704" s="4">
        <v>75</v>
      </c>
      <c r="E704" t="s">
        <v>1263</v>
      </c>
      <c r="F704" s="4">
        <v>19.0539673</v>
      </c>
      <c r="G704">
        <v>73.006282599999906</v>
      </c>
      <c r="H704">
        <f t="shared" si="50"/>
        <v>322.5</v>
      </c>
      <c r="I704" s="4">
        <f t="shared" si="51"/>
        <v>1875</v>
      </c>
      <c r="J704" s="6">
        <f t="shared" si="52"/>
        <v>350</v>
      </c>
      <c r="K704" s="6">
        <f t="shared" si="53"/>
        <v>656250</v>
      </c>
      <c r="L704" s="3" t="str">
        <f t="shared" si="54"/>
        <v>Popular</v>
      </c>
    </row>
    <row r="705" spans="1:12">
      <c r="A705" t="s">
        <v>1181</v>
      </c>
      <c r="B705" t="s">
        <v>1264</v>
      </c>
      <c r="C705" s="4">
        <v>4.3</v>
      </c>
      <c r="D705" s="4">
        <v>1618</v>
      </c>
      <c r="E705" t="s">
        <v>1265</v>
      </c>
      <c r="F705" s="4">
        <v>19.0835328</v>
      </c>
      <c r="G705">
        <v>73.0063873</v>
      </c>
      <c r="H705">
        <f t="shared" si="50"/>
        <v>6957.4</v>
      </c>
      <c r="I705" s="4">
        <f t="shared" si="51"/>
        <v>40450</v>
      </c>
      <c r="J705" s="6">
        <f t="shared" si="52"/>
        <v>350</v>
      </c>
      <c r="K705" s="6">
        <f t="shared" si="53"/>
        <v>14157500</v>
      </c>
      <c r="L705" s="3" t="str">
        <f t="shared" si="54"/>
        <v>Popular</v>
      </c>
    </row>
    <row r="706" spans="1:12">
      <c r="A706" t="s">
        <v>1181</v>
      </c>
      <c r="B706" t="s">
        <v>1266</v>
      </c>
      <c r="C706" s="4">
        <v>4.4000000000000004</v>
      </c>
      <c r="D706" s="4">
        <v>117</v>
      </c>
      <c r="E706" t="s">
        <v>1267</v>
      </c>
      <c r="F706" s="4">
        <v>19.100381500000001</v>
      </c>
      <c r="G706">
        <v>73.009225299999997</v>
      </c>
      <c r="H706">
        <f t="shared" ref="H706:H769" si="55">C706*D706</f>
        <v>514.80000000000007</v>
      </c>
      <c r="I706" s="4">
        <f t="shared" ref="I706:I769" si="56">D706*25</f>
        <v>2925</v>
      </c>
      <c r="J706" s="6">
        <f t="shared" ref="J706:J769" si="57">IF(C706&gt;=4.7,550,IF(C706&gt;=4.4,450,IF(C706&gt;=O708,350,250)))</f>
        <v>450</v>
      </c>
      <c r="K706" s="6">
        <f t="shared" ref="K706:K769" si="58">I706*J706</f>
        <v>1316250</v>
      </c>
      <c r="L706" s="3" t="str">
        <f t="shared" ref="L706:L769" si="59">IF(C706&gt;=4.5,"Premium",IF(C706&gt;=4,"Popular","Average"))</f>
        <v>Popular</v>
      </c>
    </row>
    <row r="707" spans="1:12">
      <c r="A707" t="s">
        <v>1181</v>
      </c>
      <c r="B707" t="s">
        <v>1268</v>
      </c>
      <c r="C707" s="4">
        <v>4.3</v>
      </c>
      <c r="D707" s="4">
        <v>123</v>
      </c>
      <c r="E707" t="s">
        <v>1269</v>
      </c>
      <c r="F707" s="4">
        <v>19.057032299999999</v>
      </c>
      <c r="G707">
        <v>73.016008099999993</v>
      </c>
      <c r="H707">
        <f t="shared" si="55"/>
        <v>528.9</v>
      </c>
      <c r="I707" s="4">
        <f t="shared" si="56"/>
        <v>3075</v>
      </c>
      <c r="J707" s="6">
        <f t="shared" si="57"/>
        <v>350</v>
      </c>
      <c r="K707" s="6">
        <f t="shared" si="58"/>
        <v>1076250</v>
      </c>
      <c r="L707" s="3" t="str">
        <f t="shared" si="59"/>
        <v>Popular</v>
      </c>
    </row>
    <row r="708" spans="1:12">
      <c r="A708" t="s">
        <v>1181</v>
      </c>
      <c r="B708" t="s">
        <v>1270</v>
      </c>
      <c r="C708" s="4">
        <v>4.5999999999999996</v>
      </c>
      <c r="D708" s="4">
        <v>10</v>
      </c>
      <c r="E708" t="s">
        <v>1271</v>
      </c>
      <c r="F708" s="4">
        <v>19.0658025</v>
      </c>
      <c r="G708">
        <v>72.998540300000002</v>
      </c>
      <c r="H708">
        <f t="shared" si="55"/>
        <v>46</v>
      </c>
      <c r="I708" s="4">
        <f t="shared" si="56"/>
        <v>250</v>
      </c>
      <c r="J708" s="6">
        <f t="shared" si="57"/>
        <v>450</v>
      </c>
      <c r="K708" s="6">
        <f t="shared" si="58"/>
        <v>112500</v>
      </c>
      <c r="L708" s="3" t="str">
        <f t="shared" si="59"/>
        <v>Premium</v>
      </c>
    </row>
    <row r="709" spans="1:12">
      <c r="A709" t="s">
        <v>1181</v>
      </c>
      <c r="B709" t="s">
        <v>1272</v>
      </c>
      <c r="C709" s="4">
        <v>4.7</v>
      </c>
      <c r="D709" s="4">
        <v>6</v>
      </c>
      <c r="E709" t="s">
        <v>1273</v>
      </c>
      <c r="F709" s="4">
        <v>19.075148299999999</v>
      </c>
      <c r="G709">
        <v>73.0079183</v>
      </c>
      <c r="H709">
        <f t="shared" si="55"/>
        <v>28.200000000000003</v>
      </c>
      <c r="I709" s="4">
        <f t="shared" si="56"/>
        <v>150</v>
      </c>
      <c r="J709" s="6">
        <f t="shared" si="57"/>
        <v>550</v>
      </c>
      <c r="K709" s="6">
        <f t="shared" si="58"/>
        <v>82500</v>
      </c>
      <c r="L709" s="3" t="str">
        <f t="shared" si="59"/>
        <v>Premium</v>
      </c>
    </row>
    <row r="710" spans="1:12">
      <c r="A710" t="s">
        <v>1181</v>
      </c>
      <c r="B710" t="s">
        <v>1274</v>
      </c>
      <c r="C710" s="4">
        <v>4</v>
      </c>
      <c r="D710" s="4">
        <v>1</v>
      </c>
      <c r="E710" t="s">
        <v>1275</v>
      </c>
      <c r="F710" s="4">
        <v>19.080896500000001</v>
      </c>
      <c r="G710">
        <v>73.000470300000003</v>
      </c>
      <c r="H710">
        <f t="shared" si="55"/>
        <v>4</v>
      </c>
      <c r="I710" s="4">
        <f t="shared" si="56"/>
        <v>25</v>
      </c>
      <c r="J710" s="6">
        <f t="shared" si="57"/>
        <v>350</v>
      </c>
      <c r="K710" s="6">
        <f t="shared" si="58"/>
        <v>8750</v>
      </c>
      <c r="L710" s="3" t="str">
        <f t="shared" si="59"/>
        <v>Popular</v>
      </c>
    </row>
    <row r="711" spans="1:12">
      <c r="A711" t="s">
        <v>1181</v>
      </c>
      <c r="B711" t="s">
        <v>1276</v>
      </c>
      <c r="C711" s="4">
        <v>4.4000000000000004</v>
      </c>
      <c r="D711" s="4">
        <v>4544</v>
      </c>
      <c r="E711" t="s">
        <v>1277</v>
      </c>
      <c r="F711" s="4">
        <v>19.0827299</v>
      </c>
      <c r="G711">
        <v>73.006397100000001</v>
      </c>
      <c r="H711">
        <f t="shared" si="55"/>
        <v>19993.600000000002</v>
      </c>
      <c r="I711" s="4">
        <f t="shared" si="56"/>
        <v>113600</v>
      </c>
      <c r="J711" s="6">
        <f t="shared" si="57"/>
        <v>450</v>
      </c>
      <c r="K711" s="6">
        <f t="shared" si="58"/>
        <v>51120000</v>
      </c>
      <c r="L711" s="3" t="str">
        <f t="shared" si="59"/>
        <v>Popular</v>
      </c>
    </row>
    <row r="712" spans="1:12">
      <c r="A712" t="s">
        <v>1181</v>
      </c>
      <c r="B712" t="s">
        <v>144</v>
      </c>
      <c r="C712" s="4">
        <v>3.7</v>
      </c>
      <c r="D712" s="4">
        <v>149</v>
      </c>
      <c r="E712" t="s">
        <v>1278</v>
      </c>
      <c r="F712" s="4">
        <v>19.065738799999998</v>
      </c>
      <c r="G712">
        <v>73.000942699999996</v>
      </c>
      <c r="H712">
        <f t="shared" si="55"/>
        <v>551.30000000000007</v>
      </c>
      <c r="I712" s="4">
        <f t="shared" si="56"/>
        <v>3725</v>
      </c>
      <c r="J712" s="6">
        <f t="shared" si="57"/>
        <v>350</v>
      </c>
      <c r="K712" s="6">
        <f t="shared" si="58"/>
        <v>1303750</v>
      </c>
      <c r="L712" s="3" t="str">
        <f t="shared" si="59"/>
        <v>Average</v>
      </c>
    </row>
    <row r="713" spans="1:12">
      <c r="A713" t="s">
        <v>1181</v>
      </c>
      <c r="B713" t="s">
        <v>1279</v>
      </c>
      <c r="C713" s="4">
        <v>4.2</v>
      </c>
      <c r="D713" s="4">
        <v>6536</v>
      </c>
      <c r="E713" t="s">
        <v>1280</v>
      </c>
      <c r="F713" s="4">
        <v>19.067298000000001</v>
      </c>
      <c r="G713">
        <v>72.999228700000003</v>
      </c>
      <c r="H713">
        <f t="shared" si="55"/>
        <v>27451.200000000001</v>
      </c>
      <c r="I713" s="4">
        <f t="shared" si="56"/>
        <v>163400</v>
      </c>
      <c r="J713" s="6">
        <f t="shared" si="57"/>
        <v>350</v>
      </c>
      <c r="K713" s="6">
        <f t="shared" si="58"/>
        <v>57190000</v>
      </c>
      <c r="L713" s="3" t="str">
        <f t="shared" si="59"/>
        <v>Popular</v>
      </c>
    </row>
    <row r="714" spans="1:12">
      <c r="A714" t="s">
        <v>1181</v>
      </c>
      <c r="B714" t="s">
        <v>1281</v>
      </c>
      <c r="C714" s="4">
        <v>4.0999999999999996</v>
      </c>
      <c r="D714" s="4">
        <v>356</v>
      </c>
      <c r="E714" t="s">
        <v>1282</v>
      </c>
      <c r="F714" s="4">
        <v>19.065708999999998</v>
      </c>
      <c r="G714">
        <v>73.001230899999996</v>
      </c>
      <c r="H714">
        <f t="shared" si="55"/>
        <v>1459.6</v>
      </c>
      <c r="I714" s="4">
        <f t="shared" si="56"/>
        <v>8900</v>
      </c>
      <c r="J714" s="6">
        <f t="shared" si="57"/>
        <v>350</v>
      </c>
      <c r="K714" s="6">
        <f t="shared" si="58"/>
        <v>3115000</v>
      </c>
      <c r="L714" s="3" t="str">
        <f t="shared" si="59"/>
        <v>Popular</v>
      </c>
    </row>
    <row r="715" spans="1:12">
      <c r="A715" t="s">
        <v>1181</v>
      </c>
      <c r="B715" t="s">
        <v>1283</v>
      </c>
      <c r="C715" s="4">
        <v>4.3</v>
      </c>
      <c r="D715" s="4">
        <v>1180</v>
      </c>
      <c r="E715" t="s">
        <v>1284</v>
      </c>
      <c r="F715" s="4">
        <v>19.015790599999999</v>
      </c>
      <c r="G715">
        <v>73.041221499999907</v>
      </c>
      <c r="H715">
        <f t="shared" si="55"/>
        <v>5074</v>
      </c>
      <c r="I715" s="4">
        <f t="shared" si="56"/>
        <v>29500</v>
      </c>
      <c r="J715" s="6">
        <f t="shared" si="57"/>
        <v>350</v>
      </c>
      <c r="K715" s="6">
        <f t="shared" si="58"/>
        <v>10325000</v>
      </c>
      <c r="L715" s="3" t="str">
        <f t="shared" si="59"/>
        <v>Popular</v>
      </c>
    </row>
    <row r="716" spans="1:12">
      <c r="A716" t="s">
        <v>1181</v>
      </c>
      <c r="B716" t="s">
        <v>1285</v>
      </c>
      <c r="C716" s="4">
        <v>3.8</v>
      </c>
      <c r="D716" s="4">
        <v>348</v>
      </c>
      <c r="E716" t="s">
        <v>1286</v>
      </c>
      <c r="F716" s="4">
        <v>19.064215699999998</v>
      </c>
      <c r="G716">
        <v>73.010543099999893</v>
      </c>
      <c r="H716">
        <f t="shared" si="55"/>
        <v>1322.3999999999999</v>
      </c>
      <c r="I716" s="4">
        <f t="shared" si="56"/>
        <v>8700</v>
      </c>
      <c r="J716" s="6">
        <f t="shared" si="57"/>
        <v>350</v>
      </c>
      <c r="K716" s="6">
        <f t="shared" si="58"/>
        <v>3045000</v>
      </c>
      <c r="L716" s="3" t="str">
        <f t="shared" si="59"/>
        <v>Average</v>
      </c>
    </row>
    <row r="717" spans="1:12">
      <c r="A717" t="s">
        <v>1181</v>
      </c>
      <c r="B717" t="s">
        <v>48</v>
      </c>
      <c r="C717" s="4">
        <v>4.9000000000000004</v>
      </c>
      <c r="D717" s="4">
        <v>33</v>
      </c>
      <c r="E717" t="s">
        <v>1287</v>
      </c>
      <c r="F717" s="4">
        <v>19.085107099999998</v>
      </c>
      <c r="G717">
        <v>73.007780799999907</v>
      </c>
      <c r="H717">
        <f t="shared" si="55"/>
        <v>161.70000000000002</v>
      </c>
      <c r="I717" s="4">
        <f t="shared" si="56"/>
        <v>825</v>
      </c>
      <c r="J717" s="6">
        <f t="shared" si="57"/>
        <v>550</v>
      </c>
      <c r="K717" s="6">
        <f t="shared" si="58"/>
        <v>453750</v>
      </c>
      <c r="L717" s="3" t="str">
        <f t="shared" si="59"/>
        <v>Premium</v>
      </c>
    </row>
    <row r="718" spans="1:12">
      <c r="A718" t="s">
        <v>1181</v>
      </c>
      <c r="B718" t="s">
        <v>1288</v>
      </c>
      <c r="C718" s="4">
        <v>4.3</v>
      </c>
      <c r="D718" s="4">
        <v>209</v>
      </c>
      <c r="E718" t="s">
        <v>1289</v>
      </c>
      <c r="F718" s="4">
        <v>19.103729900000001</v>
      </c>
      <c r="G718">
        <v>73.001069900000005</v>
      </c>
      <c r="H718">
        <f t="shared" si="55"/>
        <v>898.69999999999993</v>
      </c>
      <c r="I718" s="4">
        <f t="shared" si="56"/>
        <v>5225</v>
      </c>
      <c r="J718" s="6">
        <f t="shared" si="57"/>
        <v>350</v>
      </c>
      <c r="K718" s="6">
        <f t="shared" si="58"/>
        <v>1828750</v>
      </c>
      <c r="L718" s="3" t="str">
        <f t="shared" si="59"/>
        <v>Popular</v>
      </c>
    </row>
    <row r="719" spans="1:12">
      <c r="A719" t="s">
        <v>1181</v>
      </c>
      <c r="B719" t="s">
        <v>1290</v>
      </c>
      <c r="C719" s="4">
        <v>4.5</v>
      </c>
      <c r="D719" s="4">
        <v>14</v>
      </c>
      <c r="E719" t="s">
        <v>1291</v>
      </c>
      <c r="F719" s="4">
        <v>19.079420299999999</v>
      </c>
      <c r="G719">
        <v>73.0053743</v>
      </c>
      <c r="H719">
        <f t="shared" si="55"/>
        <v>63</v>
      </c>
      <c r="I719" s="4">
        <f t="shared" si="56"/>
        <v>350</v>
      </c>
      <c r="J719" s="6">
        <f t="shared" si="57"/>
        <v>450</v>
      </c>
      <c r="K719" s="6">
        <f t="shared" si="58"/>
        <v>157500</v>
      </c>
      <c r="L719" s="3" t="str">
        <f t="shared" si="59"/>
        <v>Premium</v>
      </c>
    </row>
    <row r="720" spans="1:12">
      <c r="A720" t="s">
        <v>1181</v>
      </c>
      <c r="B720" t="s">
        <v>1292</v>
      </c>
      <c r="C720" s="4">
        <v>4.3</v>
      </c>
      <c r="D720" s="4">
        <v>12</v>
      </c>
      <c r="E720" t="s">
        <v>1293</v>
      </c>
      <c r="F720" s="4">
        <v>19.0664221</v>
      </c>
      <c r="G720">
        <v>73.008458699999906</v>
      </c>
      <c r="H720">
        <f t="shared" si="55"/>
        <v>51.599999999999994</v>
      </c>
      <c r="I720" s="4">
        <f t="shared" si="56"/>
        <v>300</v>
      </c>
      <c r="J720" s="6">
        <f t="shared" si="57"/>
        <v>350</v>
      </c>
      <c r="K720" s="6">
        <f t="shared" si="58"/>
        <v>105000</v>
      </c>
      <c r="L720" s="3" t="str">
        <f t="shared" si="59"/>
        <v>Popular</v>
      </c>
    </row>
    <row r="721" spans="1:12">
      <c r="A721" t="s">
        <v>1181</v>
      </c>
      <c r="B721" t="s">
        <v>1294</v>
      </c>
      <c r="C721" s="4">
        <v>4.2</v>
      </c>
      <c r="D721" s="4">
        <v>1791</v>
      </c>
      <c r="E721" t="s">
        <v>1232</v>
      </c>
      <c r="F721" s="4">
        <v>19.0657973</v>
      </c>
      <c r="G721">
        <v>73.000631999999996</v>
      </c>
      <c r="H721">
        <f t="shared" si="55"/>
        <v>7522.2000000000007</v>
      </c>
      <c r="I721" s="4">
        <f t="shared" si="56"/>
        <v>44775</v>
      </c>
      <c r="J721" s="6">
        <f t="shared" si="57"/>
        <v>350</v>
      </c>
      <c r="K721" s="6">
        <f t="shared" si="58"/>
        <v>15671250</v>
      </c>
      <c r="L721" s="3" t="str">
        <f t="shared" si="59"/>
        <v>Popular</v>
      </c>
    </row>
    <row r="722" spans="1:12">
      <c r="A722" t="s">
        <v>1295</v>
      </c>
      <c r="B722" t="s">
        <v>1296</v>
      </c>
      <c r="C722" s="4">
        <v>4.0999999999999996</v>
      </c>
      <c r="D722" s="4">
        <v>1368</v>
      </c>
      <c r="E722" t="s">
        <v>1297</v>
      </c>
      <c r="F722" s="4">
        <v>19.042125899999998</v>
      </c>
      <c r="G722">
        <v>73.024180799999996</v>
      </c>
      <c r="H722">
        <f t="shared" si="55"/>
        <v>5608.7999999999993</v>
      </c>
      <c r="I722" s="4">
        <f t="shared" si="56"/>
        <v>34200</v>
      </c>
      <c r="J722" s="6">
        <f t="shared" si="57"/>
        <v>350</v>
      </c>
      <c r="K722" s="6">
        <f t="shared" si="58"/>
        <v>11970000</v>
      </c>
      <c r="L722" s="3" t="str">
        <f t="shared" si="59"/>
        <v>Popular</v>
      </c>
    </row>
    <row r="723" spans="1:12">
      <c r="A723" t="s">
        <v>1295</v>
      </c>
      <c r="B723" t="s">
        <v>1298</v>
      </c>
      <c r="C723" s="4">
        <v>4.5999999999999996</v>
      </c>
      <c r="D723" s="4">
        <v>263</v>
      </c>
      <c r="E723" t="s">
        <v>1299</v>
      </c>
      <c r="F723" s="4">
        <v>19.040775499999999</v>
      </c>
      <c r="G723">
        <v>73.020984999999996</v>
      </c>
      <c r="H723">
        <f t="shared" si="55"/>
        <v>1209.8</v>
      </c>
      <c r="I723" s="4">
        <f t="shared" si="56"/>
        <v>6575</v>
      </c>
      <c r="J723" s="6">
        <f t="shared" si="57"/>
        <v>450</v>
      </c>
      <c r="K723" s="6">
        <f t="shared" si="58"/>
        <v>2958750</v>
      </c>
      <c r="L723" s="3" t="str">
        <f t="shared" si="59"/>
        <v>Premium</v>
      </c>
    </row>
    <row r="724" spans="1:12">
      <c r="A724" t="s">
        <v>1295</v>
      </c>
      <c r="B724" t="s">
        <v>1300</v>
      </c>
      <c r="C724" s="4">
        <v>4.9000000000000004</v>
      </c>
      <c r="D724" s="4">
        <v>192</v>
      </c>
      <c r="E724" t="s">
        <v>1301</v>
      </c>
      <c r="F724" s="4">
        <v>19.035841699999999</v>
      </c>
      <c r="G724">
        <v>73.024197200000003</v>
      </c>
      <c r="H724">
        <f t="shared" si="55"/>
        <v>940.80000000000007</v>
      </c>
      <c r="I724" s="4">
        <f t="shared" si="56"/>
        <v>4800</v>
      </c>
      <c r="J724" s="6">
        <f t="shared" si="57"/>
        <v>550</v>
      </c>
      <c r="K724" s="6">
        <f t="shared" si="58"/>
        <v>2640000</v>
      </c>
      <c r="L724" s="3" t="str">
        <f t="shared" si="59"/>
        <v>Premium</v>
      </c>
    </row>
    <row r="725" spans="1:12">
      <c r="A725" t="s">
        <v>1295</v>
      </c>
      <c r="B725" t="s">
        <v>1302</v>
      </c>
      <c r="C725" s="4">
        <v>4.2</v>
      </c>
      <c r="D725" s="4">
        <v>28</v>
      </c>
      <c r="E725" t="s">
        <v>1303</v>
      </c>
      <c r="F725" s="4">
        <v>19.043312499999999</v>
      </c>
      <c r="G725">
        <v>73.0270625</v>
      </c>
      <c r="H725">
        <f t="shared" si="55"/>
        <v>117.60000000000001</v>
      </c>
      <c r="I725" s="4">
        <f t="shared" si="56"/>
        <v>700</v>
      </c>
      <c r="J725" s="6">
        <f t="shared" si="57"/>
        <v>350</v>
      </c>
      <c r="K725" s="6">
        <f t="shared" si="58"/>
        <v>245000</v>
      </c>
      <c r="L725" s="3" t="str">
        <f t="shared" si="59"/>
        <v>Popular</v>
      </c>
    </row>
    <row r="726" spans="1:12">
      <c r="A726" t="s">
        <v>1295</v>
      </c>
      <c r="B726" t="s">
        <v>1304</v>
      </c>
      <c r="C726" s="4">
        <v>5</v>
      </c>
      <c r="D726" s="4">
        <v>139</v>
      </c>
      <c r="E726" t="s">
        <v>1305</v>
      </c>
      <c r="F726" s="4">
        <v>19.025829999999999</v>
      </c>
      <c r="G726">
        <v>73.021027000000004</v>
      </c>
      <c r="H726">
        <f t="shared" si="55"/>
        <v>695</v>
      </c>
      <c r="I726" s="4">
        <f t="shared" si="56"/>
        <v>3475</v>
      </c>
      <c r="J726" s="6">
        <f t="shared" si="57"/>
        <v>550</v>
      </c>
      <c r="K726" s="6">
        <f t="shared" si="58"/>
        <v>1911250</v>
      </c>
      <c r="L726" s="3" t="str">
        <f t="shared" si="59"/>
        <v>Premium</v>
      </c>
    </row>
    <row r="727" spans="1:12">
      <c r="A727" t="s">
        <v>1295</v>
      </c>
      <c r="B727" t="s">
        <v>1306</v>
      </c>
      <c r="C727" s="4">
        <v>4.5</v>
      </c>
      <c r="D727" s="4">
        <v>113</v>
      </c>
      <c r="E727" t="s">
        <v>1307</v>
      </c>
      <c r="F727" s="4">
        <v>19.043808500000001</v>
      </c>
      <c r="G727">
        <v>73.009150899999995</v>
      </c>
      <c r="H727">
        <f t="shared" si="55"/>
        <v>508.5</v>
      </c>
      <c r="I727" s="4">
        <f t="shared" si="56"/>
        <v>2825</v>
      </c>
      <c r="J727" s="6">
        <f t="shared" si="57"/>
        <v>450</v>
      </c>
      <c r="K727" s="6">
        <f t="shared" si="58"/>
        <v>1271250</v>
      </c>
      <c r="L727" s="3" t="str">
        <f t="shared" si="59"/>
        <v>Premium</v>
      </c>
    </row>
    <row r="728" spans="1:12">
      <c r="A728" t="s">
        <v>1295</v>
      </c>
      <c r="B728" t="s">
        <v>1308</v>
      </c>
      <c r="C728" s="4">
        <v>4.8</v>
      </c>
      <c r="D728" s="4">
        <v>237</v>
      </c>
      <c r="E728" t="s">
        <v>1309</v>
      </c>
      <c r="F728" s="4">
        <v>19.0217691</v>
      </c>
      <c r="G728">
        <v>73.015452999999994</v>
      </c>
      <c r="H728">
        <f t="shared" si="55"/>
        <v>1137.5999999999999</v>
      </c>
      <c r="I728" s="4">
        <f t="shared" si="56"/>
        <v>5925</v>
      </c>
      <c r="J728" s="6">
        <f t="shared" si="57"/>
        <v>550</v>
      </c>
      <c r="K728" s="6">
        <f t="shared" si="58"/>
        <v>3258750</v>
      </c>
      <c r="L728" s="3" t="str">
        <f t="shared" si="59"/>
        <v>Premium</v>
      </c>
    </row>
    <row r="729" spans="1:12">
      <c r="A729" t="s">
        <v>1295</v>
      </c>
      <c r="B729" t="s">
        <v>1190</v>
      </c>
      <c r="C729" s="4">
        <v>4.4000000000000004</v>
      </c>
      <c r="D729" s="4">
        <v>523</v>
      </c>
      <c r="E729" t="s">
        <v>1191</v>
      </c>
      <c r="F729" s="4">
        <v>19.056582800000001</v>
      </c>
      <c r="G729">
        <v>73.0032037</v>
      </c>
      <c r="H729">
        <f t="shared" si="55"/>
        <v>2301.2000000000003</v>
      </c>
      <c r="I729" s="4">
        <f t="shared" si="56"/>
        <v>13075</v>
      </c>
      <c r="J729" s="6">
        <f t="shared" si="57"/>
        <v>450</v>
      </c>
      <c r="K729" s="6">
        <f t="shared" si="58"/>
        <v>5883750</v>
      </c>
      <c r="L729" s="3" t="str">
        <f t="shared" si="59"/>
        <v>Popular</v>
      </c>
    </row>
    <row r="730" spans="1:12">
      <c r="A730" t="s">
        <v>1295</v>
      </c>
      <c r="B730" t="s">
        <v>1310</v>
      </c>
      <c r="C730" s="4">
        <v>4.8</v>
      </c>
      <c r="D730" s="4">
        <v>79</v>
      </c>
      <c r="E730" t="s">
        <v>1311</v>
      </c>
      <c r="F730" s="4">
        <v>19.0329871</v>
      </c>
      <c r="G730">
        <v>73.012118700000002</v>
      </c>
      <c r="H730">
        <f t="shared" si="55"/>
        <v>379.2</v>
      </c>
      <c r="I730" s="4">
        <f t="shared" si="56"/>
        <v>1975</v>
      </c>
      <c r="J730" s="6">
        <f t="shared" si="57"/>
        <v>550</v>
      </c>
      <c r="K730" s="6">
        <f t="shared" si="58"/>
        <v>1086250</v>
      </c>
      <c r="L730" s="3" t="str">
        <f t="shared" si="59"/>
        <v>Premium</v>
      </c>
    </row>
    <row r="731" spans="1:12">
      <c r="A731" t="s">
        <v>1295</v>
      </c>
      <c r="B731" t="s">
        <v>1312</v>
      </c>
      <c r="C731" s="4">
        <v>4.8</v>
      </c>
      <c r="D731" s="4">
        <v>134</v>
      </c>
      <c r="E731" t="s">
        <v>1313</v>
      </c>
      <c r="F731" s="4">
        <v>19.022916299999999</v>
      </c>
      <c r="G731">
        <v>73.021074799999994</v>
      </c>
      <c r="H731">
        <f t="shared" si="55"/>
        <v>643.19999999999993</v>
      </c>
      <c r="I731" s="4">
        <f t="shared" si="56"/>
        <v>3350</v>
      </c>
      <c r="J731" s="6">
        <f t="shared" si="57"/>
        <v>550</v>
      </c>
      <c r="K731" s="6">
        <f t="shared" si="58"/>
        <v>1842500</v>
      </c>
      <c r="L731" s="3" t="str">
        <f t="shared" si="59"/>
        <v>Premium</v>
      </c>
    </row>
    <row r="732" spans="1:12">
      <c r="A732" t="s">
        <v>1295</v>
      </c>
      <c r="B732" t="s">
        <v>1314</v>
      </c>
      <c r="C732" s="4">
        <v>4.5999999999999996</v>
      </c>
      <c r="D732" s="4">
        <v>124</v>
      </c>
      <c r="E732" t="s">
        <v>1315</v>
      </c>
      <c r="F732" s="4">
        <v>19.024753499999999</v>
      </c>
      <c r="G732">
        <v>73.022224499999993</v>
      </c>
      <c r="H732">
        <f t="shared" si="55"/>
        <v>570.4</v>
      </c>
      <c r="I732" s="4">
        <f t="shared" si="56"/>
        <v>3100</v>
      </c>
      <c r="J732" s="6">
        <f t="shared" si="57"/>
        <v>450</v>
      </c>
      <c r="K732" s="6">
        <f t="shared" si="58"/>
        <v>1395000</v>
      </c>
      <c r="L732" s="3" t="str">
        <f t="shared" si="59"/>
        <v>Premium</v>
      </c>
    </row>
    <row r="733" spans="1:12">
      <c r="A733" t="s">
        <v>1295</v>
      </c>
      <c r="B733" t="s">
        <v>1316</v>
      </c>
      <c r="C733" s="4">
        <v>4</v>
      </c>
      <c r="D733" s="4">
        <v>127</v>
      </c>
      <c r="E733" t="s">
        <v>1317</v>
      </c>
      <c r="F733" s="4">
        <v>19.037030900000001</v>
      </c>
      <c r="G733">
        <v>73.018918599999907</v>
      </c>
      <c r="H733">
        <f t="shared" si="55"/>
        <v>508</v>
      </c>
      <c r="I733" s="4">
        <f t="shared" si="56"/>
        <v>3175</v>
      </c>
      <c r="J733" s="6">
        <f t="shared" si="57"/>
        <v>350</v>
      </c>
      <c r="K733" s="6">
        <f t="shared" si="58"/>
        <v>1111250</v>
      </c>
      <c r="L733" s="3" t="str">
        <f t="shared" si="59"/>
        <v>Popular</v>
      </c>
    </row>
    <row r="734" spans="1:12">
      <c r="A734" t="s">
        <v>1295</v>
      </c>
      <c r="B734" t="s">
        <v>1318</v>
      </c>
      <c r="C734" s="4">
        <v>4.8</v>
      </c>
      <c r="D734" s="4">
        <v>1395</v>
      </c>
      <c r="E734" t="s">
        <v>1319</v>
      </c>
      <c r="F734" s="4">
        <v>19.006477</v>
      </c>
      <c r="G734">
        <v>73.033076399999999</v>
      </c>
      <c r="H734">
        <f t="shared" si="55"/>
        <v>6696</v>
      </c>
      <c r="I734" s="4">
        <f t="shared" si="56"/>
        <v>34875</v>
      </c>
      <c r="J734" s="6">
        <f t="shared" si="57"/>
        <v>550</v>
      </c>
      <c r="K734" s="6">
        <f t="shared" si="58"/>
        <v>19181250</v>
      </c>
      <c r="L734" s="3" t="str">
        <f t="shared" si="59"/>
        <v>Premium</v>
      </c>
    </row>
    <row r="735" spans="1:12">
      <c r="A735" t="s">
        <v>1295</v>
      </c>
      <c r="B735" t="s">
        <v>1202</v>
      </c>
      <c r="C735" s="4">
        <v>4.5</v>
      </c>
      <c r="D735" s="4">
        <v>739</v>
      </c>
      <c r="E735" t="s">
        <v>1203</v>
      </c>
      <c r="F735" s="4">
        <v>19.055643400000001</v>
      </c>
      <c r="G735">
        <v>73.015022399999907</v>
      </c>
      <c r="H735">
        <f t="shared" si="55"/>
        <v>3325.5</v>
      </c>
      <c r="I735" s="4">
        <f t="shared" si="56"/>
        <v>18475</v>
      </c>
      <c r="J735" s="6">
        <f t="shared" si="57"/>
        <v>450</v>
      </c>
      <c r="K735" s="6">
        <f t="shared" si="58"/>
        <v>8313750</v>
      </c>
      <c r="L735" s="3" t="str">
        <f t="shared" si="59"/>
        <v>Premium</v>
      </c>
    </row>
    <row r="736" spans="1:12">
      <c r="A736" t="s">
        <v>1295</v>
      </c>
      <c r="B736" t="s">
        <v>1320</v>
      </c>
      <c r="C736" s="4">
        <v>4.7</v>
      </c>
      <c r="D736" s="4">
        <v>35</v>
      </c>
      <c r="E736" t="s">
        <v>1321</v>
      </c>
      <c r="F736" s="4">
        <v>19.031068699999999</v>
      </c>
      <c r="G736">
        <v>73.027243499999997</v>
      </c>
      <c r="H736">
        <f t="shared" si="55"/>
        <v>164.5</v>
      </c>
      <c r="I736" s="4">
        <f t="shared" si="56"/>
        <v>875</v>
      </c>
      <c r="J736" s="6">
        <f t="shared" si="57"/>
        <v>550</v>
      </c>
      <c r="K736" s="6">
        <f t="shared" si="58"/>
        <v>481250</v>
      </c>
      <c r="L736" s="3" t="str">
        <f t="shared" si="59"/>
        <v>Premium</v>
      </c>
    </row>
    <row r="737" spans="1:12">
      <c r="A737" t="s">
        <v>1295</v>
      </c>
      <c r="B737" t="s">
        <v>1322</v>
      </c>
      <c r="C737" s="4">
        <v>4.2</v>
      </c>
      <c r="D737" s="4">
        <v>1160</v>
      </c>
      <c r="E737" t="s">
        <v>1323</v>
      </c>
      <c r="F737" s="4">
        <v>19.029653</v>
      </c>
      <c r="G737">
        <v>73.023086399999997</v>
      </c>
      <c r="H737">
        <f t="shared" si="55"/>
        <v>4872</v>
      </c>
      <c r="I737" s="4">
        <f t="shared" si="56"/>
        <v>29000</v>
      </c>
      <c r="J737" s="6">
        <f t="shared" si="57"/>
        <v>350</v>
      </c>
      <c r="K737" s="6">
        <f t="shared" si="58"/>
        <v>10150000</v>
      </c>
      <c r="L737" s="3" t="str">
        <f t="shared" si="59"/>
        <v>Popular</v>
      </c>
    </row>
    <row r="738" spans="1:12">
      <c r="A738" t="s">
        <v>1295</v>
      </c>
      <c r="B738" t="s">
        <v>1324</v>
      </c>
      <c r="C738" s="4">
        <v>4.8</v>
      </c>
      <c r="D738" s="4">
        <v>20</v>
      </c>
      <c r="E738" t="s">
        <v>1325</v>
      </c>
      <c r="F738" s="4">
        <v>19.0339052</v>
      </c>
      <c r="G738">
        <v>73.026971000000003</v>
      </c>
      <c r="H738">
        <f t="shared" si="55"/>
        <v>96</v>
      </c>
      <c r="I738" s="4">
        <f t="shared" si="56"/>
        <v>500</v>
      </c>
      <c r="J738" s="6">
        <f t="shared" si="57"/>
        <v>550</v>
      </c>
      <c r="K738" s="6">
        <f t="shared" si="58"/>
        <v>275000</v>
      </c>
      <c r="L738" s="3" t="str">
        <f t="shared" si="59"/>
        <v>Premium</v>
      </c>
    </row>
    <row r="739" spans="1:12">
      <c r="A739" t="s">
        <v>1295</v>
      </c>
      <c r="B739" t="s">
        <v>1326</v>
      </c>
      <c r="C739" s="4">
        <v>4.9000000000000004</v>
      </c>
      <c r="D739" s="4">
        <v>104</v>
      </c>
      <c r="E739" t="s">
        <v>1327</v>
      </c>
      <c r="F739" s="4">
        <v>19.0237658</v>
      </c>
      <c r="G739">
        <v>73.019487900000001</v>
      </c>
      <c r="H739">
        <f t="shared" si="55"/>
        <v>509.6</v>
      </c>
      <c r="I739" s="4">
        <f t="shared" si="56"/>
        <v>2600</v>
      </c>
      <c r="J739" s="6">
        <f t="shared" si="57"/>
        <v>550</v>
      </c>
      <c r="K739" s="6">
        <f t="shared" si="58"/>
        <v>1430000</v>
      </c>
      <c r="L739" s="3" t="str">
        <f t="shared" si="59"/>
        <v>Premium</v>
      </c>
    </row>
    <row r="740" spans="1:12">
      <c r="A740" t="s">
        <v>1295</v>
      </c>
      <c r="B740" t="s">
        <v>1328</v>
      </c>
      <c r="C740" s="4">
        <v>4.5999999999999996</v>
      </c>
      <c r="D740" s="4">
        <v>241</v>
      </c>
      <c r="E740" t="s">
        <v>1329</v>
      </c>
      <c r="F740" s="4">
        <v>19.019092499999999</v>
      </c>
      <c r="G740">
        <v>73.015524599999907</v>
      </c>
      <c r="H740">
        <f t="shared" si="55"/>
        <v>1108.5999999999999</v>
      </c>
      <c r="I740" s="4">
        <f t="shared" si="56"/>
        <v>6025</v>
      </c>
      <c r="J740" s="6">
        <f t="shared" si="57"/>
        <v>450</v>
      </c>
      <c r="K740" s="6">
        <f t="shared" si="58"/>
        <v>2711250</v>
      </c>
      <c r="L740" s="3" t="str">
        <f t="shared" si="59"/>
        <v>Premium</v>
      </c>
    </row>
    <row r="741" spans="1:12">
      <c r="A741" t="s">
        <v>1295</v>
      </c>
      <c r="B741" t="s">
        <v>528</v>
      </c>
      <c r="C741" s="4">
        <v>4</v>
      </c>
      <c r="D741" s="4">
        <v>384</v>
      </c>
      <c r="E741" t="s">
        <v>1330</v>
      </c>
      <c r="F741" s="4">
        <v>19.0211857</v>
      </c>
      <c r="G741">
        <v>73.019555299999993</v>
      </c>
      <c r="H741">
        <f t="shared" si="55"/>
        <v>1536</v>
      </c>
      <c r="I741" s="4">
        <f t="shared" si="56"/>
        <v>9600</v>
      </c>
      <c r="J741" s="6">
        <f t="shared" si="57"/>
        <v>350</v>
      </c>
      <c r="K741" s="6">
        <f t="shared" si="58"/>
        <v>3360000</v>
      </c>
      <c r="L741" s="3" t="str">
        <f t="shared" si="59"/>
        <v>Popular</v>
      </c>
    </row>
    <row r="742" spans="1:12">
      <c r="A742" t="s">
        <v>1295</v>
      </c>
      <c r="B742" t="s">
        <v>1331</v>
      </c>
      <c r="C742" s="4">
        <v>4.5999999999999996</v>
      </c>
      <c r="D742" s="4">
        <v>152</v>
      </c>
      <c r="E742" t="s">
        <v>1303</v>
      </c>
      <c r="F742" s="4">
        <v>19.043336199999999</v>
      </c>
      <c r="G742">
        <v>73.027075600000003</v>
      </c>
      <c r="H742">
        <f t="shared" si="55"/>
        <v>699.19999999999993</v>
      </c>
      <c r="I742" s="4">
        <f t="shared" si="56"/>
        <v>3800</v>
      </c>
      <c r="J742" s="6">
        <f t="shared" si="57"/>
        <v>450</v>
      </c>
      <c r="K742" s="6">
        <f t="shared" si="58"/>
        <v>1710000</v>
      </c>
      <c r="L742" s="3" t="str">
        <f t="shared" si="59"/>
        <v>Premium</v>
      </c>
    </row>
    <row r="743" spans="1:12">
      <c r="A743" t="s">
        <v>1295</v>
      </c>
      <c r="B743" t="s">
        <v>1332</v>
      </c>
      <c r="C743" s="4">
        <v>4.4000000000000004</v>
      </c>
      <c r="D743" s="4">
        <v>54</v>
      </c>
      <c r="E743" t="s">
        <v>1333</v>
      </c>
      <c r="F743" s="4">
        <v>19.048749600000001</v>
      </c>
      <c r="G743">
        <v>73.020482700000002</v>
      </c>
      <c r="H743">
        <f t="shared" si="55"/>
        <v>237.60000000000002</v>
      </c>
      <c r="I743" s="4">
        <f t="shared" si="56"/>
        <v>1350</v>
      </c>
      <c r="J743" s="6">
        <f t="shared" si="57"/>
        <v>450</v>
      </c>
      <c r="K743" s="6">
        <f t="shared" si="58"/>
        <v>607500</v>
      </c>
      <c r="L743" s="3" t="str">
        <f t="shared" si="59"/>
        <v>Popular</v>
      </c>
    </row>
    <row r="744" spans="1:12">
      <c r="A744" t="s">
        <v>1295</v>
      </c>
      <c r="B744" t="s">
        <v>1334</v>
      </c>
      <c r="C744" s="4">
        <v>4.4000000000000004</v>
      </c>
      <c r="D744" s="4">
        <v>96</v>
      </c>
      <c r="E744" t="s">
        <v>1335</v>
      </c>
      <c r="F744" s="4">
        <v>19.023695</v>
      </c>
      <c r="G744">
        <v>73.0317656</v>
      </c>
      <c r="H744">
        <f t="shared" si="55"/>
        <v>422.40000000000003</v>
      </c>
      <c r="I744" s="4">
        <f t="shared" si="56"/>
        <v>2400</v>
      </c>
      <c r="J744" s="6">
        <f t="shared" si="57"/>
        <v>450</v>
      </c>
      <c r="K744" s="6">
        <f t="shared" si="58"/>
        <v>1080000</v>
      </c>
      <c r="L744" s="3" t="str">
        <f t="shared" si="59"/>
        <v>Popular</v>
      </c>
    </row>
    <row r="745" spans="1:12">
      <c r="A745" t="s">
        <v>1295</v>
      </c>
      <c r="B745" t="s">
        <v>1336</v>
      </c>
      <c r="C745" s="4">
        <v>4.2</v>
      </c>
      <c r="D745" s="4">
        <v>2630</v>
      </c>
      <c r="E745" t="s">
        <v>1337</v>
      </c>
      <c r="F745" s="4">
        <v>19.057972100000001</v>
      </c>
      <c r="G745">
        <v>73.0021244</v>
      </c>
      <c r="H745">
        <f t="shared" si="55"/>
        <v>11046</v>
      </c>
      <c r="I745" s="4">
        <f t="shared" si="56"/>
        <v>65750</v>
      </c>
      <c r="J745" s="6">
        <f t="shared" si="57"/>
        <v>350</v>
      </c>
      <c r="K745" s="6">
        <f t="shared" si="58"/>
        <v>23012500</v>
      </c>
      <c r="L745" s="3" t="str">
        <f t="shared" si="59"/>
        <v>Popular</v>
      </c>
    </row>
    <row r="746" spans="1:12">
      <c r="A746" t="s">
        <v>1295</v>
      </c>
      <c r="B746" t="s">
        <v>1338</v>
      </c>
      <c r="C746" s="4">
        <v>4.4000000000000004</v>
      </c>
      <c r="D746" s="4">
        <v>1068</v>
      </c>
      <c r="E746" t="s">
        <v>1339</v>
      </c>
      <c r="F746" s="4">
        <v>19.007045699999999</v>
      </c>
      <c r="G746">
        <v>73.033661699999996</v>
      </c>
      <c r="H746">
        <f t="shared" si="55"/>
        <v>4699.2000000000007</v>
      </c>
      <c r="I746" s="4">
        <f t="shared" si="56"/>
        <v>26700</v>
      </c>
      <c r="J746" s="6">
        <f t="shared" si="57"/>
        <v>450</v>
      </c>
      <c r="K746" s="6">
        <f t="shared" si="58"/>
        <v>12015000</v>
      </c>
      <c r="L746" s="3" t="str">
        <f t="shared" si="59"/>
        <v>Popular</v>
      </c>
    </row>
    <row r="747" spans="1:12">
      <c r="A747" t="s">
        <v>1295</v>
      </c>
      <c r="B747" t="s">
        <v>1340</v>
      </c>
      <c r="C747" s="4">
        <v>4.4000000000000004</v>
      </c>
      <c r="D747" s="4">
        <v>208</v>
      </c>
      <c r="E747" t="s">
        <v>1341</v>
      </c>
      <c r="F747" s="4">
        <v>19.010544700000001</v>
      </c>
      <c r="G747">
        <v>73.011974100000003</v>
      </c>
      <c r="H747">
        <f t="shared" si="55"/>
        <v>915.2</v>
      </c>
      <c r="I747" s="4">
        <f t="shared" si="56"/>
        <v>5200</v>
      </c>
      <c r="J747" s="6">
        <f t="shared" si="57"/>
        <v>450</v>
      </c>
      <c r="K747" s="6">
        <f t="shared" si="58"/>
        <v>2340000</v>
      </c>
      <c r="L747" s="3" t="str">
        <f t="shared" si="59"/>
        <v>Popular</v>
      </c>
    </row>
    <row r="748" spans="1:12">
      <c r="A748" t="s">
        <v>1295</v>
      </c>
      <c r="B748" t="s">
        <v>1342</v>
      </c>
      <c r="C748" s="4">
        <v>4.2</v>
      </c>
      <c r="D748" s="4">
        <v>322</v>
      </c>
      <c r="E748" t="s">
        <v>1343</v>
      </c>
      <c r="F748" s="4">
        <v>19.0331084</v>
      </c>
      <c r="G748">
        <v>73.014905499999998</v>
      </c>
      <c r="H748">
        <f t="shared" si="55"/>
        <v>1352.4</v>
      </c>
      <c r="I748" s="4">
        <f t="shared" si="56"/>
        <v>8050</v>
      </c>
      <c r="J748" s="6">
        <f t="shared" si="57"/>
        <v>350</v>
      </c>
      <c r="K748" s="6">
        <f t="shared" si="58"/>
        <v>2817500</v>
      </c>
      <c r="L748" s="3" t="str">
        <f t="shared" si="59"/>
        <v>Popular</v>
      </c>
    </row>
    <row r="749" spans="1:12">
      <c r="A749" t="s">
        <v>1295</v>
      </c>
      <c r="B749" t="s">
        <v>1344</v>
      </c>
      <c r="C749" s="4">
        <v>4.9000000000000004</v>
      </c>
      <c r="D749" s="4">
        <v>201</v>
      </c>
      <c r="E749" t="s">
        <v>1345</v>
      </c>
      <c r="F749" s="4">
        <v>19.0112536</v>
      </c>
      <c r="G749">
        <v>73.012016299999999</v>
      </c>
      <c r="H749">
        <f t="shared" si="55"/>
        <v>984.90000000000009</v>
      </c>
      <c r="I749" s="4">
        <f t="shared" si="56"/>
        <v>5025</v>
      </c>
      <c r="J749" s="6">
        <f t="shared" si="57"/>
        <v>550</v>
      </c>
      <c r="K749" s="6">
        <f t="shared" si="58"/>
        <v>2763750</v>
      </c>
      <c r="L749" s="3" t="str">
        <f t="shared" si="59"/>
        <v>Premium</v>
      </c>
    </row>
    <row r="750" spans="1:12">
      <c r="A750" t="s">
        <v>1295</v>
      </c>
      <c r="B750" t="s">
        <v>1346</v>
      </c>
      <c r="C750" s="4">
        <v>4.2</v>
      </c>
      <c r="D750" s="4">
        <v>1599</v>
      </c>
      <c r="E750" t="s">
        <v>1347</v>
      </c>
      <c r="F750" s="4">
        <v>19.010225200000001</v>
      </c>
      <c r="G750">
        <v>73.012336500000004</v>
      </c>
      <c r="H750">
        <f t="shared" si="55"/>
        <v>6715.8</v>
      </c>
      <c r="I750" s="4">
        <f t="shared" si="56"/>
        <v>39975</v>
      </c>
      <c r="J750" s="6">
        <f t="shared" si="57"/>
        <v>350</v>
      </c>
      <c r="K750" s="6">
        <f t="shared" si="58"/>
        <v>13991250</v>
      </c>
      <c r="L750" s="3" t="str">
        <f t="shared" si="59"/>
        <v>Popular</v>
      </c>
    </row>
    <row r="751" spans="1:12">
      <c r="A751" t="s">
        <v>1295</v>
      </c>
      <c r="B751" t="s">
        <v>1348</v>
      </c>
      <c r="C751" s="4">
        <v>3.7</v>
      </c>
      <c r="D751" s="4">
        <v>340</v>
      </c>
      <c r="E751" t="s">
        <v>1349</v>
      </c>
      <c r="F751" s="4">
        <v>19.033962899999999</v>
      </c>
      <c r="G751">
        <v>73.018720899999906</v>
      </c>
      <c r="H751">
        <f t="shared" si="55"/>
        <v>1258</v>
      </c>
      <c r="I751" s="4">
        <f t="shared" si="56"/>
        <v>8500</v>
      </c>
      <c r="J751" s="6">
        <f t="shared" si="57"/>
        <v>350</v>
      </c>
      <c r="K751" s="6">
        <f t="shared" si="58"/>
        <v>2975000</v>
      </c>
      <c r="L751" s="3" t="str">
        <f t="shared" si="59"/>
        <v>Average</v>
      </c>
    </row>
    <row r="752" spans="1:12">
      <c r="A752" t="s">
        <v>1295</v>
      </c>
      <c r="B752" t="s">
        <v>1350</v>
      </c>
      <c r="C752" s="4">
        <v>4.4000000000000004</v>
      </c>
      <c r="D752" s="4">
        <v>37</v>
      </c>
      <c r="E752" t="s">
        <v>1351</v>
      </c>
      <c r="F752" s="4">
        <v>19.032525</v>
      </c>
      <c r="G752">
        <v>73.016647399999997</v>
      </c>
      <c r="H752">
        <f t="shared" si="55"/>
        <v>162.80000000000001</v>
      </c>
      <c r="I752" s="4">
        <f t="shared" si="56"/>
        <v>925</v>
      </c>
      <c r="J752" s="6">
        <f t="shared" si="57"/>
        <v>450</v>
      </c>
      <c r="K752" s="6">
        <f t="shared" si="58"/>
        <v>416250</v>
      </c>
      <c r="L752" s="3" t="str">
        <f t="shared" si="59"/>
        <v>Popular</v>
      </c>
    </row>
    <row r="753" spans="1:12">
      <c r="A753" t="s">
        <v>1295</v>
      </c>
      <c r="B753" t="s">
        <v>1352</v>
      </c>
      <c r="C753" s="4">
        <v>4.4000000000000004</v>
      </c>
      <c r="D753" s="4">
        <v>565</v>
      </c>
      <c r="E753" t="s">
        <v>1353</v>
      </c>
      <c r="F753" s="4">
        <v>19.007391200000001</v>
      </c>
      <c r="G753">
        <v>73.034680999999907</v>
      </c>
      <c r="H753">
        <f t="shared" si="55"/>
        <v>2486</v>
      </c>
      <c r="I753" s="4">
        <f t="shared" si="56"/>
        <v>14125</v>
      </c>
      <c r="J753" s="6">
        <f t="shared" si="57"/>
        <v>450</v>
      </c>
      <c r="K753" s="6">
        <f t="shared" si="58"/>
        <v>6356250</v>
      </c>
      <c r="L753" s="3" t="str">
        <f t="shared" si="59"/>
        <v>Popular</v>
      </c>
    </row>
    <row r="754" spans="1:12">
      <c r="A754" t="s">
        <v>1295</v>
      </c>
      <c r="B754" t="s">
        <v>1354</v>
      </c>
      <c r="C754" s="4">
        <v>4.2</v>
      </c>
      <c r="D754" s="4">
        <v>2443</v>
      </c>
      <c r="E754" t="s">
        <v>1355</v>
      </c>
      <c r="F754" s="4">
        <v>19.009949500000001</v>
      </c>
      <c r="G754">
        <v>73.0326412</v>
      </c>
      <c r="H754">
        <f t="shared" si="55"/>
        <v>10260.6</v>
      </c>
      <c r="I754" s="4">
        <f t="shared" si="56"/>
        <v>61075</v>
      </c>
      <c r="J754" s="6">
        <f t="shared" si="57"/>
        <v>350</v>
      </c>
      <c r="K754" s="6">
        <f t="shared" si="58"/>
        <v>21376250</v>
      </c>
      <c r="L754" s="3" t="str">
        <f t="shared" si="59"/>
        <v>Popular</v>
      </c>
    </row>
    <row r="755" spans="1:12">
      <c r="A755" t="s">
        <v>1295</v>
      </c>
      <c r="B755" t="s">
        <v>1356</v>
      </c>
      <c r="C755" s="4">
        <v>4.4000000000000004</v>
      </c>
      <c r="D755" s="4">
        <v>487</v>
      </c>
      <c r="E755" t="s">
        <v>1357</v>
      </c>
      <c r="F755" s="4">
        <v>19.0077094</v>
      </c>
      <c r="G755">
        <v>73.035687999999993</v>
      </c>
      <c r="H755">
        <f t="shared" si="55"/>
        <v>2142.8000000000002</v>
      </c>
      <c r="I755" s="4">
        <f t="shared" si="56"/>
        <v>12175</v>
      </c>
      <c r="J755" s="6">
        <f t="shared" si="57"/>
        <v>450</v>
      </c>
      <c r="K755" s="6">
        <f t="shared" si="58"/>
        <v>5478750</v>
      </c>
      <c r="L755" s="3" t="str">
        <f t="shared" si="59"/>
        <v>Popular</v>
      </c>
    </row>
    <row r="756" spans="1:12">
      <c r="A756" t="s">
        <v>1295</v>
      </c>
      <c r="B756" t="s">
        <v>1358</v>
      </c>
      <c r="C756" s="4">
        <v>4.3</v>
      </c>
      <c r="D756" s="4">
        <v>488</v>
      </c>
      <c r="E756" t="s">
        <v>1359</v>
      </c>
      <c r="F756" s="4">
        <v>19.0205099</v>
      </c>
      <c r="G756">
        <v>73.0174935</v>
      </c>
      <c r="H756">
        <f t="shared" si="55"/>
        <v>2098.4</v>
      </c>
      <c r="I756" s="4">
        <f t="shared" si="56"/>
        <v>12200</v>
      </c>
      <c r="J756" s="6">
        <f t="shared" si="57"/>
        <v>350</v>
      </c>
      <c r="K756" s="6">
        <f t="shared" si="58"/>
        <v>4270000</v>
      </c>
      <c r="L756" s="3" t="str">
        <f t="shared" si="59"/>
        <v>Popular</v>
      </c>
    </row>
    <row r="757" spans="1:12">
      <c r="A757" t="s">
        <v>1295</v>
      </c>
      <c r="B757" t="s">
        <v>123</v>
      </c>
      <c r="C757" s="4">
        <v>4.9000000000000004</v>
      </c>
      <c r="D757" s="4">
        <v>89</v>
      </c>
      <c r="E757" t="s">
        <v>1360</v>
      </c>
      <c r="F757" s="4">
        <v>19.043410099999999</v>
      </c>
      <c r="G757">
        <v>73.008622000000003</v>
      </c>
      <c r="H757">
        <f t="shared" si="55"/>
        <v>436.1</v>
      </c>
      <c r="I757" s="4">
        <f t="shared" si="56"/>
        <v>2225</v>
      </c>
      <c r="J757" s="6">
        <f t="shared" si="57"/>
        <v>550</v>
      </c>
      <c r="K757" s="6">
        <f t="shared" si="58"/>
        <v>1223750</v>
      </c>
      <c r="L757" s="3" t="str">
        <f t="shared" si="59"/>
        <v>Premium</v>
      </c>
    </row>
    <row r="758" spans="1:12">
      <c r="A758" t="s">
        <v>1295</v>
      </c>
      <c r="B758" t="s">
        <v>1361</v>
      </c>
      <c r="C758" s="4">
        <v>3.9</v>
      </c>
      <c r="D758" s="4">
        <v>1120</v>
      </c>
      <c r="E758" t="s">
        <v>1362</v>
      </c>
      <c r="F758" s="4">
        <v>19.022217600000001</v>
      </c>
      <c r="G758">
        <v>73.017619400000001</v>
      </c>
      <c r="H758">
        <f t="shared" si="55"/>
        <v>4368</v>
      </c>
      <c r="I758" s="4">
        <f t="shared" si="56"/>
        <v>28000</v>
      </c>
      <c r="J758" s="6">
        <f t="shared" si="57"/>
        <v>350</v>
      </c>
      <c r="K758" s="6">
        <f t="shared" si="58"/>
        <v>9800000</v>
      </c>
      <c r="L758" s="3" t="str">
        <f t="shared" si="59"/>
        <v>Average</v>
      </c>
    </row>
    <row r="759" spans="1:12">
      <c r="A759" t="s">
        <v>1295</v>
      </c>
      <c r="B759" t="s">
        <v>1363</v>
      </c>
      <c r="C759" s="4">
        <v>4.3</v>
      </c>
      <c r="D759" s="4">
        <v>130</v>
      </c>
      <c r="E759" t="s">
        <v>1364</v>
      </c>
      <c r="F759" s="4">
        <v>19.0214441</v>
      </c>
      <c r="G759">
        <v>73.018523700000003</v>
      </c>
      <c r="H759">
        <f t="shared" si="55"/>
        <v>559</v>
      </c>
      <c r="I759" s="4">
        <f t="shared" si="56"/>
        <v>3250</v>
      </c>
      <c r="J759" s="6">
        <f t="shared" si="57"/>
        <v>350</v>
      </c>
      <c r="K759" s="6">
        <f t="shared" si="58"/>
        <v>1137500</v>
      </c>
      <c r="L759" s="3" t="str">
        <f t="shared" si="59"/>
        <v>Popular</v>
      </c>
    </row>
    <row r="760" spans="1:12">
      <c r="A760" t="s">
        <v>1295</v>
      </c>
      <c r="B760" t="s">
        <v>1365</v>
      </c>
      <c r="C760" s="4">
        <v>4.3</v>
      </c>
      <c r="D760" s="4">
        <v>114</v>
      </c>
      <c r="E760" t="s">
        <v>1366</v>
      </c>
      <c r="F760" s="4">
        <v>19.021365100000001</v>
      </c>
      <c r="G760">
        <v>73.021175399999905</v>
      </c>
      <c r="H760">
        <f t="shared" si="55"/>
        <v>490.2</v>
      </c>
      <c r="I760" s="4">
        <f t="shared" si="56"/>
        <v>2850</v>
      </c>
      <c r="J760" s="6">
        <f t="shared" si="57"/>
        <v>350</v>
      </c>
      <c r="K760" s="6">
        <f t="shared" si="58"/>
        <v>997500</v>
      </c>
      <c r="L760" s="3" t="str">
        <f t="shared" si="59"/>
        <v>Popular</v>
      </c>
    </row>
    <row r="761" spans="1:12">
      <c r="A761" t="s">
        <v>1295</v>
      </c>
      <c r="B761" t="s">
        <v>1367</v>
      </c>
      <c r="C761" s="4">
        <v>4.8</v>
      </c>
      <c r="D761" s="4">
        <v>5</v>
      </c>
      <c r="E761" t="s">
        <v>1368</v>
      </c>
      <c r="F761" s="4">
        <v>19.032508</v>
      </c>
      <c r="G761">
        <v>73.0167632</v>
      </c>
      <c r="H761">
        <f t="shared" si="55"/>
        <v>24</v>
      </c>
      <c r="I761" s="4">
        <f t="shared" si="56"/>
        <v>125</v>
      </c>
      <c r="J761" s="6">
        <f t="shared" si="57"/>
        <v>550</v>
      </c>
      <c r="K761" s="6">
        <f t="shared" si="58"/>
        <v>68750</v>
      </c>
      <c r="L761" s="3" t="str">
        <f t="shared" si="59"/>
        <v>Premium</v>
      </c>
    </row>
    <row r="762" spans="1:12">
      <c r="A762" t="s">
        <v>1295</v>
      </c>
      <c r="B762" t="s">
        <v>1283</v>
      </c>
      <c r="C762" s="4">
        <v>4.3</v>
      </c>
      <c r="D762" s="4">
        <v>1180</v>
      </c>
      <c r="E762" t="s">
        <v>1284</v>
      </c>
      <c r="F762" s="4">
        <v>19.015790599999999</v>
      </c>
      <c r="G762">
        <v>73.041221499999907</v>
      </c>
      <c r="H762">
        <f t="shared" si="55"/>
        <v>5074</v>
      </c>
      <c r="I762" s="4">
        <f t="shared" si="56"/>
        <v>29500</v>
      </c>
      <c r="J762" s="6">
        <f t="shared" si="57"/>
        <v>350</v>
      </c>
      <c r="K762" s="6">
        <f t="shared" si="58"/>
        <v>10325000</v>
      </c>
      <c r="L762" s="3" t="str">
        <f t="shared" si="59"/>
        <v>Popular</v>
      </c>
    </row>
    <row r="763" spans="1:12">
      <c r="A763" t="s">
        <v>1295</v>
      </c>
      <c r="B763" t="s">
        <v>1369</v>
      </c>
      <c r="C763" s="4">
        <v>4.8</v>
      </c>
      <c r="D763" s="4">
        <v>122</v>
      </c>
      <c r="E763" t="s">
        <v>1370</v>
      </c>
      <c r="F763" s="4">
        <v>19.052326499999999</v>
      </c>
      <c r="G763">
        <v>73.016473399999995</v>
      </c>
      <c r="H763">
        <f t="shared" si="55"/>
        <v>585.6</v>
      </c>
      <c r="I763" s="4">
        <f t="shared" si="56"/>
        <v>3050</v>
      </c>
      <c r="J763" s="6">
        <f t="shared" si="57"/>
        <v>550</v>
      </c>
      <c r="K763" s="6">
        <f t="shared" si="58"/>
        <v>1677500</v>
      </c>
      <c r="L763" s="3" t="str">
        <f t="shared" si="59"/>
        <v>Premium</v>
      </c>
    </row>
    <row r="764" spans="1:12">
      <c r="A764" t="s">
        <v>1295</v>
      </c>
      <c r="B764" t="s">
        <v>1371</v>
      </c>
      <c r="C764" s="4">
        <v>4.7</v>
      </c>
      <c r="D764" s="4">
        <v>132</v>
      </c>
      <c r="E764" t="s">
        <v>1372</v>
      </c>
      <c r="F764" s="4">
        <v>19.023726700000001</v>
      </c>
      <c r="G764">
        <v>73.0235074</v>
      </c>
      <c r="H764">
        <f t="shared" si="55"/>
        <v>620.4</v>
      </c>
      <c r="I764" s="4">
        <f t="shared" si="56"/>
        <v>3300</v>
      </c>
      <c r="J764" s="6">
        <f t="shared" si="57"/>
        <v>550</v>
      </c>
      <c r="K764" s="6">
        <f t="shared" si="58"/>
        <v>1815000</v>
      </c>
      <c r="L764" s="3" t="str">
        <f t="shared" si="59"/>
        <v>Premium</v>
      </c>
    </row>
    <row r="765" spans="1:12">
      <c r="A765" t="s">
        <v>1295</v>
      </c>
      <c r="B765" t="s">
        <v>1134</v>
      </c>
      <c r="C765" s="4">
        <v>4.2</v>
      </c>
      <c r="D765" s="4">
        <v>1216</v>
      </c>
      <c r="E765" t="s">
        <v>1373</v>
      </c>
      <c r="F765" s="4">
        <v>19.0391689</v>
      </c>
      <c r="G765">
        <v>73.020130399999999</v>
      </c>
      <c r="H765">
        <f t="shared" si="55"/>
        <v>5107.2</v>
      </c>
      <c r="I765" s="4">
        <f t="shared" si="56"/>
        <v>30400</v>
      </c>
      <c r="J765" s="6">
        <f t="shared" si="57"/>
        <v>350</v>
      </c>
      <c r="K765" s="6">
        <f t="shared" si="58"/>
        <v>10640000</v>
      </c>
      <c r="L765" s="3" t="str">
        <f t="shared" si="59"/>
        <v>Popular</v>
      </c>
    </row>
    <row r="766" spans="1:12">
      <c r="A766" t="s">
        <v>1295</v>
      </c>
      <c r="B766" t="s">
        <v>48</v>
      </c>
      <c r="C766" s="4">
        <v>4.8</v>
      </c>
      <c r="D766" s="4">
        <v>330</v>
      </c>
      <c r="E766" t="s">
        <v>1374</v>
      </c>
      <c r="F766" s="4">
        <v>19.011971599999999</v>
      </c>
      <c r="G766">
        <v>73.035754400000002</v>
      </c>
      <c r="H766">
        <f t="shared" si="55"/>
        <v>1584</v>
      </c>
      <c r="I766" s="4">
        <f t="shared" si="56"/>
        <v>8250</v>
      </c>
      <c r="J766" s="6">
        <f t="shared" si="57"/>
        <v>550</v>
      </c>
      <c r="K766" s="6">
        <f t="shared" si="58"/>
        <v>4537500</v>
      </c>
      <c r="L766" s="3" t="str">
        <f t="shared" si="59"/>
        <v>Premium</v>
      </c>
    </row>
    <row r="767" spans="1:12">
      <c r="A767" t="s">
        <v>1295</v>
      </c>
      <c r="B767" t="s">
        <v>1182</v>
      </c>
      <c r="C767" s="4">
        <v>4.5</v>
      </c>
      <c r="D767" s="4">
        <v>171</v>
      </c>
      <c r="E767" t="s">
        <v>1375</v>
      </c>
      <c r="F767" s="4">
        <v>19.009855900000002</v>
      </c>
      <c r="G767">
        <v>73.033355999999998</v>
      </c>
      <c r="H767">
        <f t="shared" si="55"/>
        <v>769.5</v>
      </c>
      <c r="I767" s="4">
        <f t="shared" si="56"/>
        <v>4275</v>
      </c>
      <c r="J767" s="6">
        <f t="shared" si="57"/>
        <v>450</v>
      </c>
      <c r="K767" s="6">
        <f t="shared" si="58"/>
        <v>1923750</v>
      </c>
      <c r="L767" s="3" t="str">
        <f t="shared" si="59"/>
        <v>Premium</v>
      </c>
    </row>
    <row r="768" spans="1:12">
      <c r="A768" t="s">
        <v>1295</v>
      </c>
      <c r="B768" t="s">
        <v>1376</v>
      </c>
      <c r="C768" s="4">
        <v>4.4000000000000004</v>
      </c>
      <c r="D768" s="4">
        <v>34</v>
      </c>
      <c r="E768" t="s">
        <v>1377</v>
      </c>
      <c r="F768" s="4">
        <v>19.024813300000002</v>
      </c>
      <c r="G768">
        <v>73.021537899999998</v>
      </c>
      <c r="H768">
        <f t="shared" si="55"/>
        <v>149.60000000000002</v>
      </c>
      <c r="I768" s="4">
        <f t="shared" si="56"/>
        <v>850</v>
      </c>
      <c r="J768" s="6">
        <f t="shared" si="57"/>
        <v>450</v>
      </c>
      <c r="K768" s="6">
        <f t="shared" si="58"/>
        <v>382500</v>
      </c>
      <c r="L768" s="3" t="str">
        <f t="shared" si="59"/>
        <v>Popular</v>
      </c>
    </row>
    <row r="769" spans="1:12">
      <c r="A769" t="s">
        <v>1295</v>
      </c>
      <c r="B769" t="s">
        <v>123</v>
      </c>
      <c r="C769" s="4">
        <v>4.4000000000000004</v>
      </c>
      <c r="D769" s="4">
        <v>4259</v>
      </c>
      <c r="E769" t="s">
        <v>1378</v>
      </c>
      <c r="F769" s="4">
        <v>19.021294000000001</v>
      </c>
      <c r="G769">
        <v>73.018042999999906</v>
      </c>
      <c r="H769">
        <f t="shared" si="55"/>
        <v>18739.600000000002</v>
      </c>
      <c r="I769" s="4">
        <f t="shared" si="56"/>
        <v>106475</v>
      </c>
      <c r="J769" s="6">
        <f t="shared" si="57"/>
        <v>450</v>
      </c>
      <c r="K769" s="6">
        <f t="shared" si="58"/>
        <v>47913750</v>
      </c>
      <c r="L769" s="3" t="str">
        <f t="shared" si="59"/>
        <v>Popular</v>
      </c>
    </row>
    <row r="770" spans="1:12">
      <c r="A770" t="s">
        <v>1295</v>
      </c>
      <c r="B770" t="s">
        <v>1250</v>
      </c>
      <c r="C770" s="4">
        <v>4.5999999999999996</v>
      </c>
      <c r="D770" s="4">
        <v>163</v>
      </c>
      <c r="E770" t="s">
        <v>1251</v>
      </c>
      <c r="F770" s="4">
        <v>19.0629895</v>
      </c>
      <c r="G770">
        <v>73.005710399999998</v>
      </c>
      <c r="H770">
        <f t="shared" ref="H770:H833" si="60">C770*D770</f>
        <v>749.8</v>
      </c>
      <c r="I770" s="4">
        <f t="shared" ref="I770:I833" si="61">D770*25</f>
        <v>4075</v>
      </c>
      <c r="J770" s="6">
        <f t="shared" ref="J770:J833" si="62">IF(C770&gt;=4.7,550,IF(C770&gt;=4.4,450,IF(C770&gt;=O772,350,250)))</f>
        <v>450</v>
      </c>
      <c r="K770" s="6">
        <f t="shared" ref="K770:K833" si="63">I770*J770</f>
        <v>1833750</v>
      </c>
      <c r="L770" s="3" t="str">
        <f t="shared" ref="L770:L833" si="64">IF(C770&gt;=4.5,"Premium",IF(C770&gt;=4,"Popular","Average"))</f>
        <v>Premium</v>
      </c>
    </row>
    <row r="771" spans="1:12">
      <c r="A771" t="s">
        <v>1295</v>
      </c>
      <c r="B771" t="s">
        <v>1379</v>
      </c>
      <c r="C771" s="4">
        <v>3.6</v>
      </c>
      <c r="D771" s="4">
        <v>168</v>
      </c>
      <c r="E771" t="s">
        <v>1380</v>
      </c>
      <c r="F771" s="4">
        <v>19.021276</v>
      </c>
      <c r="G771">
        <v>73.019064599999993</v>
      </c>
      <c r="H771">
        <f t="shared" si="60"/>
        <v>604.80000000000007</v>
      </c>
      <c r="I771" s="4">
        <f t="shared" si="61"/>
        <v>4200</v>
      </c>
      <c r="J771" s="6">
        <f t="shared" si="62"/>
        <v>350</v>
      </c>
      <c r="K771" s="6">
        <f t="shared" si="63"/>
        <v>1470000</v>
      </c>
      <c r="L771" s="3" t="str">
        <f t="shared" si="64"/>
        <v>Average</v>
      </c>
    </row>
    <row r="772" spans="1:12">
      <c r="A772" t="s">
        <v>1295</v>
      </c>
      <c r="B772" t="s">
        <v>48</v>
      </c>
      <c r="C772" s="4">
        <v>4.8</v>
      </c>
      <c r="D772" s="4">
        <v>44</v>
      </c>
      <c r="E772" t="s">
        <v>1381</v>
      </c>
      <c r="F772" s="4">
        <v>19.010467299999998</v>
      </c>
      <c r="G772">
        <v>73.012030100000004</v>
      </c>
      <c r="H772">
        <f t="shared" si="60"/>
        <v>211.2</v>
      </c>
      <c r="I772" s="4">
        <f t="shared" si="61"/>
        <v>1100</v>
      </c>
      <c r="J772" s="6">
        <f t="shared" si="62"/>
        <v>550</v>
      </c>
      <c r="K772" s="6">
        <f t="shared" si="63"/>
        <v>605000</v>
      </c>
      <c r="L772" s="3" t="str">
        <f t="shared" si="64"/>
        <v>Premium</v>
      </c>
    </row>
    <row r="773" spans="1:12">
      <c r="A773" t="s">
        <v>1295</v>
      </c>
      <c r="B773" t="s">
        <v>1382</v>
      </c>
      <c r="C773" s="4">
        <v>4.2</v>
      </c>
      <c r="D773" s="4">
        <v>539</v>
      </c>
      <c r="E773" t="s">
        <v>1383</v>
      </c>
      <c r="F773" s="4">
        <v>19.023741900000001</v>
      </c>
      <c r="G773">
        <v>73.031774799999994</v>
      </c>
      <c r="H773">
        <f t="shared" si="60"/>
        <v>2263.8000000000002</v>
      </c>
      <c r="I773" s="4">
        <f t="shared" si="61"/>
        <v>13475</v>
      </c>
      <c r="J773" s="6">
        <f t="shared" si="62"/>
        <v>350</v>
      </c>
      <c r="K773" s="6">
        <f t="shared" si="63"/>
        <v>4716250</v>
      </c>
      <c r="L773" s="3" t="str">
        <f t="shared" si="64"/>
        <v>Popular</v>
      </c>
    </row>
    <row r="774" spans="1:12">
      <c r="A774" t="s">
        <v>1295</v>
      </c>
      <c r="B774" t="s">
        <v>1384</v>
      </c>
      <c r="C774" s="4">
        <v>4.2</v>
      </c>
      <c r="D774" s="4">
        <v>464</v>
      </c>
      <c r="E774" t="s">
        <v>1385</v>
      </c>
      <c r="F774" s="4">
        <v>19.0211355</v>
      </c>
      <c r="G774">
        <v>73.019169099999999</v>
      </c>
      <c r="H774">
        <f t="shared" si="60"/>
        <v>1948.8000000000002</v>
      </c>
      <c r="I774" s="4">
        <f t="shared" si="61"/>
        <v>11600</v>
      </c>
      <c r="J774" s="6">
        <f t="shared" si="62"/>
        <v>350</v>
      </c>
      <c r="K774" s="6">
        <f t="shared" si="63"/>
        <v>4060000</v>
      </c>
      <c r="L774" s="3" t="str">
        <f t="shared" si="64"/>
        <v>Popular</v>
      </c>
    </row>
    <row r="775" spans="1:12">
      <c r="A775" t="s">
        <v>1295</v>
      </c>
      <c r="B775" t="s">
        <v>1386</v>
      </c>
      <c r="C775" s="4">
        <v>4.5</v>
      </c>
      <c r="D775" s="4">
        <v>692</v>
      </c>
      <c r="E775" t="s">
        <v>1387</v>
      </c>
      <c r="F775" s="4">
        <v>19.008059299999999</v>
      </c>
      <c r="G775">
        <v>73.035542499999906</v>
      </c>
      <c r="H775">
        <f t="shared" si="60"/>
        <v>3114</v>
      </c>
      <c r="I775" s="4">
        <f t="shared" si="61"/>
        <v>17300</v>
      </c>
      <c r="J775" s="6">
        <f t="shared" si="62"/>
        <v>450</v>
      </c>
      <c r="K775" s="6">
        <f t="shared" si="63"/>
        <v>7785000</v>
      </c>
      <c r="L775" s="3" t="str">
        <f t="shared" si="64"/>
        <v>Premium</v>
      </c>
    </row>
    <row r="776" spans="1:12">
      <c r="A776" t="s">
        <v>1295</v>
      </c>
      <c r="B776" t="s">
        <v>1388</v>
      </c>
      <c r="C776" s="4">
        <v>4.5999999999999996</v>
      </c>
      <c r="D776" s="4">
        <v>7</v>
      </c>
      <c r="E776" t="s">
        <v>1389</v>
      </c>
      <c r="F776" s="4">
        <v>19.020203299999999</v>
      </c>
      <c r="G776">
        <v>73.029364000000001</v>
      </c>
      <c r="H776">
        <f t="shared" si="60"/>
        <v>32.199999999999996</v>
      </c>
      <c r="I776" s="4">
        <f t="shared" si="61"/>
        <v>175</v>
      </c>
      <c r="J776" s="6">
        <f t="shared" si="62"/>
        <v>450</v>
      </c>
      <c r="K776" s="6">
        <f t="shared" si="63"/>
        <v>78750</v>
      </c>
      <c r="L776" s="3" t="str">
        <f t="shared" si="64"/>
        <v>Premium</v>
      </c>
    </row>
    <row r="777" spans="1:12">
      <c r="A777" t="s">
        <v>1295</v>
      </c>
      <c r="B777" t="s">
        <v>1390</v>
      </c>
      <c r="C777" s="4">
        <v>4.8</v>
      </c>
      <c r="D777" s="4">
        <v>66</v>
      </c>
      <c r="E777" t="s">
        <v>1391</v>
      </c>
      <c r="F777" s="4">
        <v>19.020493200000001</v>
      </c>
      <c r="G777">
        <v>73.017490699999996</v>
      </c>
      <c r="H777">
        <f t="shared" si="60"/>
        <v>316.8</v>
      </c>
      <c r="I777" s="4">
        <f t="shared" si="61"/>
        <v>1650</v>
      </c>
      <c r="J777" s="6">
        <f t="shared" si="62"/>
        <v>550</v>
      </c>
      <c r="K777" s="6">
        <f t="shared" si="63"/>
        <v>907500</v>
      </c>
      <c r="L777" s="3" t="str">
        <f t="shared" si="64"/>
        <v>Premium</v>
      </c>
    </row>
    <row r="778" spans="1:12">
      <c r="A778" t="s">
        <v>1295</v>
      </c>
      <c r="B778" t="s">
        <v>1392</v>
      </c>
      <c r="C778" s="4">
        <v>4.8</v>
      </c>
      <c r="D778" s="4">
        <v>4</v>
      </c>
      <c r="E778" t="s">
        <v>1393</v>
      </c>
      <c r="F778" s="4">
        <v>19.032343300000001</v>
      </c>
      <c r="G778">
        <v>73.016746999999995</v>
      </c>
      <c r="H778">
        <f t="shared" si="60"/>
        <v>19.2</v>
      </c>
      <c r="I778" s="4">
        <f t="shared" si="61"/>
        <v>100</v>
      </c>
      <c r="J778" s="6">
        <f t="shared" si="62"/>
        <v>550</v>
      </c>
      <c r="K778" s="6">
        <f t="shared" si="63"/>
        <v>55000</v>
      </c>
      <c r="L778" s="3" t="str">
        <f t="shared" si="64"/>
        <v>Premium</v>
      </c>
    </row>
    <row r="779" spans="1:12">
      <c r="A779" t="s">
        <v>1295</v>
      </c>
      <c r="B779" t="s">
        <v>1394</v>
      </c>
      <c r="C779" s="4">
        <v>4.4000000000000004</v>
      </c>
      <c r="D779" s="4">
        <v>7</v>
      </c>
      <c r="E779" t="s">
        <v>1395</v>
      </c>
      <c r="F779" s="4">
        <v>19.024648500000001</v>
      </c>
      <c r="G779">
        <v>73.022199299999997</v>
      </c>
      <c r="H779">
        <f t="shared" si="60"/>
        <v>30.800000000000004</v>
      </c>
      <c r="I779" s="4">
        <f t="shared" si="61"/>
        <v>175</v>
      </c>
      <c r="J779" s="6">
        <f t="shared" si="62"/>
        <v>450</v>
      </c>
      <c r="K779" s="6">
        <f t="shared" si="63"/>
        <v>78750</v>
      </c>
      <c r="L779" s="3" t="str">
        <f t="shared" si="64"/>
        <v>Popular</v>
      </c>
    </row>
    <row r="780" spans="1:12">
      <c r="A780" t="s">
        <v>1295</v>
      </c>
      <c r="B780" t="s">
        <v>1396</v>
      </c>
      <c r="C780" s="4">
        <v>4.5999999999999996</v>
      </c>
      <c r="D780" s="4">
        <v>739</v>
      </c>
      <c r="E780" t="s">
        <v>1397</v>
      </c>
      <c r="F780" s="4">
        <v>19.0226994</v>
      </c>
      <c r="G780">
        <v>73.018271400000003</v>
      </c>
      <c r="H780">
        <f t="shared" si="60"/>
        <v>3399.3999999999996</v>
      </c>
      <c r="I780" s="4">
        <f t="shared" si="61"/>
        <v>18475</v>
      </c>
      <c r="J780" s="6">
        <f t="shared" si="62"/>
        <v>450</v>
      </c>
      <c r="K780" s="6">
        <f t="shared" si="63"/>
        <v>8313750</v>
      </c>
      <c r="L780" s="3" t="str">
        <f t="shared" si="64"/>
        <v>Premium</v>
      </c>
    </row>
    <row r="781" spans="1:12">
      <c r="A781" t="s">
        <v>1295</v>
      </c>
      <c r="B781" t="s">
        <v>1398</v>
      </c>
      <c r="C781" s="4">
        <v>4.0999999999999996</v>
      </c>
      <c r="D781" s="4">
        <v>1273</v>
      </c>
      <c r="E781" t="s">
        <v>1399</v>
      </c>
      <c r="F781" s="4">
        <v>19.0337949</v>
      </c>
      <c r="G781">
        <v>73.063767099999893</v>
      </c>
      <c r="H781">
        <f t="shared" si="60"/>
        <v>5219.2999999999993</v>
      </c>
      <c r="I781" s="4">
        <f t="shared" si="61"/>
        <v>31825</v>
      </c>
      <c r="J781" s="6">
        <f t="shared" si="62"/>
        <v>350</v>
      </c>
      <c r="K781" s="6">
        <f t="shared" si="63"/>
        <v>11138750</v>
      </c>
      <c r="L781" s="3" t="str">
        <f t="shared" si="64"/>
        <v>Popular</v>
      </c>
    </row>
    <row r="782" spans="1:12">
      <c r="A782" t="s">
        <v>1400</v>
      </c>
      <c r="B782" t="s">
        <v>1401</v>
      </c>
      <c r="C782" s="4">
        <v>4.3</v>
      </c>
      <c r="D782" s="4">
        <v>851</v>
      </c>
      <c r="E782" t="s">
        <v>1402</v>
      </c>
      <c r="F782" s="4">
        <v>19.0046845</v>
      </c>
      <c r="G782">
        <v>73.123357999999996</v>
      </c>
      <c r="H782">
        <f t="shared" si="60"/>
        <v>3659.2999999999997</v>
      </c>
      <c r="I782" s="4">
        <f t="shared" si="61"/>
        <v>21275</v>
      </c>
      <c r="J782" s="6">
        <f t="shared" si="62"/>
        <v>350</v>
      </c>
      <c r="K782" s="6">
        <f t="shared" si="63"/>
        <v>7446250</v>
      </c>
      <c r="L782" s="3" t="str">
        <f t="shared" si="64"/>
        <v>Popular</v>
      </c>
    </row>
    <row r="783" spans="1:12">
      <c r="A783" t="s">
        <v>1400</v>
      </c>
      <c r="B783" t="s">
        <v>1403</v>
      </c>
      <c r="C783" s="4">
        <v>4.0999999999999996</v>
      </c>
      <c r="D783" s="4">
        <v>730</v>
      </c>
      <c r="E783" t="s">
        <v>1404</v>
      </c>
      <c r="F783" s="4">
        <v>18.991242700000001</v>
      </c>
      <c r="G783">
        <v>73.1241196</v>
      </c>
      <c r="H783">
        <f t="shared" si="60"/>
        <v>2992.9999999999995</v>
      </c>
      <c r="I783" s="4">
        <f t="shared" si="61"/>
        <v>18250</v>
      </c>
      <c r="J783" s="6">
        <f t="shared" si="62"/>
        <v>350</v>
      </c>
      <c r="K783" s="6">
        <f t="shared" si="63"/>
        <v>6387500</v>
      </c>
      <c r="L783" s="3" t="str">
        <f t="shared" si="64"/>
        <v>Popular</v>
      </c>
    </row>
    <row r="784" spans="1:12">
      <c r="A784" t="s">
        <v>1400</v>
      </c>
      <c r="B784" t="s">
        <v>1405</v>
      </c>
      <c r="C784" s="4">
        <v>4.2</v>
      </c>
      <c r="D784" s="4">
        <v>194</v>
      </c>
      <c r="E784" t="s">
        <v>1406</v>
      </c>
      <c r="F784" s="4">
        <v>19.005620499999999</v>
      </c>
      <c r="G784">
        <v>73.119294299999893</v>
      </c>
      <c r="H784">
        <f t="shared" si="60"/>
        <v>814.80000000000007</v>
      </c>
      <c r="I784" s="4">
        <f t="shared" si="61"/>
        <v>4850</v>
      </c>
      <c r="J784" s="6">
        <f t="shared" si="62"/>
        <v>350</v>
      </c>
      <c r="K784" s="6">
        <f t="shared" si="63"/>
        <v>1697500</v>
      </c>
      <c r="L784" s="3" t="str">
        <f t="shared" si="64"/>
        <v>Popular</v>
      </c>
    </row>
    <row r="785" spans="1:12">
      <c r="A785" t="s">
        <v>1400</v>
      </c>
      <c r="B785" t="s">
        <v>1407</v>
      </c>
      <c r="C785" s="4">
        <v>4.8</v>
      </c>
      <c r="D785" s="4">
        <v>183</v>
      </c>
      <c r="E785" t="s">
        <v>1408</v>
      </c>
      <c r="F785" s="4">
        <v>19.012565800000001</v>
      </c>
      <c r="G785">
        <v>73.092007899999999</v>
      </c>
      <c r="H785">
        <f t="shared" si="60"/>
        <v>878.4</v>
      </c>
      <c r="I785" s="4">
        <f t="shared" si="61"/>
        <v>4575</v>
      </c>
      <c r="J785" s="6">
        <f t="shared" si="62"/>
        <v>550</v>
      </c>
      <c r="K785" s="6">
        <f t="shared" si="63"/>
        <v>2516250</v>
      </c>
      <c r="L785" s="3" t="str">
        <f t="shared" si="64"/>
        <v>Premium</v>
      </c>
    </row>
    <row r="786" spans="1:12">
      <c r="A786" t="s">
        <v>1400</v>
      </c>
      <c r="B786" t="s">
        <v>1409</v>
      </c>
      <c r="C786" s="4">
        <v>3.9</v>
      </c>
      <c r="D786" s="4">
        <v>172</v>
      </c>
      <c r="E786" t="s">
        <v>1410</v>
      </c>
      <c r="F786" s="4">
        <v>18.993385700000001</v>
      </c>
      <c r="G786">
        <v>73.114075700000001</v>
      </c>
      <c r="H786">
        <f t="shared" si="60"/>
        <v>670.8</v>
      </c>
      <c r="I786" s="4">
        <f t="shared" si="61"/>
        <v>4300</v>
      </c>
      <c r="J786" s="6">
        <f t="shared" si="62"/>
        <v>350</v>
      </c>
      <c r="K786" s="6">
        <f t="shared" si="63"/>
        <v>1505000</v>
      </c>
      <c r="L786" s="3" t="str">
        <f t="shared" si="64"/>
        <v>Average</v>
      </c>
    </row>
    <row r="787" spans="1:12">
      <c r="A787" t="s">
        <v>1400</v>
      </c>
      <c r="B787" t="s">
        <v>1411</v>
      </c>
      <c r="C787" s="4">
        <v>4.2</v>
      </c>
      <c r="D787" s="4">
        <v>95</v>
      </c>
      <c r="E787" t="s">
        <v>1412</v>
      </c>
      <c r="F787" s="4">
        <v>18.997335199999998</v>
      </c>
      <c r="G787">
        <v>73.121928199999999</v>
      </c>
      <c r="H787">
        <f t="shared" si="60"/>
        <v>399</v>
      </c>
      <c r="I787" s="4">
        <f t="shared" si="61"/>
        <v>2375</v>
      </c>
      <c r="J787" s="6">
        <f t="shared" si="62"/>
        <v>350</v>
      </c>
      <c r="K787" s="6">
        <f t="shared" si="63"/>
        <v>831250</v>
      </c>
      <c r="L787" s="3" t="str">
        <f t="shared" si="64"/>
        <v>Popular</v>
      </c>
    </row>
    <row r="788" spans="1:12">
      <c r="A788" t="s">
        <v>1400</v>
      </c>
      <c r="B788" t="s">
        <v>1413</v>
      </c>
      <c r="C788" s="4">
        <v>4.5999999999999996</v>
      </c>
      <c r="D788" s="4">
        <v>181</v>
      </c>
      <c r="E788" t="s">
        <v>1414</v>
      </c>
      <c r="F788" s="4">
        <v>19.008202099999998</v>
      </c>
      <c r="G788">
        <v>73.109537399999994</v>
      </c>
      <c r="H788">
        <f t="shared" si="60"/>
        <v>832.59999999999991</v>
      </c>
      <c r="I788" s="4">
        <f t="shared" si="61"/>
        <v>4525</v>
      </c>
      <c r="J788" s="6">
        <f t="shared" si="62"/>
        <v>450</v>
      </c>
      <c r="K788" s="6">
        <f t="shared" si="63"/>
        <v>2036250</v>
      </c>
      <c r="L788" s="3" t="str">
        <f t="shared" si="64"/>
        <v>Premium</v>
      </c>
    </row>
    <row r="789" spans="1:12">
      <c r="A789" t="s">
        <v>1400</v>
      </c>
      <c r="B789" t="s">
        <v>1415</v>
      </c>
      <c r="C789" s="4">
        <v>4.0999999999999996</v>
      </c>
      <c r="D789" s="4">
        <v>1301</v>
      </c>
      <c r="E789" t="s">
        <v>1416</v>
      </c>
      <c r="F789" s="4">
        <v>19.0054993</v>
      </c>
      <c r="G789">
        <v>73.119350400000002</v>
      </c>
      <c r="H789">
        <f t="shared" si="60"/>
        <v>5334.0999999999995</v>
      </c>
      <c r="I789" s="4">
        <f t="shared" si="61"/>
        <v>32525</v>
      </c>
      <c r="J789" s="6">
        <f t="shared" si="62"/>
        <v>350</v>
      </c>
      <c r="K789" s="6">
        <f t="shared" si="63"/>
        <v>11383750</v>
      </c>
      <c r="L789" s="3" t="str">
        <f t="shared" si="64"/>
        <v>Popular</v>
      </c>
    </row>
    <row r="790" spans="1:12">
      <c r="A790" t="s">
        <v>1400</v>
      </c>
      <c r="B790" t="s">
        <v>1417</v>
      </c>
      <c r="C790" s="4">
        <v>4.3</v>
      </c>
      <c r="D790" s="4">
        <v>1167</v>
      </c>
      <c r="E790" t="s">
        <v>1418</v>
      </c>
      <c r="F790" s="4">
        <v>18.990948199999998</v>
      </c>
      <c r="G790">
        <v>73.126230800000002</v>
      </c>
      <c r="H790">
        <f t="shared" si="60"/>
        <v>5018.0999999999995</v>
      </c>
      <c r="I790" s="4">
        <f t="shared" si="61"/>
        <v>29175</v>
      </c>
      <c r="J790" s="6">
        <f t="shared" si="62"/>
        <v>350</v>
      </c>
      <c r="K790" s="6">
        <f t="shared" si="63"/>
        <v>10211250</v>
      </c>
      <c r="L790" s="3" t="str">
        <f t="shared" si="64"/>
        <v>Popular</v>
      </c>
    </row>
    <row r="791" spans="1:12">
      <c r="A791" t="s">
        <v>1400</v>
      </c>
      <c r="B791" t="s">
        <v>1419</v>
      </c>
      <c r="C791" s="4">
        <v>4.4000000000000004</v>
      </c>
      <c r="D791" s="4">
        <v>287</v>
      </c>
      <c r="E791" t="s">
        <v>1420</v>
      </c>
      <c r="F791" s="4">
        <v>18.9914849</v>
      </c>
      <c r="G791">
        <v>73.123441599999893</v>
      </c>
      <c r="H791">
        <f t="shared" si="60"/>
        <v>1262.8000000000002</v>
      </c>
      <c r="I791" s="4">
        <f t="shared" si="61"/>
        <v>7175</v>
      </c>
      <c r="J791" s="6">
        <f t="shared" si="62"/>
        <v>450</v>
      </c>
      <c r="K791" s="6">
        <f t="shared" si="63"/>
        <v>3228750</v>
      </c>
      <c r="L791" s="3" t="str">
        <f t="shared" si="64"/>
        <v>Popular</v>
      </c>
    </row>
    <row r="792" spans="1:12">
      <c r="A792" t="s">
        <v>1400</v>
      </c>
      <c r="B792" t="s">
        <v>1421</v>
      </c>
      <c r="C792" s="4">
        <v>4.9000000000000004</v>
      </c>
      <c r="D792" s="4">
        <v>108</v>
      </c>
      <c r="E792" t="s">
        <v>1422</v>
      </c>
      <c r="F792" s="4">
        <v>19.003719400000001</v>
      </c>
      <c r="G792">
        <v>73.1115803</v>
      </c>
      <c r="H792">
        <f t="shared" si="60"/>
        <v>529.20000000000005</v>
      </c>
      <c r="I792" s="4">
        <f t="shared" si="61"/>
        <v>2700</v>
      </c>
      <c r="J792" s="6">
        <f t="shared" si="62"/>
        <v>550</v>
      </c>
      <c r="K792" s="6">
        <f t="shared" si="63"/>
        <v>1485000</v>
      </c>
      <c r="L792" s="3" t="str">
        <f t="shared" si="64"/>
        <v>Premium</v>
      </c>
    </row>
    <row r="793" spans="1:12">
      <c r="A793" t="s">
        <v>1400</v>
      </c>
      <c r="B793" t="s">
        <v>1423</v>
      </c>
      <c r="C793" s="4">
        <v>4.8</v>
      </c>
      <c r="D793" s="4">
        <v>55</v>
      </c>
      <c r="E793" t="s">
        <v>1424</v>
      </c>
      <c r="F793" s="4">
        <v>19.001841500000001</v>
      </c>
      <c r="G793">
        <v>73.117569899999907</v>
      </c>
      <c r="H793">
        <f t="shared" si="60"/>
        <v>264</v>
      </c>
      <c r="I793" s="4">
        <f t="shared" si="61"/>
        <v>1375</v>
      </c>
      <c r="J793" s="6">
        <f t="shared" si="62"/>
        <v>550</v>
      </c>
      <c r="K793" s="6">
        <f t="shared" si="63"/>
        <v>756250</v>
      </c>
      <c r="L793" s="3" t="str">
        <f t="shared" si="64"/>
        <v>Premium</v>
      </c>
    </row>
    <row r="794" spans="1:12">
      <c r="A794" t="s">
        <v>1400</v>
      </c>
      <c r="B794" t="s">
        <v>1425</v>
      </c>
      <c r="C794" s="4">
        <v>3.9</v>
      </c>
      <c r="D794" s="4">
        <v>496</v>
      </c>
      <c r="E794" t="s">
        <v>1426</v>
      </c>
      <c r="F794" s="4">
        <v>19.001585899999998</v>
      </c>
      <c r="G794">
        <v>73.111657600000001</v>
      </c>
      <c r="H794">
        <f t="shared" si="60"/>
        <v>1934.3999999999999</v>
      </c>
      <c r="I794" s="4">
        <f t="shared" si="61"/>
        <v>12400</v>
      </c>
      <c r="J794" s="6">
        <f t="shared" si="62"/>
        <v>350</v>
      </c>
      <c r="K794" s="6">
        <f t="shared" si="63"/>
        <v>4340000</v>
      </c>
      <c r="L794" s="3" t="str">
        <f t="shared" si="64"/>
        <v>Average</v>
      </c>
    </row>
    <row r="795" spans="1:12">
      <c r="A795" t="s">
        <v>1400</v>
      </c>
      <c r="B795" t="s">
        <v>1427</v>
      </c>
      <c r="C795" s="4">
        <v>4.3</v>
      </c>
      <c r="D795" s="4">
        <v>182</v>
      </c>
      <c r="E795" t="s">
        <v>1428</v>
      </c>
      <c r="F795" s="4">
        <v>19.040529899999999</v>
      </c>
      <c r="G795">
        <v>73.095887199999893</v>
      </c>
      <c r="H795">
        <f t="shared" si="60"/>
        <v>782.6</v>
      </c>
      <c r="I795" s="4">
        <f t="shared" si="61"/>
        <v>4550</v>
      </c>
      <c r="J795" s="6">
        <f t="shared" si="62"/>
        <v>350</v>
      </c>
      <c r="K795" s="6">
        <f t="shared" si="63"/>
        <v>1592500</v>
      </c>
      <c r="L795" s="3" t="str">
        <f t="shared" si="64"/>
        <v>Popular</v>
      </c>
    </row>
    <row r="796" spans="1:12">
      <c r="A796" t="s">
        <v>1400</v>
      </c>
      <c r="B796" t="s">
        <v>1429</v>
      </c>
      <c r="C796" s="4">
        <v>4.5</v>
      </c>
      <c r="D796" s="4">
        <v>98</v>
      </c>
      <c r="E796" t="s">
        <v>1430</v>
      </c>
      <c r="F796" s="4">
        <v>19.005751799999999</v>
      </c>
      <c r="G796">
        <v>73.111167899999998</v>
      </c>
      <c r="H796">
        <f t="shared" si="60"/>
        <v>441</v>
      </c>
      <c r="I796" s="4">
        <f t="shared" si="61"/>
        <v>2450</v>
      </c>
      <c r="J796" s="6">
        <f t="shared" si="62"/>
        <v>450</v>
      </c>
      <c r="K796" s="6">
        <f t="shared" si="63"/>
        <v>1102500</v>
      </c>
      <c r="L796" s="3" t="str">
        <f t="shared" si="64"/>
        <v>Premium</v>
      </c>
    </row>
    <row r="797" spans="1:12">
      <c r="A797" t="s">
        <v>1400</v>
      </c>
      <c r="B797" t="s">
        <v>1431</v>
      </c>
      <c r="C797" s="4">
        <v>4.5</v>
      </c>
      <c r="D797" s="4">
        <v>15</v>
      </c>
      <c r="E797" t="s">
        <v>1432</v>
      </c>
      <c r="F797" s="4">
        <v>19.008147000000001</v>
      </c>
      <c r="G797">
        <v>73.109281199999998</v>
      </c>
      <c r="H797">
        <f t="shared" si="60"/>
        <v>67.5</v>
      </c>
      <c r="I797" s="4">
        <f t="shared" si="61"/>
        <v>375</v>
      </c>
      <c r="J797" s="6">
        <f t="shared" si="62"/>
        <v>450</v>
      </c>
      <c r="K797" s="6">
        <f t="shared" si="63"/>
        <v>168750</v>
      </c>
      <c r="L797" s="3" t="str">
        <f t="shared" si="64"/>
        <v>Premium</v>
      </c>
    </row>
    <row r="798" spans="1:12">
      <c r="A798" t="s">
        <v>1400</v>
      </c>
      <c r="B798" t="s">
        <v>1433</v>
      </c>
      <c r="C798" s="4">
        <v>4.5999999999999996</v>
      </c>
      <c r="D798" s="4">
        <v>41</v>
      </c>
      <c r="E798" t="s">
        <v>1434</v>
      </c>
      <c r="F798" s="4">
        <v>18.993264199999999</v>
      </c>
      <c r="G798">
        <v>73.115628099999995</v>
      </c>
      <c r="H798">
        <f t="shared" si="60"/>
        <v>188.6</v>
      </c>
      <c r="I798" s="4">
        <f t="shared" si="61"/>
        <v>1025</v>
      </c>
      <c r="J798" s="6">
        <f t="shared" si="62"/>
        <v>450</v>
      </c>
      <c r="K798" s="6">
        <f t="shared" si="63"/>
        <v>461250</v>
      </c>
      <c r="L798" s="3" t="str">
        <f t="shared" si="64"/>
        <v>Premium</v>
      </c>
    </row>
    <row r="799" spans="1:12">
      <c r="A799" t="s">
        <v>1400</v>
      </c>
      <c r="B799" t="s">
        <v>1435</v>
      </c>
      <c r="C799" s="4">
        <v>4.4000000000000004</v>
      </c>
      <c r="D799" s="4">
        <v>69</v>
      </c>
      <c r="E799" t="s">
        <v>1436</v>
      </c>
      <c r="F799" s="4">
        <v>19.044628599999999</v>
      </c>
      <c r="G799">
        <v>73.1300004</v>
      </c>
      <c r="H799">
        <f t="shared" si="60"/>
        <v>303.60000000000002</v>
      </c>
      <c r="I799" s="4">
        <f t="shared" si="61"/>
        <v>1725</v>
      </c>
      <c r="J799" s="6">
        <f t="shared" si="62"/>
        <v>450</v>
      </c>
      <c r="K799" s="6">
        <f t="shared" si="63"/>
        <v>776250</v>
      </c>
      <c r="L799" s="3" t="str">
        <f t="shared" si="64"/>
        <v>Popular</v>
      </c>
    </row>
    <row r="800" spans="1:12">
      <c r="A800" t="s">
        <v>1400</v>
      </c>
      <c r="B800" t="s">
        <v>1437</v>
      </c>
      <c r="C800" s="4">
        <v>4</v>
      </c>
      <c r="D800" s="4">
        <v>491</v>
      </c>
      <c r="E800" t="s">
        <v>1438</v>
      </c>
      <c r="F800" s="4">
        <v>19.008025499999999</v>
      </c>
      <c r="G800">
        <v>73.109344100000001</v>
      </c>
      <c r="H800">
        <f t="shared" si="60"/>
        <v>1964</v>
      </c>
      <c r="I800" s="4">
        <f t="shared" si="61"/>
        <v>12275</v>
      </c>
      <c r="J800" s="6">
        <f t="shared" si="62"/>
        <v>350</v>
      </c>
      <c r="K800" s="6">
        <f t="shared" si="63"/>
        <v>4296250</v>
      </c>
      <c r="L800" s="3" t="str">
        <f t="shared" si="64"/>
        <v>Popular</v>
      </c>
    </row>
    <row r="801" spans="1:12">
      <c r="A801" t="s">
        <v>1400</v>
      </c>
      <c r="B801" t="s">
        <v>1439</v>
      </c>
      <c r="C801" s="4">
        <v>3.9</v>
      </c>
      <c r="D801" s="4">
        <v>288</v>
      </c>
      <c r="E801" t="s">
        <v>1440</v>
      </c>
      <c r="F801" s="4">
        <v>19.008016399999999</v>
      </c>
      <c r="G801">
        <v>73.109343499999994</v>
      </c>
      <c r="H801">
        <f t="shared" si="60"/>
        <v>1123.2</v>
      </c>
      <c r="I801" s="4">
        <f t="shared" si="61"/>
        <v>7200</v>
      </c>
      <c r="J801" s="6">
        <f t="shared" si="62"/>
        <v>350</v>
      </c>
      <c r="K801" s="6">
        <f t="shared" si="63"/>
        <v>2520000</v>
      </c>
      <c r="L801" s="3" t="str">
        <f t="shared" si="64"/>
        <v>Average</v>
      </c>
    </row>
    <row r="802" spans="1:12">
      <c r="A802" t="s">
        <v>1400</v>
      </c>
      <c r="B802" t="s">
        <v>1441</v>
      </c>
      <c r="C802" s="4">
        <v>3.9</v>
      </c>
      <c r="D802" s="4">
        <v>402</v>
      </c>
      <c r="E802" t="s">
        <v>1442</v>
      </c>
      <c r="F802" s="4">
        <v>18.993548100000002</v>
      </c>
      <c r="G802">
        <v>73.114695599999905</v>
      </c>
      <c r="H802">
        <f t="shared" si="60"/>
        <v>1567.8</v>
      </c>
      <c r="I802" s="4">
        <f t="shared" si="61"/>
        <v>10050</v>
      </c>
      <c r="J802" s="6">
        <f t="shared" si="62"/>
        <v>350</v>
      </c>
      <c r="K802" s="6">
        <f t="shared" si="63"/>
        <v>3517500</v>
      </c>
      <c r="L802" s="3" t="str">
        <f t="shared" si="64"/>
        <v>Average</v>
      </c>
    </row>
    <row r="803" spans="1:12">
      <c r="A803" t="s">
        <v>1400</v>
      </c>
      <c r="B803" t="s">
        <v>1443</v>
      </c>
      <c r="C803" s="4">
        <v>4.9000000000000004</v>
      </c>
      <c r="D803" s="4">
        <v>16</v>
      </c>
      <c r="E803" t="s">
        <v>1444</v>
      </c>
      <c r="F803" s="4">
        <v>18.996887300000001</v>
      </c>
      <c r="G803">
        <v>73.1175961</v>
      </c>
      <c r="H803">
        <f t="shared" si="60"/>
        <v>78.400000000000006</v>
      </c>
      <c r="I803" s="4">
        <f t="shared" si="61"/>
        <v>400</v>
      </c>
      <c r="J803" s="6">
        <f t="shared" si="62"/>
        <v>550</v>
      </c>
      <c r="K803" s="6">
        <f t="shared" si="63"/>
        <v>220000</v>
      </c>
      <c r="L803" s="3" t="str">
        <f t="shared" si="64"/>
        <v>Premium</v>
      </c>
    </row>
    <row r="804" spans="1:12">
      <c r="A804" t="s">
        <v>1400</v>
      </c>
      <c r="B804" t="s">
        <v>1445</v>
      </c>
      <c r="C804" s="4">
        <v>4.5</v>
      </c>
      <c r="D804" s="4">
        <v>84</v>
      </c>
      <c r="E804" t="s">
        <v>1446</v>
      </c>
      <c r="F804" s="4">
        <v>18.990200999999999</v>
      </c>
      <c r="G804">
        <v>73.127096600000002</v>
      </c>
      <c r="H804">
        <f t="shared" si="60"/>
        <v>378</v>
      </c>
      <c r="I804" s="4">
        <f t="shared" si="61"/>
        <v>2100</v>
      </c>
      <c r="J804" s="6">
        <f t="shared" si="62"/>
        <v>450</v>
      </c>
      <c r="K804" s="6">
        <f t="shared" si="63"/>
        <v>945000</v>
      </c>
      <c r="L804" s="3" t="str">
        <f t="shared" si="64"/>
        <v>Premium</v>
      </c>
    </row>
    <row r="805" spans="1:12">
      <c r="A805" t="s">
        <v>1400</v>
      </c>
      <c r="B805" t="s">
        <v>1447</v>
      </c>
      <c r="C805" s="4">
        <v>4.5999999999999996</v>
      </c>
      <c r="D805" s="4">
        <v>29</v>
      </c>
      <c r="E805" t="s">
        <v>1448</v>
      </c>
      <c r="F805" s="4">
        <v>19.003156100000002</v>
      </c>
      <c r="G805">
        <v>73.111871499999907</v>
      </c>
      <c r="H805">
        <f t="shared" si="60"/>
        <v>133.39999999999998</v>
      </c>
      <c r="I805" s="4">
        <f t="shared" si="61"/>
        <v>725</v>
      </c>
      <c r="J805" s="6">
        <f t="shared" si="62"/>
        <v>450</v>
      </c>
      <c r="K805" s="6">
        <f t="shared" si="63"/>
        <v>326250</v>
      </c>
      <c r="L805" s="3" t="str">
        <f t="shared" si="64"/>
        <v>Premium</v>
      </c>
    </row>
    <row r="806" spans="1:12">
      <c r="A806" t="s">
        <v>1400</v>
      </c>
      <c r="B806" t="s">
        <v>1449</v>
      </c>
      <c r="C806" s="4">
        <v>4.9000000000000004</v>
      </c>
      <c r="D806" s="4">
        <v>24</v>
      </c>
      <c r="E806" t="s">
        <v>1450</v>
      </c>
      <c r="F806" s="4">
        <v>18.991533</v>
      </c>
      <c r="G806">
        <v>73.110828999999995</v>
      </c>
      <c r="H806">
        <f t="shared" si="60"/>
        <v>117.60000000000001</v>
      </c>
      <c r="I806" s="4">
        <f t="shared" si="61"/>
        <v>600</v>
      </c>
      <c r="J806" s="6">
        <f t="shared" si="62"/>
        <v>550</v>
      </c>
      <c r="K806" s="6">
        <f t="shared" si="63"/>
        <v>330000</v>
      </c>
      <c r="L806" s="3" t="str">
        <f t="shared" si="64"/>
        <v>Premium</v>
      </c>
    </row>
    <row r="807" spans="1:12">
      <c r="A807" t="s">
        <v>1400</v>
      </c>
      <c r="B807" t="s">
        <v>1451</v>
      </c>
      <c r="C807" s="4">
        <v>5</v>
      </c>
      <c r="D807" s="4">
        <v>50</v>
      </c>
      <c r="E807" t="s">
        <v>1452</v>
      </c>
      <c r="F807" s="4">
        <v>19.003935899999998</v>
      </c>
      <c r="G807">
        <v>73.116609199999999</v>
      </c>
      <c r="H807">
        <f t="shared" si="60"/>
        <v>250</v>
      </c>
      <c r="I807" s="4">
        <f t="shared" si="61"/>
        <v>1250</v>
      </c>
      <c r="J807" s="6">
        <f t="shared" si="62"/>
        <v>550</v>
      </c>
      <c r="K807" s="6">
        <f t="shared" si="63"/>
        <v>687500</v>
      </c>
      <c r="L807" s="3" t="str">
        <f t="shared" si="64"/>
        <v>Premium</v>
      </c>
    </row>
    <row r="808" spans="1:12">
      <c r="A808" t="s">
        <v>1400</v>
      </c>
      <c r="B808" t="s">
        <v>1453</v>
      </c>
      <c r="C808" s="4">
        <v>5</v>
      </c>
      <c r="D808" s="4">
        <v>29</v>
      </c>
      <c r="E808" t="s">
        <v>1454</v>
      </c>
      <c r="F808" s="4">
        <v>18.999312700000001</v>
      </c>
      <c r="G808">
        <v>73.117944199999997</v>
      </c>
      <c r="H808">
        <f t="shared" si="60"/>
        <v>145</v>
      </c>
      <c r="I808" s="4">
        <f t="shared" si="61"/>
        <v>725</v>
      </c>
      <c r="J808" s="6">
        <f t="shared" si="62"/>
        <v>550</v>
      </c>
      <c r="K808" s="6">
        <f t="shared" si="63"/>
        <v>398750</v>
      </c>
      <c r="L808" s="3" t="str">
        <f t="shared" si="64"/>
        <v>Premium</v>
      </c>
    </row>
    <row r="809" spans="1:12">
      <c r="A809" t="s">
        <v>1400</v>
      </c>
      <c r="B809" t="s">
        <v>1437</v>
      </c>
      <c r="C809" s="4">
        <v>4.0999999999999996</v>
      </c>
      <c r="D809" s="4">
        <v>602</v>
      </c>
      <c r="E809" t="s">
        <v>1455</v>
      </c>
      <c r="F809" s="4">
        <v>19.020493299999998</v>
      </c>
      <c r="G809">
        <v>73.091391599999994</v>
      </c>
      <c r="H809">
        <f t="shared" si="60"/>
        <v>2468.1999999999998</v>
      </c>
      <c r="I809" s="4">
        <f t="shared" si="61"/>
        <v>15050</v>
      </c>
      <c r="J809" s="6">
        <f t="shared" si="62"/>
        <v>350</v>
      </c>
      <c r="K809" s="6">
        <f t="shared" si="63"/>
        <v>5267500</v>
      </c>
      <c r="L809" s="3" t="str">
        <f t="shared" si="64"/>
        <v>Popular</v>
      </c>
    </row>
    <row r="810" spans="1:12">
      <c r="A810" t="s">
        <v>1400</v>
      </c>
      <c r="B810" t="s">
        <v>1456</v>
      </c>
      <c r="C810" s="4">
        <v>4</v>
      </c>
      <c r="D810" s="4">
        <v>782</v>
      </c>
      <c r="E810" t="s">
        <v>1457</v>
      </c>
      <c r="F810" s="4">
        <v>18.989127</v>
      </c>
      <c r="G810">
        <v>73.127335799999997</v>
      </c>
      <c r="H810">
        <f t="shared" si="60"/>
        <v>3128</v>
      </c>
      <c r="I810" s="4">
        <f t="shared" si="61"/>
        <v>19550</v>
      </c>
      <c r="J810" s="6">
        <f t="shared" si="62"/>
        <v>350</v>
      </c>
      <c r="K810" s="6">
        <f t="shared" si="63"/>
        <v>6842500</v>
      </c>
      <c r="L810" s="3" t="str">
        <f t="shared" si="64"/>
        <v>Popular</v>
      </c>
    </row>
    <row r="811" spans="1:12">
      <c r="A811" t="s">
        <v>1400</v>
      </c>
      <c r="B811" t="s">
        <v>123</v>
      </c>
      <c r="C811" s="4">
        <v>4.7</v>
      </c>
      <c r="D811" s="4">
        <v>929</v>
      </c>
      <c r="E811" t="s">
        <v>1458</v>
      </c>
      <c r="F811" s="4">
        <v>18.9933552</v>
      </c>
      <c r="G811">
        <v>73.115659399999998</v>
      </c>
      <c r="H811">
        <f t="shared" si="60"/>
        <v>4366.3</v>
      </c>
      <c r="I811" s="4">
        <f t="shared" si="61"/>
        <v>23225</v>
      </c>
      <c r="J811" s="6">
        <f t="shared" si="62"/>
        <v>550</v>
      </c>
      <c r="K811" s="6">
        <f t="shared" si="63"/>
        <v>12773750</v>
      </c>
      <c r="L811" s="3" t="str">
        <f t="shared" si="64"/>
        <v>Premium</v>
      </c>
    </row>
    <row r="812" spans="1:12">
      <c r="A812" t="s">
        <v>1400</v>
      </c>
      <c r="B812" t="s">
        <v>1459</v>
      </c>
      <c r="C812" s="4">
        <v>4.8</v>
      </c>
      <c r="D812" s="4">
        <v>131</v>
      </c>
      <c r="E812" t="s">
        <v>1460</v>
      </c>
      <c r="F812" s="4">
        <v>19.009671699999998</v>
      </c>
      <c r="G812">
        <v>73.099554900000001</v>
      </c>
      <c r="H812">
        <f t="shared" si="60"/>
        <v>628.79999999999995</v>
      </c>
      <c r="I812" s="4">
        <f t="shared" si="61"/>
        <v>3275</v>
      </c>
      <c r="J812" s="6">
        <f t="shared" si="62"/>
        <v>550</v>
      </c>
      <c r="K812" s="6">
        <f t="shared" si="63"/>
        <v>1801250</v>
      </c>
      <c r="L812" s="3" t="str">
        <f t="shared" si="64"/>
        <v>Premium</v>
      </c>
    </row>
    <row r="813" spans="1:12">
      <c r="A813" t="s">
        <v>1400</v>
      </c>
      <c r="B813" t="s">
        <v>1461</v>
      </c>
      <c r="C813" s="4">
        <v>4.5999999999999996</v>
      </c>
      <c r="D813" s="4">
        <v>118</v>
      </c>
      <c r="E813" t="s">
        <v>1462</v>
      </c>
      <c r="F813" s="4">
        <v>19.009954700000002</v>
      </c>
      <c r="G813">
        <v>73.099405399999995</v>
      </c>
      <c r="H813">
        <f t="shared" si="60"/>
        <v>542.79999999999995</v>
      </c>
      <c r="I813" s="4">
        <f t="shared" si="61"/>
        <v>2950</v>
      </c>
      <c r="J813" s="6">
        <f t="shared" si="62"/>
        <v>450</v>
      </c>
      <c r="K813" s="6">
        <f t="shared" si="63"/>
        <v>1327500</v>
      </c>
      <c r="L813" s="3" t="str">
        <f t="shared" si="64"/>
        <v>Premium</v>
      </c>
    </row>
    <row r="814" spans="1:12">
      <c r="A814" t="s">
        <v>1400</v>
      </c>
      <c r="B814" t="s">
        <v>1318</v>
      </c>
      <c r="C814" s="4">
        <v>4.8</v>
      </c>
      <c r="D814" s="4">
        <v>1395</v>
      </c>
      <c r="E814" t="s">
        <v>1319</v>
      </c>
      <c r="F814" s="4">
        <v>19.006477</v>
      </c>
      <c r="G814">
        <v>73.033076399999999</v>
      </c>
      <c r="H814">
        <f t="shared" si="60"/>
        <v>6696</v>
      </c>
      <c r="I814" s="4">
        <f t="shared" si="61"/>
        <v>34875</v>
      </c>
      <c r="J814" s="6">
        <f t="shared" si="62"/>
        <v>550</v>
      </c>
      <c r="K814" s="6">
        <f t="shared" si="63"/>
        <v>19181250</v>
      </c>
      <c r="L814" s="3" t="str">
        <f t="shared" si="64"/>
        <v>Premium</v>
      </c>
    </row>
    <row r="815" spans="1:12">
      <c r="A815" t="s">
        <v>1400</v>
      </c>
      <c r="B815" t="s">
        <v>1417</v>
      </c>
      <c r="C815" s="4">
        <v>4.4000000000000004</v>
      </c>
      <c r="D815" s="4">
        <v>58</v>
      </c>
      <c r="E815" t="s">
        <v>1463</v>
      </c>
      <c r="F815" s="4">
        <v>18.997271399999999</v>
      </c>
      <c r="G815">
        <v>73.108659799999998</v>
      </c>
      <c r="H815">
        <f t="shared" si="60"/>
        <v>255.20000000000002</v>
      </c>
      <c r="I815" s="4">
        <f t="shared" si="61"/>
        <v>1450</v>
      </c>
      <c r="J815" s="6">
        <f t="shared" si="62"/>
        <v>450</v>
      </c>
      <c r="K815" s="6">
        <f t="shared" si="63"/>
        <v>652500</v>
      </c>
      <c r="L815" s="3" t="str">
        <f t="shared" si="64"/>
        <v>Popular</v>
      </c>
    </row>
    <row r="816" spans="1:12">
      <c r="A816" t="s">
        <v>1400</v>
      </c>
      <c r="B816" t="s">
        <v>1464</v>
      </c>
      <c r="C816" s="4">
        <v>5</v>
      </c>
      <c r="D816" s="4">
        <v>14</v>
      </c>
      <c r="E816" t="s">
        <v>1465</v>
      </c>
      <c r="F816" s="4">
        <v>19.003395300000001</v>
      </c>
      <c r="G816">
        <v>73.111907500000001</v>
      </c>
      <c r="H816">
        <f t="shared" si="60"/>
        <v>70</v>
      </c>
      <c r="I816" s="4">
        <f t="shared" si="61"/>
        <v>350</v>
      </c>
      <c r="J816" s="6">
        <f t="shared" si="62"/>
        <v>550</v>
      </c>
      <c r="K816" s="6">
        <f t="shared" si="63"/>
        <v>192500</v>
      </c>
      <c r="L816" s="3" t="str">
        <f t="shared" si="64"/>
        <v>Premium</v>
      </c>
    </row>
    <row r="817" spans="1:12">
      <c r="A817" t="s">
        <v>1400</v>
      </c>
      <c r="B817" t="s">
        <v>1466</v>
      </c>
      <c r="C817" s="4">
        <v>4.5999999999999996</v>
      </c>
      <c r="D817" s="4">
        <v>38</v>
      </c>
      <c r="E817" t="s">
        <v>1467</v>
      </c>
      <c r="F817" s="4">
        <v>19.035999199999999</v>
      </c>
      <c r="G817">
        <v>73.090154999999996</v>
      </c>
      <c r="H817">
        <f t="shared" si="60"/>
        <v>174.79999999999998</v>
      </c>
      <c r="I817" s="4">
        <f t="shared" si="61"/>
        <v>950</v>
      </c>
      <c r="J817" s="6">
        <f t="shared" si="62"/>
        <v>450</v>
      </c>
      <c r="K817" s="6">
        <f t="shared" si="63"/>
        <v>427500</v>
      </c>
      <c r="L817" s="3" t="str">
        <f t="shared" si="64"/>
        <v>Premium</v>
      </c>
    </row>
    <row r="818" spans="1:12">
      <c r="A818" t="s">
        <v>1400</v>
      </c>
      <c r="B818" t="s">
        <v>1468</v>
      </c>
      <c r="C818" s="4">
        <v>4</v>
      </c>
      <c r="D818" s="4">
        <v>1396</v>
      </c>
      <c r="E818" t="s">
        <v>1469</v>
      </c>
      <c r="F818" s="4">
        <v>18.999866600000001</v>
      </c>
      <c r="G818">
        <v>73.127952999999906</v>
      </c>
      <c r="H818">
        <f t="shared" si="60"/>
        <v>5584</v>
      </c>
      <c r="I818" s="4">
        <f t="shared" si="61"/>
        <v>34900</v>
      </c>
      <c r="J818" s="6">
        <f t="shared" si="62"/>
        <v>350</v>
      </c>
      <c r="K818" s="6">
        <f t="shared" si="63"/>
        <v>12215000</v>
      </c>
      <c r="L818" s="3" t="str">
        <f t="shared" si="64"/>
        <v>Popular</v>
      </c>
    </row>
    <row r="819" spans="1:12">
      <c r="A819" t="s">
        <v>1400</v>
      </c>
      <c r="B819" t="s">
        <v>1470</v>
      </c>
      <c r="C819" s="4">
        <v>5</v>
      </c>
      <c r="D819" s="4">
        <v>26</v>
      </c>
      <c r="E819" t="s">
        <v>1471</v>
      </c>
      <c r="F819" s="4">
        <v>18.986701</v>
      </c>
      <c r="G819">
        <v>73.093838599999998</v>
      </c>
      <c r="H819">
        <f t="shared" si="60"/>
        <v>130</v>
      </c>
      <c r="I819" s="4">
        <f t="shared" si="61"/>
        <v>650</v>
      </c>
      <c r="J819" s="6">
        <f t="shared" si="62"/>
        <v>550</v>
      </c>
      <c r="K819" s="6">
        <f t="shared" si="63"/>
        <v>357500</v>
      </c>
      <c r="L819" s="3" t="str">
        <f t="shared" si="64"/>
        <v>Premium</v>
      </c>
    </row>
    <row r="820" spans="1:12">
      <c r="A820" t="s">
        <v>1400</v>
      </c>
      <c r="B820" t="s">
        <v>1472</v>
      </c>
      <c r="C820" s="4">
        <v>4.0999999999999996</v>
      </c>
      <c r="D820" s="4">
        <v>113</v>
      </c>
      <c r="E820" t="s">
        <v>1473</v>
      </c>
      <c r="F820" s="4">
        <v>19.0191649</v>
      </c>
      <c r="G820">
        <v>73.091880199999906</v>
      </c>
      <c r="H820">
        <f t="shared" si="60"/>
        <v>463.29999999999995</v>
      </c>
      <c r="I820" s="4">
        <f t="shared" si="61"/>
        <v>2825</v>
      </c>
      <c r="J820" s="6">
        <f t="shared" si="62"/>
        <v>350</v>
      </c>
      <c r="K820" s="6">
        <f t="shared" si="63"/>
        <v>988750</v>
      </c>
      <c r="L820" s="3" t="str">
        <f t="shared" si="64"/>
        <v>Popular</v>
      </c>
    </row>
    <row r="821" spans="1:12">
      <c r="A821" t="s">
        <v>1400</v>
      </c>
      <c r="B821" t="s">
        <v>1474</v>
      </c>
      <c r="C821" s="4">
        <v>4.9000000000000004</v>
      </c>
      <c r="D821" s="4">
        <v>38</v>
      </c>
      <c r="E821" t="s">
        <v>1475</v>
      </c>
      <c r="F821" s="4">
        <v>18.987435300000001</v>
      </c>
      <c r="G821">
        <v>73.112692999999993</v>
      </c>
      <c r="H821">
        <f t="shared" si="60"/>
        <v>186.20000000000002</v>
      </c>
      <c r="I821" s="4">
        <f t="shared" si="61"/>
        <v>950</v>
      </c>
      <c r="J821" s="6">
        <f t="shared" si="62"/>
        <v>550</v>
      </c>
      <c r="K821" s="6">
        <f t="shared" si="63"/>
        <v>522500</v>
      </c>
      <c r="L821" s="3" t="str">
        <f t="shared" si="64"/>
        <v>Premium</v>
      </c>
    </row>
    <row r="822" spans="1:12">
      <c r="A822" t="s">
        <v>1400</v>
      </c>
      <c r="B822" t="s">
        <v>1476</v>
      </c>
      <c r="C822" s="4">
        <v>4.3</v>
      </c>
      <c r="D822" s="4">
        <v>127</v>
      </c>
      <c r="E822" t="s">
        <v>1477</v>
      </c>
      <c r="F822" s="4">
        <v>18.9790554</v>
      </c>
      <c r="G822">
        <v>73.097232399999996</v>
      </c>
      <c r="H822">
        <f t="shared" si="60"/>
        <v>546.1</v>
      </c>
      <c r="I822" s="4">
        <f t="shared" si="61"/>
        <v>3175</v>
      </c>
      <c r="J822" s="6">
        <f t="shared" si="62"/>
        <v>350</v>
      </c>
      <c r="K822" s="6">
        <f t="shared" si="63"/>
        <v>1111250</v>
      </c>
      <c r="L822" s="3" t="str">
        <f t="shared" si="64"/>
        <v>Popular</v>
      </c>
    </row>
    <row r="823" spans="1:12">
      <c r="A823" t="s">
        <v>1400</v>
      </c>
      <c r="B823" t="s">
        <v>1478</v>
      </c>
      <c r="C823" s="4">
        <v>4.5999999999999996</v>
      </c>
      <c r="D823" s="4">
        <v>211</v>
      </c>
      <c r="E823" t="s">
        <v>1479</v>
      </c>
      <c r="F823" s="4">
        <v>19.045988000000001</v>
      </c>
      <c r="G823">
        <v>73.128586299999995</v>
      </c>
      <c r="H823">
        <f t="shared" si="60"/>
        <v>970.59999999999991</v>
      </c>
      <c r="I823" s="4">
        <f t="shared" si="61"/>
        <v>5275</v>
      </c>
      <c r="J823" s="6">
        <f t="shared" si="62"/>
        <v>450</v>
      </c>
      <c r="K823" s="6">
        <f t="shared" si="63"/>
        <v>2373750</v>
      </c>
      <c r="L823" s="3" t="str">
        <f t="shared" si="64"/>
        <v>Premium</v>
      </c>
    </row>
    <row r="824" spans="1:12">
      <c r="A824" t="s">
        <v>1400</v>
      </c>
      <c r="B824" t="s">
        <v>1480</v>
      </c>
      <c r="C824" s="4">
        <v>4.5999999999999996</v>
      </c>
      <c r="D824" s="4">
        <v>27</v>
      </c>
      <c r="E824" t="s">
        <v>1481</v>
      </c>
      <c r="F824" s="4">
        <v>19.0363796</v>
      </c>
      <c r="G824">
        <v>73.092307199999993</v>
      </c>
      <c r="H824">
        <f t="shared" si="60"/>
        <v>124.19999999999999</v>
      </c>
      <c r="I824" s="4">
        <f t="shared" si="61"/>
        <v>675</v>
      </c>
      <c r="J824" s="6">
        <f t="shared" si="62"/>
        <v>450</v>
      </c>
      <c r="K824" s="6">
        <f t="shared" si="63"/>
        <v>303750</v>
      </c>
      <c r="L824" s="3" t="str">
        <f t="shared" si="64"/>
        <v>Premium</v>
      </c>
    </row>
    <row r="825" spans="1:12">
      <c r="A825" t="s">
        <v>1400</v>
      </c>
      <c r="B825" t="s">
        <v>1482</v>
      </c>
      <c r="C825" s="4">
        <v>4.2</v>
      </c>
      <c r="D825" s="4">
        <v>5</v>
      </c>
      <c r="E825" t="s">
        <v>1483</v>
      </c>
      <c r="F825" s="4">
        <v>18.991697299999998</v>
      </c>
      <c r="G825">
        <v>73.109494799999993</v>
      </c>
      <c r="H825">
        <f t="shared" si="60"/>
        <v>21</v>
      </c>
      <c r="I825" s="4">
        <f t="shared" si="61"/>
        <v>125</v>
      </c>
      <c r="J825" s="6">
        <f t="shared" si="62"/>
        <v>350</v>
      </c>
      <c r="K825" s="6">
        <f t="shared" si="63"/>
        <v>43750</v>
      </c>
      <c r="L825" s="3" t="str">
        <f t="shared" si="64"/>
        <v>Popular</v>
      </c>
    </row>
    <row r="826" spans="1:12">
      <c r="A826" t="s">
        <v>1400</v>
      </c>
      <c r="B826" t="s">
        <v>1484</v>
      </c>
      <c r="C826" s="4">
        <v>4.9000000000000004</v>
      </c>
      <c r="D826" s="4">
        <v>93</v>
      </c>
      <c r="E826" t="s">
        <v>1485</v>
      </c>
      <c r="F826" s="4">
        <v>19.000768399999998</v>
      </c>
      <c r="G826">
        <v>73.134175499999998</v>
      </c>
      <c r="H826">
        <f t="shared" si="60"/>
        <v>455.70000000000005</v>
      </c>
      <c r="I826" s="4">
        <f t="shared" si="61"/>
        <v>2325</v>
      </c>
      <c r="J826" s="6">
        <f t="shared" si="62"/>
        <v>550</v>
      </c>
      <c r="K826" s="6">
        <f t="shared" si="63"/>
        <v>1278750</v>
      </c>
      <c r="L826" s="3" t="str">
        <f t="shared" si="64"/>
        <v>Premium</v>
      </c>
    </row>
    <row r="827" spans="1:12">
      <c r="A827" t="s">
        <v>1400</v>
      </c>
      <c r="B827" t="s">
        <v>1486</v>
      </c>
      <c r="C827" s="4">
        <v>4.9000000000000004</v>
      </c>
      <c r="D827" s="4">
        <v>25</v>
      </c>
      <c r="E827" t="s">
        <v>1487</v>
      </c>
      <c r="F827" s="4">
        <v>19.011319100000001</v>
      </c>
      <c r="G827">
        <v>73.117857099999995</v>
      </c>
      <c r="H827">
        <f t="shared" si="60"/>
        <v>122.50000000000001</v>
      </c>
      <c r="I827" s="4">
        <f t="shared" si="61"/>
        <v>625</v>
      </c>
      <c r="J827" s="6">
        <f t="shared" si="62"/>
        <v>550</v>
      </c>
      <c r="K827" s="6">
        <f t="shared" si="63"/>
        <v>343750</v>
      </c>
      <c r="L827" s="3" t="str">
        <f t="shared" si="64"/>
        <v>Premium</v>
      </c>
    </row>
    <row r="828" spans="1:12">
      <c r="A828" t="s">
        <v>1400</v>
      </c>
      <c r="B828" t="s">
        <v>1488</v>
      </c>
      <c r="C828" s="4">
        <v>4.9000000000000004</v>
      </c>
      <c r="D828" s="4">
        <v>30</v>
      </c>
      <c r="E828" t="s">
        <v>1489</v>
      </c>
      <c r="F828" s="4">
        <v>18.9884682</v>
      </c>
      <c r="G828">
        <v>73.127944299999996</v>
      </c>
      <c r="H828">
        <f t="shared" si="60"/>
        <v>147</v>
      </c>
      <c r="I828" s="4">
        <f t="shared" si="61"/>
        <v>750</v>
      </c>
      <c r="J828" s="6">
        <f t="shared" si="62"/>
        <v>550</v>
      </c>
      <c r="K828" s="6">
        <f t="shared" si="63"/>
        <v>412500</v>
      </c>
      <c r="L828" s="3" t="str">
        <f t="shared" si="64"/>
        <v>Premium</v>
      </c>
    </row>
    <row r="829" spans="1:12">
      <c r="A829" t="s">
        <v>1400</v>
      </c>
      <c r="B829" t="s">
        <v>1490</v>
      </c>
      <c r="C829" s="4">
        <v>4.0999999999999996</v>
      </c>
      <c r="D829" s="4">
        <v>3839</v>
      </c>
      <c r="E829" t="s">
        <v>1491</v>
      </c>
      <c r="F829" s="4">
        <v>18.992989999999999</v>
      </c>
      <c r="G829">
        <v>73.115874199999993</v>
      </c>
      <c r="H829">
        <f t="shared" si="60"/>
        <v>15739.899999999998</v>
      </c>
      <c r="I829" s="4">
        <f t="shared" si="61"/>
        <v>95975</v>
      </c>
      <c r="J829" s="6">
        <f t="shared" si="62"/>
        <v>350</v>
      </c>
      <c r="K829" s="6">
        <f t="shared" si="63"/>
        <v>33591250</v>
      </c>
      <c r="L829" s="3" t="str">
        <f t="shared" si="64"/>
        <v>Popular</v>
      </c>
    </row>
    <row r="830" spans="1:12">
      <c r="A830" t="s">
        <v>1400</v>
      </c>
      <c r="B830" t="s">
        <v>1492</v>
      </c>
      <c r="C830" s="4">
        <v>4.4000000000000004</v>
      </c>
      <c r="D830" s="4">
        <v>48</v>
      </c>
      <c r="E830" t="s">
        <v>1493</v>
      </c>
      <c r="F830" s="4">
        <v>18.9829191</v>
      </c>
      <c r="G830">
        <v>73.098695300000003</v>
      </c>
      <c r="H830">
        <f t="shared" si="60"/>
        <v>211.20000000000002</v>
      </c>
      <c r="I830" s="4">
        <f t="shared" si="61"/>
        <v>1200</v>
      </c>
      <c r="J830" s="6">
        <f t="shared" si="62"/>
        <v>450</v>
      </c>
      <c r="K830" s="6">
        <f t="shared" si="63"/>
        <v>540000</v>
      </c>
      <c r="L830" s="3" t="str">
        <f t="shared" si="64"/>
        <v>Popular</v>
      </c>
    </row>
    <row r="831" spans="1:12">
      <c r="A831" t="s">
        <v>1400</v>
      </c>
      <c r="B831" t="s">
        <v>1494</v>
      </c>
      <c r="C831" s="4">
        <v>4.3</v>
      </c>
      <c r="D831" s="4">
        <v>28</v>
      </c>
      <c r="E831" t="s">
        <v>1495</v>
      </c>
      <c r="F831" s="4">
        <v>18.977092599999999</v>
      </c>
      <c r="G831">
        <v>73.100992699999907</v>
      </c>
      <c r="H831">
        <f t="shared" si="60"/>
        <v>120.39999999999999</v>
      </c>
      <c r="I831" s="4">
        <f t="shared" si="61"/>
        <v>700</v>
      </c>
      <c r="J831" s="6">
        <f t="shared" si="62"/>
        <v>350</v>
      </c>
      <c r="K831" s="6">
        <f t="shared" si="63"/>
        <v>245000</v>
      </c>
      <c r="L831" s="3" t="str">
        <f t="shared" si="64"/>
        <v>Popular</v>
      </c>
    </row>
    <row r="832" spans="1:12">
      <c r="A832" t="s">
        <v>1400</v>
      </c>
      <c r="B832" t="s">
        <v>1496</v>
      </c>
      <c r="C832" s="4">
        <v>4.9000000000000004</v>
      </c>
      <c r="D832" s="4">
        <v>15</v>
      </c>
      <c r="E832" t="s">
        <v>1497</v>
      </c>
      <c r="F832" s="4">
        <v>19.005118100000001</v>
      </c>
      <c r="G832">
        <v>73.114607300000003</v>
      </c>
      <c r="H832">
        <f t="shared" si="60"/>
        <v>73.5</v>
      </c>
      <c r="I832" s="4">
        <f t="shared" si="61"/>
        <v>375</v>
      </c>
      <c r="J832" s="6">
        <f t="shared" si="62"/>
        <v>550</v>
      </c>
      <c r="K832" s="6">
        <f t="shared" si="63"/>
        <v>206250</v>
      </c>
      <c r="L832" s="3" t="str">
        <f t="shared" si="64"/>
        <v>Premium</v>
      </c>
    </row>
    <row r="833" spans="1:12">
      <c r="A833" t="s">
        <v>1400</v>
      </c>
      <c r="B833" t="s">
        <v>1354</v>
      </c>
      <c r="C833" s="4">
        <v>4.2</v>
      </c>
      <c r="D833" s="4">
        <v>2443</v>
      </c>
      <c r="E833" t="s">
        <v>1355</v>
      </c>
      <c r="F833" s="4">
        <v>19.009949500000001</v>
      </c>
      <c r="G833">
        <v>73.0326412</v>
      </c>
      <c r="H833">
        <f t="shared" si="60"/>
        <v>10260.6</v>
      </c>
      <c r="I833" s="4">
        <f t="shared" si="61"/>
        <v>61075</v>
      </c>
      <c r="J833" s="6">
        <f t="shared" si="62"/>
        <v>350</v>
      </c>
      <c r="K833" s="6">
        <f t="shared" si="63"/>
        <v>21376250</v>
      </c>
      <c r="L833" s="3" t="str">
        <f t="shared" si="64"/>
        <v>Popular</v>
      </c>
    </row>
    <row r="834" spans="1:12">
      <c r="A834" t="s">
        <v>1400</v>
      </c>
      <c r="B834" t="s">
        <v>1498</v>
      </c>
      <c r="C834" s="4">
        <v>3.8</v>
      </c>
      <c r="D834" s="4">
        <v>215</v>
      </c>
      <c r="E834" t="s">
        <v>1499</v>
      </c>
      <c r="F834" s="4">
        <v>18.988357700000002</v>
      </c>
      <c r="G834">
        <v>73.127979299999893</v>
      </c>
      <c r="H834">
        <f t="shared" ref="H834:H897" si="65">C834*D834</f>
        <v>817</v>
      </c>
      <c r="I834" s="4">
        <f t="shared" ref="I834:I897" si="66">D834*25</f>
        <v>5375</v>
      </c>
      <c r="J834" s="6">
        <f t="shared" ref="J834:J897" si="67">IF(C834&gt;=4.7,550,IF(C834&gt;=4.4,450,IF(C834&gt;=O836,350,250)))</f>
        <v>350</v>
      </c>
      <c r="K834" s="6">
        <f t="shared" ref="K834:K897" si="68">I834*J834</f>
        <v>1881250</v>
      </c>
      <c r="L834" s="3" t="str">
        <f t="shared" ref="L834:L897" si="69">IF(C834&gt;=4.5,"Premium",IF(C834&gt;=4,"Popular","Average"))</f>
        <v>Average</v>
      </c>
    </row>
    <row r="835" spans="1:12">
      <c r="A835" t="s">
        <v>1400</v>
      </c>
      <c r="B835" t="s">
        <v>1500</v>
      </c>
      <c r="C835" s="4">
        <v>3.4</v>
      </c>
      <c r="D835" s="4">
        <v>5</v>
      </c>
      <c r="E835" t="s">
        <v>1501</v>
      </c>
      <c r="F835" s="4">
        <v>19.0058902</v>
      </c>
      <c r="G835">
        <v>73.110370399999994</v>
      </c>
      <c r="H835">
        <f t="shared" si="65"/>
        <v>17</v>
      </c>
      <c r="I835" s="4">
        <f t="shared" si="66"/>
        <v>125</v>
      </c>
      <c r="J835" s="6">
        <f t="shared" si="67"/>
        <v>350</v>
      </c>
      <c r="K835" s="6">
        <f t="shared" si="68"/>
        <v>43750</v>
      </c>
      <c r="L835" s="3" t="str">
        <f t="shared" si="69"/>
        <v>Average</v>
      </c>
    </row>
    <row r="836" spans="1:12">
      <c r="A836" t="s">
        <v>1400</v>
      </c>
      <c r="B836" t="s">
        <v>1502</v>
      </c>
      <c r="C836" s="4">
        <v>4.0999999999999996</v>
      </c>
      <c r="D836" s="4">
        <v>502</v>
      </c>
      <c r="E836" t="s">
        <v>1503</v>
      </c>
      <c r="F836" s="4">
        <v>18.9876456</v>
      </c>
      <c r="G836">
        <v>73.114994600000003</v>
      </c>
      <c r="H836">
        <f t="shared" si="65"/>
        <v>2058.1999999999998</v>
      </c>
      <c r="I836" s="4">
        <f t="shared" si="66"/>
        <v>12550</v>
      </c>
      <c r="J836" s="6">
        <f t="shared" si="67"/>
        <v>350</v>
      </c>
      <c r="K836" s="6">
        <f t="shared" si="68"/>
        <v>4392500</v>
      </c>
      <c r="L836" s="3" t="str">
        <f t="shared" si="69"/>
        <v>Popular</v>
      </c>
    </row>
    <row r="837" spans="1:12">
      <c r="A837" t="s">
        <v>1400</v>
      </c>
      <c r="B837" t="s">
        <v>1504</v>
      </c>
      <c r="C837" s="4">
        <v>4.5999999999999996</v>
      </c>
      <c r="D837" s="4">
        <v>18</v>
      </c>
      <c r="E837" t="s">
        <v>1505</v>
      </c>
      <c r="F837" s="4">
        <v>18.967628399999999</v>
      </c>
      <c r="G837">
        <v>73.117081799999994</v>
      </c>
      <c r="H837">
        <f t="shared" si="65"/>
        <v>82.8</v>
      </c>
      <c r="I837" s="4">
        <f t="shared" si="66"/>
        <v>450</v>
      </c>
      <c r="J837" s="6">
        <f t="shared" si="67"/>
        <v>450</v>
      </c>
      <c r="K837" s="6">
        <f t="shared" si="68"/>
        <v>202500</v>
      </c>
      <c r="L837" s="3" t="str">
        <f t="shared" si="69"/>
        <v>Premium</v>
      </c>
    </row>
    <row r="838" spans="1:12">
      <c r="A838" t="s">
        <v>1400</v>
      </c>
      <c r="B838" t="s">
        <v>1506</v>
      </c>
      <c r="C838" s="4">
        <v>4.5</v>
      </c>
      <c r="D838" s="4">
        <v>55</v>
      </c>
      <c r="E838" t="s">
        <v>1507</v>
      </c>
      <c r="F838" s="4">
        <v>18.9900941</v>
      </c>
      <c r="G838">
        <v>73.112465999999998</v>
      </c>
      <c r="H838">
        <f t="shared" si="65"/>
        <v>247.5</v>
      </c>
      <c r="I838" s="4">
        <f t="shared" si="66"/>
        <v>1375</v>
      </c>
      <c r="J838" s="6">
        <f t="shared" si="67"/>
        <v>450</v>
      </c>
      <c r="K838" s="6">
        <f t="shared" si="68"/>
        <v>618750</v>
      </c>
      <c r="L838" s="3" t="str">
        <f t="shared" si="69"/>
        <v>Premium</v>
      </c>
    </row>
    <row r="839" spans="1:12">
      <c r="A839" t="s">
        <v>1400</v>
      </c>
      <c r="B839" t="s">
        <v>1508</v>
      </c>
      <c r="C839" s="4">
        <v>4</v>
      </c>
      <c r="D839" s="4">
        <v>8</v>
      </c>
      <c r="E839" t="s">
        <v>1509</v>
      </c>
      <c r="F839" s="4">
        <v>18.9770927</v>
      </c>
      <c r="G839">
        <v>73.100992499999904</v>
      </c>
      <c r="H839">
        <f t="shared" si="65"/>
        <v>32</v>
      </c>
      <c r="I839" s="4">
        <f t="shared" si="66"/>
        <v>200</v>
      </c>
      <c r="J839" s="6">
        <f t="shared" si="67"/>
        <v>350</v>
      </c>
      <c r="K839" s="6">
        <f t="shared" si="68"/>
        <v>70000</v>
      </c>
      <c r="L839" s="3" t="str">
        <f t="shared" si="69"/>
        <v>Popular</v>
      </c>
    </row>
    <row r="840" spans="1:12">
      <c r="A840" t="s">
        <v>1400</v>
      </c>
      <c r="B840" t="s">
        <v>1510</v>
      </c>
      <c r="C840" s="4">
        <v>4.3</v>
      </c>
      <c r="D840" s="4">
        <v>310</v>
      </c>
      <c r="E840" t="s">
        <v>1511</v>
      </c>
      <c r="F840" s="4">
        <v>18.985402400000002</v>
      </c>
      <c r="G840">
        <v>73.1095136</v>
      </c>
      <c r="H840">
        <f t="shared" si="65"/>
        <v>1333</v>
      </c>
      <c r="I840" s="4">
        <f t="shared" si="66"/>
        <v>7750</v>
      </c>
      <c r="J840" s="6">
        <f t="shared" si="67"/>
        <v>350</v>
      </c>
      <c r="K840" s="6">
        <f t="shared" si="68"/>
        <v>2712500</v>
      </c>
      <c r="L840" s="3" t="str">
        <f t="shared" si="69"/>
        <v>Popular</v>
      </c>
    </row>
    <row r="841" spans="1:12">
      <c r="A841" t="s">
        <v>1400</v>
      </c>
      <c r="B841" t="s">
        <v>1512</v>
      </c>
      <c r="C841" s="4">
        <v>4</v>
      </c>
      <c r="D841" s="4">
        <v>2010</v>
      </c>
      <c r="E841" t="s">
        <v>1513</v>
      </c>
      <c r="F841" s="4">
        <v>18.992104999999999</v>
      </c>
      <c r="G841">
        <v>73.115236799999906</v>
      </c>
      <c r="H841">
        <f t="shared" si="65"/>
        <v>8040</v>
      </c>
      <c r="I841" s="4">
        <f t="shared" si="66"/>
        <v>50250</v>
      </c>
      <c r="J841" s="6">
        <f t="shared" si="67"/>
        <v>350</v>
      </c>
      <c r="K841" s="6">
        <f t="shared" si="68"/>
        <v>17587500</v>
      </c>
      <c r="L841" s="3" t="str">
        <f t="shared" si="69"/>
        <v>Popular</v>
      </c>
    </row>
    <row r="842" spans="1:12">
      <c r="A842" t="s">
        <v>1514</v>
      </c>
      <c r="B842" t="s">
        <v>1515</v>
      </c>
      <c r="C842" s="4">
        <v>4.5999999999999996</v>
      </c>
      <c r="D842" s="4">
        <v>643</v>
      </c>
      <c r="E842" t="s">
        <v>1516</v>
      </c>
      <c r="F842" s="4">
        <v>19.0298105</v>
      </c>
      <c r="G842">
        <v>73.065200199999893</v>
      </c>
      <c r="H842">
        <f t="shared" si="65"/>
        <v>2957.7999999999997</v>
      </c>
      <c r="I842" s="4">
        <f t="shared" si="66"/>
        <v>16075</v>
      </c>
      <c r="J842" s="6">
        <f t="shared" si="67"/>
        <v>450</v>
      </c>
      <c r="K842" s="6">
        <f t="shared" si="68"/>
        <v>7233750</v>
      </c>
      <c r="L842" s="3" t="str">
        <f t="shared" si="69"/>
        <v>Premium</v>
      </c>
    </row>
    <row r="843" spans="1:12">
      <c r="A843" t="s">
        <v>1514</v>
      </c>
      <c r="B843" t="s">
        <v>1517</v>
      </c>
      <c r="C843" s="4">
        <v>4.3</v>
      </c>
      <c r="D843" s="4">
        <v>4161</v>
      </c>
      <c r="E843" t="s">
        <v>1518</v>
      </c>
      <c r="F843" s="4">
        <v>19.032056399999998</v>
      </c>
      <c r="G843">
        <v>73.066987099999906</v>
      </c>
      <c r="H843">
        <f t="shared" si="65"/>
        <v>17892.3</v>
      </c>
      <c r="I843" s="4">
        <f t="shared" si="66"/>
        <v>104025</v>
      </c>
      <c r="J843" s="6">
        <f t="shared" si="67"/>
        <v>350</v>
      </c>
      <c r="K843" s="6">
        <f t="shared" si="68"/>
        <v>36408750</v>
      </c>
      <c r="L843" s="3" t="str">
        <f t="shared" si="69"/>
        <v>Popular</v>
      </c>
    </row>
    <row r="844" spans="1:12">
      <c r="A844" t="s">
        <v>1514</v>
      </c>
      <c r="B844" t="s">
        <v>1519</v>
      </c>
      <c r="C844" s="4">
        <v>4.5999999999999996</v>
      </c>
      <c r="D844" s="4">
        <v>1201</v>
      </c>
      <c r="E844" t="s">
        <v>1520</v>
      </c>
      <c r="F844" s="4">
        <v>19.0292849</v>
      </c>
      <c r="G844">
        <v>73.065797099999997</v>
      </c>
      <c r="H844">
        <f t="shared" si="65"/>
        <v>5524.5999999999995</v>
      </c>
      <c r="I844" s="4">
        <f t="shared" si="66"/>
        <v>30025</v>
      </c>
      <c r="J844" s="6">
        <f t="shared" si="67"/>
        <v>450</v>
      </c>
      <c r="K844" s="6">
        <f t="shared" si="68"/>
        <v>13511250</v>
      </c>
      <c r="L844" s="3" t="str">
        <f t="shared" si="69"/>
        <v>Premium</v>
      </c>
    </row>
    <row r="845" spans="1:12">
      <c r="A845" t="s">
        <v>1514</v>
      </c>
      <c r="B845" t="s">
        <v>1521</v>
      </c>
      <c r="C845" s="4">
        <v>4.3</v>
      </c>
      <c r="D845" s="4">
        <v>1632</v>
      </c>
      <c r="E845" t="s">
        <v>1522</v>
      </c>
      <c r="F845" s="4">
        <v>19.029783900000002</v>
      </c>
      <c r="G845">
        <v>73.065389400000001</v>
      </c>
      <c r="H845">
        <f t="shared" si="65"/>
        <v>7017.5999999999995</v>
      </c>
      <c r="I845" s="4">
        <f t="shared" si="66"/>
        <v>40800</v>
      </c>
      <c r="J845" s="6">
        <f t="shared" si="67"/>
        <v>350</v>
      </c>
      <c r="K845" s="6">
        <f t="shared" si="68"/>
        <v>14280000</v>
      </c>
      <c r="L845" s="3" t="str">
        <f t="shared" si="69"/>
        <v>Popular</v>
      </c>
    </row>
    <row r="846" spans="1:12">
      <c r="A846" t="s">
        <v>1514</v>
      </c>
      <c r="B846" t="s">
        <v>1523</v>
      </c>
      <c r="C846" s="4">
        <v>4.7</v>
      </c>
      <c r="D846" s="4">
        <v>667</v>
      </c>
      <c r="E846" t="s">
        <v>1524</v>
      </c>
      <c r="F846" s="4">
        <v>19.054744899999999</v>
      </c>
      <c r="G846">
        <v>73.067894299999907</v>
      </c>
      <c r="H846">
        <f t="shared" si="65"/>
        <v>3134.9</v>
      </c>
      <c r="I846" s="4">
        <f t="shared" si="66"/>
        <v>16675</v>
      </c>
      <c r="J846" s="6">
        <f t="shared" si="67"/>
        <v>550</v>
      </c>
      <c r="K846" s="6">
        <f t="shared" si="68"/>
        <v>9171250</v>
      </c>
      <c r="L846" s="3" t="str">
        <f t="shared" si="69"/>
        <v>Premium</v>
      </c>
    </row>
    <row r="847" spans="1:12">
      <c r="A847" t="s">
        <v>1514</v>
      </c>
      <c r="B847" t="s">
        <v>1525</v>
      </c>
      <c r="C847" s="4">
        <v>4.7</v>
      </c>
      <c r="D847" s="4">
        <v>398</v>
      </c>
      <c r="E847" t="s">
        <v>1526</v>
      </c>
      <c r="F847" s="4">
        <v>19.069331099999999</v>
      </c>
      <c r="G847">
        <v>73.077723800000001</v>
      </c>
      <c r="H847">
        <f t="shared" si="65"/>
        <v>1870.6000000000001</v>
      </c>
      <c r="I847" s="4">
        <f t="shared" si="66"/>
        <v>9950</v>
      </c>
      <c r="J847" s="6">
        <f t="shared" si="67"/>
        <v>550</v>
      </c>
      <c r="K847" s="6">
        <f t="shared" si="68"/>
        <v>5472500</v>
      </c>
      <c r="L847" s="3" t="str">
        <f t="shared" si="69"/>
        <v>Premium</v>
      </c>
    </row>
    <row r="848" spans="1:12">
      <c r="A848" t="s">
        <v>1514</v>
      </c>
      <c r="B848" t="s">
        <v>1398</v>
      </c>
      <c r="C848" s="4">
        <v>4.0999999999999996</v>
      </c>
      <c r="D848" s="4">
        <v>1273</v>
      </c>
      <c r="E848" t="s">
        <v>1399</v>
      </c>
      <c r="F848" s="4">
        <v>19.0337949</v>
      </c>
      <c r="G848">
        <v>73.063767099999893</v>
      </c>
      <c r="H848">
        <f t="shared" si="65"/>
        <v>5219.2999999999993</v>
      </c>
      <c r="I848" s="4">
        <f t="shared" si="66"/>
        <v>31825</v>
      </c>
      <c r="J848" s="6">
        <f t="shared" si="67"/>
        <v>350</v>
      </c>
      <c r="K848" s="6">
        <f t="shared" si="68"/>
        <v>11138750</v>
      </c>
      <c r="L848" s="3" t="str">
        <f t="shared" si="69"/>
        <v>Popular</v>
      </c>
    </row>
    <row r="849" spans="1:12">
      <c r="A849" t="s">
        <v>1514</v>
      </c>
      <c r="B849" t="s">
        <v>1527</v>
      </c>
      <c r="C849" s="4">
        <v>4.7</v>
      </c>
      <c r="D849" s="4">
        <v>284</v>
      </c>
      <c r="E849" t="s">
        <v>1528</v>
      </c>
      <c r="F849" s="4">
        <v>19.045189199999999</v>
      </c>
      <c r="G849">
        <v>73.063368199999999</v>
      </c>
      <c r="H849">
        <f t="shared" si="65"/>
        <v>1334.8</v>
      </c>
      <c r="I849" s="4">
        <f t="shared" si="66"/>
        <v>7100</v>
      </c>
      <c r="J849" s="6">
        <f t="shared" si="67"/>
        <v>550</v>
      </c>
      <c r="K849" s="6">
        <f t="shared" si="68"/>
        <v>3905000</v>
      </c>
      <c r="L849" s="3" t="str">
        <f t="shared" si="69"/>
        <v>Premium</v>
      </c>
    </row>
    <row r="850" spans="1:12">
      <c r="A850" t="s">
        <v>1514</v>
      </c>
      <c r="B850" t="s">
        <v>1529</v>
      </c>
      <c r="C850" s="4">
        <v>4.5999999999999996</v>
      </c>
      <c r="D850" s="4">
        <v>339</v>
      </c>
      <c r="E850" t="s">
        <v>1530</v>
      </c>
      <c r="F850" s="4">
        <v>19.048718000000001</v>
      </c>
      <c r="G850">
        <v>73.075754500000002</v>
      </c>
      <c r="H850">
        <f t="shared" si="65"/>
        <v>1559.3999999999999</v>
      </c>
      <c r="I850" s="4">
        <f t="shared" si="66"/>
        <v>8475</v>
      </c>
      <c r="J850" s="6">
        <f t="shared" si="67"/>
        <v>450</v>
      </c>
      <c r="K850" s="6">
        <f t="shared" si="68"/>
        <v>3813750</v>
      </c>
      <c r="L850" s="3" t="str">
        <f t="shared" si="69"/>
        <v>Premium</v>
      </c>
    </row>
    <row r="851" spans="1:12">
      <c r="A851" t="s">
        <v>1514</v>
      </c>
      <c r="B851" t="s">
        <v>1531</v>
      </c>
      <c r="C851" s="4">
        <v>4</v>
      </c>
      <c r="D851" s="4">
        <v>504</v>
      </c>
      <c r="E851" t="s">
        <v>1532</v>
      </c>
      <c r="F851" s="4">
        <v>19.047885300000001</v>
      </c>
      <c r="G851">
        <v>73.068530199999998</v>
      </c>
      <c r="H851">
        <f t="shared" si="65"/>
        <v>2016</v>
      </c>
      <c r="I851" s="4">
        <f t="shared" si="66"/>
        <v>12600</v>
      </c>
      <c r="J851" s="6">
        <f t="shared" si="67"/>
        <v>350</v>
      </c>
      <c r="K851" s="6">
        <f t="shared" si="68"/>
        <v>4410000</v>
      </c>
      <c r="L851" s="3" t="str">
        <f t="shared" si="69"/>
        <v>Popular</v>
      </c>
    </row>
    <row r="852" spans="1:12">
      <c r="A852" t="s">
        <v>1514</v>
      </c>
      <c r="B852" t="s">
        <v>1533</v>
      </c>
      <c r="C852" s="4">
        <v>4.5999999999999996</v>
      </c>
      <c r="D852" s="4">
        <v>194</v>
      </c>
      <c r="E852" t="s">
        <v>1534</v>
      </c>
      <c r="F852" s="4">
        <v>19.033505000000002</v>
      </c>
      <c r="G852">
        <v>73.065545999999998</v>
      </c>
      <c r="H852">
        <f t="shared" si="65"/>
        <v>892.4</v>
      </c>
      <c r="I852" s="4">
        <f t="shared" si="66"/>
        <v>4850</v>
      </c>
      <c r="J852" s="6">
        <f t="shared" si="67"/>
        <v>450</v>
      </c>
      <c r="K852" s="6">
        <f t="shared" si="68"/>
        <v>2182500</v>
      </c>
      <c r="L852" s="3" t="str">
        <f t="shared" si="69"/>
        <v>Premium</v>
      </c>
    </row>
    <row r="853" spans="1:12">
      <c r="A853" t="s">
        <v>1514</v>
      </c>
      <c r="B853" t="s">
        <v>1535</v>
      </c>
      <c r="C853" s="4">
        <v>4.4000000000000004</v>
      </c>
      <c r="D853" s="4">
        <v>73</v>
      </c>
      <c r="E853" t="s">
        <v>1536</v>
      </c>
      <c r="F853" s="4">
        <v>19.032056399999998</v>
      </c>
      <c r="G853">
        <v>73.066987099999906</v>
      </c>
      <c r="H853">
        <f t="shared" si="65"/>
        <v>321.20000000000005</v>
      </c>
      <c r="I853" s="4">
        <f t="shared" si="66"/>
        <v>1825</v>
      </c>
      <c r="J853" s="6">
        <f t="shared" si="67"/>
        <v>450</v>
      </c>
      <c r="K853" s="6">
        <f t="shared" si="68"/>
        <v>821250</v>
      </c>
      <c r="L853" s="3" t="str">
        <f t="shared" si="69"/>
        <v>Popular</v>
      </c>
    </row>
    <row r="854" spans="1:12">
      <c r="A854" t="s">
        <v>1514</v>
      </c>
      <c r="B854" t="s">
        <v>1537</v>
      </c>
      <c r="C854" s="4">
        <v>4.5999999999999996</v>
      </c>
      <c r="D854" s="4">
        <v>260</v>
      </c>
      <c r="E854" t="s">
        <v>1538</v>
      </c>
      <c r="F854" s="4">
        <v>19.030774099999999</v>
      </c>
      <c r="G854">
        <v>73.066622899999999</v>
      </c>
      <c r="H854">
        <f t="shared" si="65"/>
        <v>1196</v>
      </c>
      <c r="I854" s="4">
        <f t="shared" si="66"/>
        <v>6500</v>
      </c>
      <c r="J854" s="6">
        <f t="shared" si="67"/>
        <v>450</v>
      </c>
      <c r="K854" s="6">
        <f t="shared" si="68"/>
        <v>2925000</v>
      </c>
      <c r="L854" s="3" t="str">
        <f t="shared" si="69"/>
        <v>Premium</v>
      </c>
    </row>
    <row r="855" spans="1:12">
      <c r="A855" t="s">
        <v>1514</v>
      </c>
      <c r="B855" t="s">
        <v>1539</v>
      </c>
      <c r="C855" s="4">
        <v>4.7</v>
      </c>
      <c r="D855" s="4">
        <v>112</v>
      </c>
      <c r="E855" t="s">
        <v>1540</v>
      </c>
      <c r="F855" s="4">
        <v>19.029751300000001</v>
      </c>
      <c r="G855">
        <v>73.063547900000003</v>
      </c>
      <c r="H855">
        <f t="shared" si="65"/>
        <v>526.4</v>
      </c>
      <c r="I855" s="4">
        <f t="shared" si="66"/>
        <v>2800</v>
      </c>
      <c r="J855" s="6">
        <f t="shared" si="67"/>
        <v>550</v>
      </c>
      <c r="K855" s="6">
        <f t="shared" si="68"/>
        <v>1540000</v>
      </c>
      <c r="L855" s="3" t="str">
        <f t="shared" si="69"/>
        <v>Premium</v>
      </c>
    </row>
    <row r="856" spans="1:12">
      <c r="A856" t="s">
        <v>1514</v>
      </c>
      <c r="B856" t="s">
        <v>1541</v>
      </c>
      <c r="C856" s="4">
        <v>4.7</v>
      </c>
      <c r="D856" s="4">
        <v>189</v>
      </c>
      <c r="E856" t="s">
        <v>1542</v>
      </c>
      <c r="F856" s="4">
        <v>19.052885799999999</v>
      </c>
      <c r="G856">
        <v>73.066831800000003</v>
      </c>
      <c r="H856">
        <f t="shared" si="65"/>
        <v>888.30000000000007</v>
      </c>
      <c r="I856" s="4">
        <f t="shared" si="66"/>
        <v>4725</v>
      </c>
      <c r="J856" s="6">
        <f t="shared" si="67"/>
        <v>550</v>
      </c>
      <c r="K856" s="6">
        <f t="shared" si="68"/>
        <v>2598750</v>
      </c>
      <c r="L856" s="3" t="str">
        <f t="shared" si="69"/>
        <v>Premium</v>
      </c>
    </row>
    <row r="857" spans="1:12">
      <c r="A857" t="s">
        <v>1514</v>
      </c>
      <c r="B857" t="s">
        <v>1543</v>
      </c>
      <c r="C857" s="4">
        <v>4.9000000000000004</v>
      </c>
      <c r="D857" s="4">
        <v>121</v>
      </c>
      <c r="E857" t="s">
        <v>1544</v>
      </c>
      <c r="F857" s="4">
        <v>19.029661900000001</v>
      </c>
      <c r="G857">
        <v>73.063317299999994</v>
      </c>
      <c r="H857">
        <f t="shared" si="65"/>
        <v>592.90000000000009</v>
      </c>
      <c r="I857" s="4">
        <f t="shared" si="66"/>
        <v>3025</v>
      </c>
      <c r="J857" s="6">
        <f t="shared" si="67"/>
        <v>550</v>
      </c>
      <c r="K857" s="6">
        <f t="shared" si="68"/>
        <v>1663750</v>
      </c>
      <c r="L857" s="3" t="str">
        <f t="shared" si="69"/>
        <v>Premium</v>
      </c>
    </row>
    <row r="858" spans="1:12">
      <c r="A858" t="s">
        <v>1514</v>
      </c>
      <c r="B858" t="s">
        <v>1545</v>
      </c>
      <c r="C858" s="4">
        <v>4.9000000000000004</v>
      </c>
      <c r="D858" s="4">
        <v>42</v>
      </c>
      <c r="E858" t="s">
        <v>1546</v>
      </c>
      <c r="F858" s="4">
        <v>19.033672899999999</v>
      </c>
      <c r="G858">
        <v>73.069488800000002</v>
      </c>
      <c r="H858">
        <f t="shared" si="65"/>
        <v>205.8</v>
      </c>
      <c r="I858" s="4">
        <f t="shared" si="66"/>
        <v>1050</v>
      </c>
      <c r="J858" s="6">
        <f t="shared" si="67"/>
        <v>550</v>
      </c>
      <c r="K858" s="6">
        <f t="shared" si="68"/>
        <v>577500</v>
      </c>
      <c r="L858" s="3" t="str">
        <f t="shared" si="69"/>
        <v>Premium</v>
      </c>
    </row>
    <row r="859" spans="1:12">
      <c r="A859" t="s">
        <v>1514</v>
      </c>
      <c r="B859" t="s">
        <v>1547</v>
      </c>
      <c r="C859" s="4">
        <v>4</v>
      </c>
      <c r="D859" s="4">
        <v>243</v>
      </c>
      <c r="E859" t="s">
        <v>1548</v>
      </c>
      <c r="F859" s="4">
        <v>19.049991899999998</v>
      </c>
      <c r="G859">
        <v>73.064977200000001</v>
      </c>
      <c r="H859">
        <f t="shared" si="65"/>
        <v>972</v>
      </c>
      <c r="I859" s="4">
        <f t="shared" si="66"/>
        <v>6075</v>
      </c>
      <c r="J859" s="6">
        <f t="shared" si="67"/>
        <v>350</v>
      </c>
      <c r="K859" s="6">
        <f t="shared" si="68"/>
        <v>2126250</v>
      </c>
      <c r="L859" s="3" t="str">
        <f t="shared" si="69"/>
        <v>Popular</v>
      </c>
    </row>
    <row r="860" spans="1:12">
      <c r="A860" t="s">
        <v>1514</v>
      </c>
      <c r="B860" t="s">
        <v>1338</v>
      </c>
      <c r="C860" s="4">
        <v>4.4000000000000004</v>
      </c>
      <c r="D860" s="4">
        <v>1068</v>
      </c>
      <c r="E860" t="s">
        <v>1339</v>
      </c>
      <c r="F860" s="4">
        <v>19.007045699999999</v>
      </c>
      <c r="G860">
        <v>73.033661699999996</v>
      </c>
      <c r="H860">
        <f t="shared" si="65"/>
        <v>4699.2000000000007</v>
      </c>
      <c r="I860" s="4">
        <f t="shared" si="66"/>
        <v>26700</v>
      </c>
      <c r="J860" s="6">
        <f t="shared" si="67"/>
        <v>450</v>
      </c>
      <c r="K860" s="6">
        <f t="shared" si="68"/>
        <v>12015000</v>
      </c>
      <c r="L860" s="3" t="str">
        <f t="shared" si="69"/>
        <v>Popular</v>
      </c>
    </row>
    <row r="861" spans="1:12">
      <c r="A861" t="s">
        <v>1514</v>
      </c>
      <c r="B861" t="s">
        <v>1352</v>
      </c>
      <c r="C861" s="4">
        <v>4.4000000000000004</v>
      </c>
      <c r="D861" s="4">
        <v>565</v>
      </c>
      <c r="E861" t="s">
        <v>1353</v>
      </c>
      <c r="F861" s="4">
        <v>19.007391200000001</v>
      </c>
      <c r="G861">
        <v>73.034680999999907</v>
      </c>
      <c r="H861">
        <f t="shared" si="65"/>
        <v>2486</v>
      </c>
      <c r="I861" s="4">
        <f t="shared" si="66"/>
        <v>14125</v>
      </c>
      <c r="J861" s="6">
        <f t="shared" si="67"/>
        <v>450</v>
      </c>
      <c r="K861" s="6">
        <f t="shared" si="68"/>
        <v>6356250</v>
      </c>
      <c r="L861" s="3" t="str">
        <f t="shared" si="69"/>
        <v>Popular</v>
      </c>
    </row>
    <row r="862" spans="1:12">
      <c r="A862" t="s">
        <v>1514</v>
      </c>
      <c r="B862" t="s">
        <v>1549</v>
      </c>
      <c r="C862" s="4">
        <v>4.3</v>
      </c>
      <c r="D862" s="4">
        <v>936</v>
      </c>
      <c r="E862" t="s">
        <v>1550</v>
      </c>
      <c r="F862" s="4">
        <v>19.035401499999999</v>
      </c>
      <c r="G862">
        <v>73.067321399999997</v>
      </c>
      <c r="H862">
        <f t="shared" si="65"/>
        <v>4024.7999999999997</v>
      </c>
      <c r="I862" s="4">
        <f t="shared" si="66"/>
        <v>23400</v>
      </c>
      <c r="J862" s="6">
        <f t="shared" si="67"/>
        <v>350</v>
      </c>
      <c r="K862" s="6">
        <f t="shared" si="68"/>
        <v>8190000</v>
      </c>
      <c r="L862" s="3" t="str">
        <f t="shared" si="69"/>
        <v>Popular</v>
      </c>
    </row>
    <row r="863" spans="1:12">
      <c r="A863" t="s">
        <v>1514</v>
      </c>
      <c r="B863" t="s">
        <v>1551</v>
      </c>
      <c r="C863" s="4">
        <v>4.3</v>
      </c>
      <c r="D863" s="4">
        <v>68</v>
      </c>
      <c r="E863" t="s">
        <v>1552</v>
      </c>
      <c r="F863" s="4">
        <v>19.0550818</v>
      </c>
      <c r="G863">
        <v>73.067111199999999</v>
      </c>
      <c r="H863">
        <f t="shared" si="65"/>
        <v>292.39999999999998</v>
      </c>
      <c r="I863" s="4">
        <f t="shared" si="66"/>
        <v>1700</v>
      </c>
      <c r="J863" s="6">
        <f t="shared" si="67"/>
        <v>350</v>
      </c>
      <c r="K863" s="6">
        <f t="shared" si="68"/>
        <v>595000</v>
      </c>
      <c r="L863" s="3" t="str">
        <f t="shared" si="69"/>
        <v>Popular</v>
      </c>
    </row>
    <row r="864" spans="1:12">
      <c r="A864" t="s">
        <v>1514</v>
      </c>
      <c r="B864" t="s">
        <v>1356</v>
      </c>
      <c r="C864" s="4">
        <v>4.4000000000000004</v>
      </c>
      <c r="D864" s="4">
        <v>487</v>
      </c>
      <c r="E864" t="s">
        <v>1357</v>
      </c>
      <c r="F864" s="4">
        <v>19.0077094</v>
      </c>
      <c r="G864">
        <v>73.035687999999993</v>
      </c>
      <c r="H864">
        <f t="shared" si="65"/>
        <v>2142.8000000000002</v>
      </c>
      <c r="I864" s="4">
        <f t="shared" si="66"/>
        <v>12175</v>
      </c>
      <c r="J864" s="6">
        <f t="shared" si="67"/>
        <v>450</v>
      </c>
      <c r="K864" s="6">
        <f t="shared" si="68"/>
        <v>5478750</v>
      </c>
      <c r="L864" s="3" t="str">
        <f t="shared" si="69"/>
        <v>Popular</v>
      </c>
    </row>
    <row r="865" spans="1:12">
      <c r="A865" t="s">
        <v>1514</v>
      </c>
      <c r="B865" t="s">
        <v>1553</v>
      </c>
      <c r="C865" s="4">
        <v>4.4000000000000004</v>
      </c>
      <c r="D865" s="4">
        <v>39</v>
      </c>
      <c r="E865" t="s">
        <v>1554</v>
      </c>
      <c r="F865" s="4">
        <v>19.029829500000002</v>
      </c>
      <c r="G865">
        <v>73.065351699999994</v>
      </c>
      <c r="H865">
        <f t="shared" si="65"/>
        <v>171.60000000000002</v>
      </c>
      <c r="I865" s="4">
        <f t="shared" si="66"/>
        <v>975</v>
      </c>
      <c r="J865" s="6">
        <f t="shared" si="67"/>
        <v>450</v>
      </c>
      <c r="K865" s="6">
        <f t="shared" si="68"/>
        <v>438750</v>
      </c>
      <c r="L865" s="3" t="str">
        <f t="shared" si="69"/>
        <v>Popular</v>
      </c>
    </row>
    <row r="866" spans="1:12">
      <c r="A866" t="s">
        <v>1514</v>
      </c>
      <c r="B866" t="s">
        <v>1283</v>
      </c>
      <c r="C866" s="4">
        <v>4.3</v>
      </c>
      <c r="D866" s="4">
        <v>1180</v>
      </c>
      <c r="E866" t="s">
        <v>1284</v>
      </c>
      <c r="F866" s="4">
        <v>19.015790599999999</v>
      </c>
      <c r="G866">
        <v>73.041221499999907</v>
      </c>
      <c r="H866">
        <f t="shared" si="65"/>
        <v>5074</v>
      </c>
      <c r="I866" s="4">
        <f t="shared" si="66"/>
        <v>29500</v>
      </c>
      <c r="J866" s="6">
        <f t="shared" si="67"/>
        <v>350</v>
      </c>
      <c r="K866" s="6">
        <f t="shared" si="68"/>
        <v>10325000</v>
      </c>
      <c r="L866" s="3" t="str">
        <f t="shared" si="69"/>
        <v>Popular</v>
      </c>
    </row>
    <row r="867" spans="1:12">
      <c r="A867" t="s">
        <v>1514</v>
      </c>
      <c r="B867" t="s">
        <v>1555</v>
      </c>
      <c r="C867" s="4">
        <v>4</v>
      </c>
      <c r="D867" s="4">
        <v>821</v>
      </c>
      <c r="E867" t="s">
        <v>1556</v>
      </c>
      <c r="F867" s="4">
        <v>19.028469300000001</v>
      </c>
      <c r="G867">
        <v>73.059371099999893</v>
      </c>
      <c r="H867">
        <f t="shared" si="65"/>
        <v>3284</v>
      </c>
      <c r="I867" s="4">
        <f t="shared" si="66"/>
        <v>20525</v>
      </c>
      <c r="J867" s="6">
        <f t="shared" si="67"/>
        <v>350</v>
      </c>
      <c r="K867" s="6">
        <f t="shared" si="68"/>
        <v>7183750</v>
      </c>
      <c r="L867" s="3" t="str">
        <f t="shared" si="69"/>
        <v>Popular</v>
      </c>
    </row>
    <row r="868" spans="1:12">
      <c r="A868" t="s">
        <v>1514</v>
      </c>
      <c r="B868" t="s">
        <v>1557</v>
      </c>
      <c r="C868" s="4">
        <v>4.2</v>
      </c>
      <c r="D868" s="4">
        <v>1194</v>
      </c>
      <c r="E868" t="s">
        <v>1558</v>
      </c>
      <c r="F868" s="4">
        <v>19.033762200000002</v>
      </c>
      <c r="G868">
        <v>73.063755399999906</v>
      </c>
      <c r="H868">
        <f t="shared" si="65"/>
        <v>5014.8</v>
      </c>
      <c r="I868" s="4">
        <f t="shared" si="66"/>
        <v>29850</v>
      </c>
      <c r="J868" s="6">
        <f t="shared" si="67"/>
        <v>350</v>
      </c>
      <c r="K868" s="6">
        <f t="shared" si="68"/>
        <v>10447500</v>
      </c>
      <c r="L868" s="3" t="str">
        <f t="shared" si="69"/>
        <v>Popular</v>
      </c>
    </row>
    <row r="869" spans="1:12">
      <c r="A869" t="s">
        <v>1514</v>
      </c>
      <c r="B869" t="s">
        <v>140</v>
      </c>
      <c r="C869" s="4">
        <v>4.0999999999999996</v>
      </c>
      <c r="D869" s="4">
        <v>1008</v>
      </c>
      <c r="E869" t="s">
        <v>1559</v>
      </c>
      <c r="F869" s="4">
        <v>19.030655200000002</v>
      </c>
      <c r="G869">
        <v>73.064812899999893</v>
      </c>
      <c r="H869">
        <f t="shared" si="65"/>
        <v>4132.7999999999993</v>
      </c>
      <c r="I869" s="4">
        <f t="shared" si="66"/>
        <v>25200</v>
      </c>
      <c r="J869" s="6">
        <f t="shared" si="67"/>
        <v>350</v>
      </c>
      <c r="K869" s="6">
        <f t="shared" si="68"/>
        <v>8820000</v>
      </c>
      <c r="L869" s="3" t="str">
        <f t="shared" si="69"/>
        <v>Popular</v>
      </c>
    </row>
    <row r="870" spans="1:12">
      <c r="A870" t="s">
        <v>1514</v>
      </c>
      <c r="B870" t="s">
        <v>1560</v>
      </c>
      <c r="C870" s="4">
        <v>4.3</v>
      </c>
      <c r="D870" s="4">
        <v>65</v>
      </c>
      <c r="E870" t="s">
        <v>1561</v>
      </c>
      <c r="F870" s="4">
        <v>19.033505000000002</v>
      </c>
      <c r="G870">
        <v>73.065545999999998</v>
      </c>
      <c r="H870">
        <f t="shared" si="65"/>
        <v>279.5</v>
      </c>
      <c r="I870" s="4">
        <f t="shared" si="66"/>
        <v>1625</v>
      </c>
      <c r="J870" s="6">
        <f t="shared" si="67"/>
        <v>350</v>
      </c>
      <c r="K870" s="6">
        <f t="shared" si="68"/>
        <v>568750</v>
      </c>
      <c r="L870" s="3" t="str">
        <f t="shared" si="69"/>
        <v>Popular</v>
      </c>
    </row>
    <row r="871" spans="1:12">
      <c r="A871" t="s">
        <v>1514</v>
      </c>
      <c r="B871" t="s">
        <v>1459</v>
      </c>
      <c r="C871" s="4">
        <v>4.8</v>
      </c>
      <c r="D871" s="4">
        <v>131</v>
      </c>
      <c r="E871" t="s">
        <v>1460</v>
      </c>
      <c r="F871" s="4">
        <v>19.009671699999998</v>
      </c>
      <c r="G871">
        <v>73.099554900000001</v>
      </c>
      <c r="H871">
        <f t="shared" si="65"/>
        <v>628.79999999999995</v>
      </c>
      <c r="I871" s="4">
        <f t="shared" si="66"/>
        <v>3275</v>
      </c>
      <c r="J871" s="6">
        <f t="shared" si="67"/>
        <v>550</v>
      </c>
      <c r="K871" s="6">
        <f t="shared" si="68"/>
        <v>1801250</v>
      </c>
      <c r="L871" s="3" t="str">
        <f t="shared" si="69"/>
        <v>Premium</v>
      </c>
    </row>
    <row r="872" spans="1:12">
      <c r="A872" t="s">
        <v>1514</v>
      </c>
      <c r="B872" t="s">
        <v>1562</v>
      </c>
      <c r="C872" s="4">
        <v>4.5999999999999996</v>
      </c>
      <c r="D872" s="4">
        <v>53</v>
      </c>
      <c r="E872" t="s">
        <v>1563</v>
      </c>
      <c r="F872" s="4">
        <v>19.044675900000001</v>
      </c>
      <c r="G872">
        <v>73.063241500000004</v>
      </c>
      <c r="H872">
        <f t="shared" si="65"/>
        <v>243.79999999999998</v>
      </c>
      <c r="I872" s="4">
        <f t="shared" si="66"/>
        <v>1325</v>
      </c>
      <c r="J872" s="6">
        <f t="shared" si="67"/>
        <v>450</v>
      </c>
      <c r="K872" s="6">
        <f t="shared" si="68"/>
        <v>596250</v>
      </c>
      <c r="L872" s="3" t="str">
        <f t="shared" si="69"/>
        <v>Premium</v>
      </c>
    </row>
    <row r="873" spans="1:12">
      <c r="A873" t="s">
        <v>1514</v>
      </c>
      <c r="B873" t="s">
        <v>1346</v>
      </c>
      <c r="C873" s="4">
        <v>4.2</v>
      </c>
      <c r="D873" s="4">
        <v>1599</v>
      </c>
      <c r="E873" t="s">
        <v>1347</v>
      </c>
      <c r="F873" s="4">
        <v>19.010225200000001</v>
      </c>
      <c r="G873">
        <v>73.012336500000004</v>
      </c>
      <c r="H873">
        <f t="shared" si="65"/>
        <v>6715.8</v>
      </c>
      <c r="I873" s="4">
        <f t="shared" si="66"/>
        <v>39975</v>
      </c>
      <c r="J873" s="6">
        <f t="shared" si="67"/>
        <v>350</v>
      </c>
      <c r="K873" s="6">
        <f t="shared" si="68"/>
        <v>13991250</v>
      </c>
      <c r="L873" s="3" t="str">
        <f t="shared" si="69"/>
        <v>Popular</v>
      </c>
    </row>
    <row r="874" spans="1:12">
      <c r="A874" t="s">
        <v>1514</v>
      </c>
      <c r="B874" t="s">
        <v>1564</v>
      </c>
      <c r="C874" s="4">
        <v>4.5999999999999996</v>
      </c>
      <c r="D874" s="4">
        <v>56</v>
      </c>
      <c r="E874" t="s">
        <v>1565</v>
      </c>
      <c r="F874" s="4">
        <v>19.0693126</v>
      </c>
      <c r="G874">
        <v>73.076232500000003</v>
      </c>
      <c r="H874">
        <f t="shared" si="65"/>
        <v>257.59999999999997</v>
      </c>
      <c r="I874" s="4">
        <f t="shared" si="66"/>
        <v>1400</v>
      </c>
      <c r="J874" s="6">
        <f t="shared" si="67"/>
        <v>450</v>
      </c>
      <c r="K874" s="6">
        <f t="shared" si="68"/>
        <v>630000</v>
      </c>
      <c r="L874" s="3" t="str">
        <f t="shared" si="69"/>
        <v>Premium</v>
      </c>
    </row>
    <row r="875" spans="1:12">
      <c r="A875" t="s">
        <v>1514</v>
      </c>
      <c r="B875" t="s">
        <v>1566</v>
      </c>
      <c r="C875" s="4">
        <v>4.7</v>
      </c>
      <c r="D875" s="4">
        <v>19</v>
      </c>
      <c r="E875" t="s">
        <v>1567</v>
      </c>
      <c r="F875" s="4">
        <v>19.045449399999999</v>
      </c>
      <c r="G875">
        <v>73.0810168</v>
      </c>
      <c r="H875">
        <f t="shared" si="65"/>
        <v>89.3</v>
      </c>
      <c r="I875" s="4">
        <f t="shared" si="66"/>
        <v>475</v>
      </c>
      <c r="J875" s="6">
        <f t="shared" si="67"/>
        <v>550</v>
      </c>
      <c r="K875" s="6">
        <f t="shared" si="68"/>
        <v>261250</v>
      </c>
      <c r="L875" s="3" t="str">
        <f t="shared" si="69"/>
        <v>Premium</v>
      </c>
    </row>
    <row r="876" spans="1:12">
      <c r="A876" t="s">
        <v>1514</v>
      </c>
      <c r="B876" t="s">
        <v>1035</v>
      </c>
      <c r="C876" s="4">
        <v>4.4000000000000004</v>
      </c>
      <c r="D876" s="4">
        <v>3152</v>
      </c>
      <c r="E876" t="s">
        <v>1036</v>
      </c>
      <c r="F876" s="4">
        <v>19.061594199999998</v>
      </c>
      <c r="G876">
        <v>72.899740999999906</v>
      </c>
      <c r="H876">
        <f t="shared" si="65"/>
        <v>13868.800000000001</v>
      </c>
      <c r="I876" s="4">
        <f t="shared" si="66"/>
        <v>78800</v>
      </c>
      <c r="J876" s="6">
        <f t="shared" si="67"/>
        <v>450</v>
      </c>
      <c r="K876" s="6">
        <f t="shared" si="68"/>
        <v>35460000</v>
      </c>
      <c r="L876" s="3" t="str">
        <f t="shared" si="69"/>
        <v>Popular</v>
      </c>
    </row>
    <row r="877" spans="1:12">
      <c r="A877" t="s">
        <v>1514</v>
      </c>
      <c r="B877" t="s">
        <v>1386</v>
      </c>
      <c r="C877" s="4">
        <v>4.4000000000000004</v>
      </c>
      <c r="D877" s="4">
        <v>78</v>
      </c>
      <c r="E877" t="s">
        <v>1568</v>
      </c>
      <c r="F877" s="4">
        <v>19.0298105</v>
      </c>
      <c r="G877">
        <v>73.065200199999893</v>
      </c>
      <c r="H877">
        <f t="shared" si="65"/>
        <v>343.20000000000005</v>
      </c>
      <c r="I877" s="4">
        <f t="shared" si="66"/>
        <v>1950</v>
      </c>
      <c r="J877" s="6">
        <f t="shared" si="67"/>
        <v>450</v>
      </c>
      <c r="K877" s="6">
        <f t="shared" si="68"/>
        <v>877500</v>
      </c>
      <c r="L877" s="3" t="str">
        <f t="shared" si="69"/>
        <v>Popular</v>
      </c>
    </row>
    <row r="878" spans="1:12">
      <c r="A878" t="s">
        <v>1514</v>
      </c>
      <c r="B878" t="s">
        <v>1569</v>
      </c>
      <c r="C878" s="4">
        <v>3.2</v>
      </c>
      <c r="D878" s="4">
        <v>1702</v>
      </c>
      <c r="E878" t="s">
        <v>1570</v>
      </c>
      <c r="F878" s="4">
        <v>19.035737399999999</v>
      </c>
      <c r="G878">
        <v>73.063070499999995</v>
      </c>
      <c r="H878">
        <f t="shared" si="65"/>
        <v>5446.4000000000005</v>
      </c>
      <c r="I878" s="4">
        <f t="shared" si="66"/>
        <v>42550</v>
      </c>
      <c r="J878" s="6">
        <f t="shared" si="67"/>
        <v>350</v>
      </c>
      <c r="K878" s="6">
        <f t="shared" si="68"/>
        <v>14892500</v>
      </c>
      <c r="L878" s="3" t="str">
        <f t="shared" si="69"/>
        <v>Average</v>
      </c>
    </row>
    <row r="879" spans="1:12">
      <c r="A879" t="s">
        <v>1514</v>
      </c>
      <c r="B879" t="s">
        <v>1571</v>
      </c>
      <c r="C879" s="4">
        <v>4.9000000000000004</v>
      </c>
      <c r="D879" s="4">
        <v>13</v>
      </c>
      <c r="E879" t="s">
        <v>1572</v>
      </c>
      <c r="F879" s="4">
        <v>19.0324454</v>
      </c>
      <c r="G879">
        <v>73.060091200000002</v>
      </c>
      <c r="H879">
        <f t="shared" si="65"/>
        <v>63.7</v>
      </c>
      <c r="I879" s="4">
        <f t="shared" si="66"/>
        <v>325</v>
      </c>
      <c r="J879" s="6">
        <f t="shared" si="67"/>
        <v>550</v>
      </c>
      <c r="K879" s="6">
        <f t="shared" si="68"/>
        <v>178750</v>
      </c>
      <c r="L879" s="3" t="str">
        <f t="shared" si="69"/>
        <v>Premium</v>
      </c>
    </row>
    <row r="880" spans="1:12">
      <c r="A880" t="s">
        <v>1514</v>
      </c>
      <c r="B880" t="s">
        <v>48</v>
      </c>
      <c r="C880" s="4">
        <v>4.9000000000000004</v>
      </c>
      <c r="D880" s="4">
        <v>420</v>
      </c>
      <c r="E880" t="s">
        <v>850</v>
      </c>
      <c r="F880" s="4">
        <v>19.0718611</v>
      </c>
      <c r="G880">
        <v>72.876555600000003</v>
      </c>
      <c r="H880">
        <f t="shared" si="65"/>
        <v>2058</v>
      </c>
      <c r="I880" s="4">
        <f t="shared" si="66"/>
        <v>10500</v>
      </c>
      <c r="J880" s="6">
        <f t="shared" si="67"/>
        <v>550</v>
      </c>
      <c r="K880" s="6">
        <f t="shared" si="68"/>
        <v>5775000</v>
      </c>
      <c r="L880" s="3" t="str">
        <f t="shared" si="69"/>
        <v>Premium</v>
      </c>
    </row>
    <row r="881" spans="1:12">
      <c r="A881" t="s">
        <v>1514</v>
      </c>
      <c r="B881" t="s">
        <v>1334</v>
      </c>
      <c r="C881" s="4">
        <v>4.4000000000000004</v>
      </c>
      <c r="D881" s="4">
        <v>96</v>
      </c>
      <c r="E881" t="s">
        <v>1335</v>
      </c>
      <c r="F881" s="4">
        <v>19.023695</v>
      </c>
      <c r="G881">
        <v>73.0317656</v>
      </c>
      <c r="H881">
        <f t="shared" si="65"/>
        <v>422.40000000000003</v>
      </c>
      <c r="I881" s="4">
        <f t="shared" si="66"/>
        <v>2400</v>
      </c>
      <c r="J881" s="6">
        <f t="shared" si="67"/>
        <v>450</v>
      </c>
      <c r="K881" s="6">
        <f t="shared" si="68"/>
        <v>1080000</v>
      </c>
      <c r="L881" s="3" t="str">
        <f t="shared" si="69"/>
        <v>Popular</v>
      </c>
    </row>
    <row r="882" spans="1:12">
      <c r="A882" t="s">
        <v>1514</v>
      </c>
      <c r="B882" t="s">
        <v>356</v>
      </c>
      <c r="C882" s="4">
        <v>4.7</v>
      </c>
      <c r="D882" s="4">
        <v>232</v>
      </c>
      <c r="E882" t="s">
        <v>1573</v>
      </c>
      <c r="F882" s="4">
        <v>19.034163499999998</v>
      </c>
      <c r="G882">
        <v>73.062940699999999</v>
      </c>
      <c r="H882">
        <f t="shared" si="65"/>
        <v>1090.4000000000001</v>
      </c>
      <c r="I882" s="4">
        <f t="shared" si="66"/>
        <v>5800</v>
      </c>
      <c r="J882" s="6">
        <f t="shared" si="67"/>
        <v>550</v>
      </c>
      <c r="K882" s="6">
        <f t="shared" si="68"/>
        <v>3190000</v>
      </c>
      <c r="L882" s="3" t="str">
        <f t="shared" si="69"/>
        <v>Premium</v>
      </c>
    </row>
    <row r="883" spans="1:12">
      <c r="A883" t="s">
        <v>1514</v>
      </c>
      <c r="B883" t="s">
        <v>1574</v>
      </c>
      <c r="C883" s="4">
        <v>4.7</v>
      </c>
      <c r="D883" s="4">
        <v>61</v>
      </c>
      <c r="E883" t="s">
        <v>1575</v>
      </c>
      <c r="F883" s="4">
        <v>19.036231799999999</v>
      </c>
      <c r="G883">
        <v>73.077604600000001</v>
      </c>
      <c r="H883">
        <f t="shared" si="65"/>
        <v>286.7</v>
      </c>
      <c r="I883" s="4">
        <f t="shared" si="66"/>
        <v>1525</v>
      </c>
      <c r="J883" s="6">
        <f t="shared" si="67"/>
        <v>550</v>
      </c>
      <c r="K883" s="6">
        <f t="shared" si="68"/>
        <v>838750</v>
      </c>
      <c r="L883" s="3" t="str">
        <f t="shared" si="69"/>
        <v>Premium</v>
      </c>
    </row>
    <row r="884" spans="1:12">
      <c r="A884" t="s">
        <v>1514</v>
      </c>
      <c r="B884" t="s">
        <v>1354</v>
      </c>
      <c r="C884" s="4">
        <v>4.2</v>
      </c>
      <c r="D884" s="4">
        <v>2443</v>
      </c>
      <c r="E884" t="s">
        <v>1355</v>
      </c>
      <c r="F884" s="4">
        <v>19.009949500000001</v>
      </c>
      <c r="G884">
        <v>73.0326412</v>
      </c>
      <c r="H884">
        <f t="shared" si="65"/>
        <v>10260.6</v>
      </c>
      <c r="I884" s="4">
        <f t="shared" si="66"/>
        <v>61075</v>
      </c>
      <c r="J884" s="6">
        <f t="shared" si="67"/>
        <v>350</v>
      </c>
      <c r="K884" s="6">
        <f t="shared" si="68"/>
        <v>21376250</v>
      </c>
      <c r="L884" s="3" t="str">
        <f t="shared" si="69"/>
        <v>Popular</v>
      </c>
    </row>
    <row r="885" spans="1:12">
      <c r="A885" t="s">
        <v>1514</v>
      </c>
      <c r="B885" t="s">
        <v>1576</v>
      </c>
      <c r="C885" s="4">
        <v>4.5</v>
      </c>
      <c r="D885" s="4">
        <v>378</v>
      </c>
      <c r="E885" t="s">
        <v>1577</v>
      </c>
      <c r="F885" s="4">
        <v>19.042507100000002</v>
      </c>
      <c r="G885">
        <v>73.064024699999905</v>
      </c>
      <c r="H885">
        <f t="shared" si="65"/>
        <v>1701</v>
      </c>
      <c r="I885" s="4">
        <f t="shared" si="66"/>
        <v>9450</v>
      </c>
      <c r="J885" s="6">
        <f t="shared" si="67"/>
        <v>450</v>
      </c>
      <c r="K885" s="6">
        <f t="shared" si="68"/>
        <v>4252500</v>
      </c>
      <c r="L885" s="3" t="str">
        <f t="shared" si="69"/>
        <v>Premium</v>
      </c>
    </row>
    <row r="886" spans="1:12">
      <c r="A886" t="s">
        <v>1514</v>
      </c>
      <c r="B886" t="s">
        <v>1578</v>
      </c>
      <c r="C886" s="4">
        <v>4.5999999999999996</v>
      </c>
      <c r="D886" s="4">
        <v>102</v>
      </c>
      <c r="E886" t="s">
        <v>1579</v>
      </c>
      <c r="F886" s="4">
        <v>19.0297926</v>
      </c>
      <c r="G886">
        <v>73.059505000000001</v>
      </c>
      <c r="H886">
        <f t="shared" si="65"/>
        <v>469.2</v>
      </c>
      <c r="I886" s="4">
        <f t="shared" si="66"/>
        <v>2550</v>
      </c>
      <c r="J886" s="6">
        <f t="shared" si="67"/>
        <v>450</v>
      </c>
      <c r="K886" s="6">
        <f t="shared" si="68"/>
        <v>1147500</v>
      </c>
      <c r="L886" s="3" t="str">
        <f t="shared" si="69"/>
        <v>Premium</v>
      </c>
    </row>
    <row r="887" spans="1:12">
      <c r="A887" t="s">
        <v>1514</v>
      </c>
      <c r="B887" t="s">
        <v>1580</v>
      </c>
      <c r="C887" s="4">
        <v>4.5999999999999996</v>
      </c>
      <c r="D887" s="4">
        <v>10</v>
      </c>
      <c r="E887" t="s">
        <v>1581</v>
      </c>
      <c r="F887" s="4">
        <v>19.029670500000002</v>
      </c>
      <c r="G887">
        <v>73.060358100000002</v>
      </c>
      <c r="H887">
        <f t="shared" si="65"/>
        <v>46</v>
      </c>
      <c r="I887" s="4">
        <f t="shared" si="66"/>
        <v>250</v>
      </c>
      <c r="J887" s="6">
        <f t="shared" si="67"/>
        <v>450</v>
      </c>
      <c r="K887" s="6">
        <f t="shared" si="68"/>
        <v>112500</v>
      </c>
      <c r="L887" s="3" t="str">
        <f t="shared" si="69"/>
        <v>Premium</v>
      </c>
    </row>
    <row r="888" spans="1:12">
      <c r="A888" t="s">
        <v>1514</v>
      </c>
      <c r="B888" t="s">
        <v>1134</v>
      </c>
      <c r="C888" s="4">
        <v>4.2</v>
      </c>
      <c r="D888" s="4">
        <v>1331</v>
      </c>
      <c r="E888" t="s">
        <v>1582</v>
      </c>
      <c r="F888" s="4">
        <v>19.032081000000002</v>
      </c>
      <c r="G888">
        <v>73.0669532</v>
      </c>
      <c r="H888">
        <f t="shared" si="65"/>
        <v>5590.2</v>
      </c>
      <c r="I888" s="4">
        <f t="shared" si="66"/>
        <v>33275</v>
      </c>
      <c r="J888" s="6">
        <f t="shared" si="67"/>
        <v>350</v>
      </c>
      <c r="K888" s="6">
        <f t="shared" si="68"/>
        <v>11646250</v>
      </c>
      <c r="L888" s="3" t="str">
        <f t="shared" si="69"/>
        <v>Popular</v>
      </c>
    </row>
    <row r="889" spans="1:12">
      <c r="A889" t="s">
        <v>1514</v>
      </c>
      <c r="B889" t="s">
        <v>1583</v>
      </c>
      <c r="C889" s="4">
        <v>4.7</v>
      </c>
      <c r="D889" s="4">
        <v>311</v>
      </c>
      <c r="E889" t="s">
        <v>1584</v>
      </c>
      <c r="F889" s="4">
        <v>19.049526400000001</v>
      </c>
      <c r="G889">
        <v>73.075468200000003</v>
      </c>
      <c r="H889">
        <f t="shared" si="65"/>
        <v>1461.7</v>
      </c>
      <c r="I889" s="4">
        <f t="shared" si="66"/>
        <v>7775</v>
      </c>
      <c r="J889" s="6">
        <f t="shared" si="67"/>
        <v>550</v>
      </c>
      <c r="K889" s="6">
        <f t="shared" si="68"/>
        <v>4276250</v>
      </c>
      <c r="L889" s="3" t="str">
        <f t="shared" si="69"/>
        <v>Premium</v>
      </c>
    </row>
    <row r="890" spans="1:12">
      <c r="A890" t="s">
        <v>1514</v>
      </c>
      <c r="B890" t="s">
        <v>1585</v>
      </c>
      <c r="C890" s="4">
        <v>4.2</v>
      </c>
      <c r="D890" s="4">
        <v>200</v>
      </c>
      <c r="E890" t="s">
        <v>1586</v>
      </c>
      <c r="F890" s="4">
        <v>19.017197100000001</v>
      </c>
      <c r="G890">
        <v>73.044353000000001</v>
      </c>
      <c r="H890">
        <f t="shared" si="65"/>
        <v>840</v>
      </c>
      <c r="I890" s="4">
        <f t="shared" si="66"/>
        <v>5000</v>
      </c>
      <c r="J890" s="6">
        <f t="shared" si="67"/>
        <v>350</v>
      </c>
      <c r="K890" s="6">
        <f t="shared" si="68"/>
        <v>1750000</v>
      </c>
      <c r="L890" s="3" t="str">
        <f t="shared" si="69"/>
        <v>Popular</v>
      </c>
    </row>
    <row r="891" spans="1:12">
      <c r="A891" t="s">
        <v>1514</v>
      </c>
      <c r="B891" t="s">
        <v>1587</v>
      </c>
      <c r="C891" s="4">
        <v>4.5999999999999996</v>
      </c>
      <c r="D891" s="4">
        <v>106</v>
      </c>
      <c r="E891" t="s">
        <v>1588</v>
      </c>
      <c r="F891" s="4">
        <v>19.039453999999999</v>
      </c>
      <c r="G891">
        <v>73.071453399999996</v>
      </c>
      <c r="H891">
        <f t="shared" si="65"/>
        <v>487.59999999999997</v>
      </c>
      <c r="I891" s="4">
        <f t="shared" si="66"/>
        <v>2650</v>
      </c>
      <c r="J891" s="6">
        <f t="shared" si="67"/>
        <v>450</v>
      </c>
      <c r="K891" s="6">
        <f t="shared" si="68"/>
        <v>1192500</v>
      </c>
      <c r="L891" s="3" t="str">
        <f t="shared" si="69"/>
        <v>Premium</v>
      </c>
    </row>
    <row r="892" spans="1:12">
      <c r="A892" t="s">
        <v>1514</v>
      </c>
      <c r="B892" t="s">
        <v>1589</v>
      </c>
      <c r="C892" s="4">
        <v>4.2</v>
      </c>
      <c r="D892" s="4">
        <v>6</v>
      </c>
      <c r="E892" t="s">
        <v>1590</v>
      </c>
      <c r="F892" s="4">
        <v>19.036698900000001</v>
      </c>
      <c r="G892">
        <v>73.063908999999995</v>
      </c>
      <c r="H892">
        <f t="shared" si="65"/>
        <v>25.200000000000003</v>
      </c>
      <c r="I892" s="4">
        <f t="shared" si="66"/>
        <v>150</v>
      </c>
      <c r="J892" s="6">
        <f t="shared" si="67"/>
        <v>350</v>
      </c>
      <c r="K892" s="6">
        <f t="shared" si="68"/>
        <v>52500</v>
      </c>
      <c r="L892" s="3" t="str">
        <f t="shared" si="69"/>
        <v>Popular</v>
      </c>
    </row>
    <row r="893" spans="1:12">
      <c r="A893" t="s">
        <v>1514</v>
      </c>
      <c r="B893" t="s">
        <v>1591</v>
      </c>
      <c r="C893" s="4">
        <v>4.7</v>
      </c>
      <c r="D893" s="4">
        <v>58</v>
      </c>
      <c r="E893" t="s">
        <v>1592</v>
      </c>
      <c r="F893" s="4">
        <v>19.033724899999999</v>
      </c>
      <c r="G893">
        <v>73.063721099999995</v>
      </c>
      <c r="H893">
        <f t="shared" si="65"/>
        <v>272.60000000000002</v>
      </c>
      <c r="I893" s="4">
        <f t="shared" si="66"/>
        <v>1450</v>
      </c>
      <c r="J893" s="6">
        <f t="shared" si="67"/>
        <v>550</v>
      </c>
      <c r="K893" s="6">
        <f t="shared" si="68"/>
        <v>797500</v>
      </c>
      <c r="L893" s="3" t="str">
        <f t="shared" si="69"/>
        <v>Premium</v>
      </c>
    </row>
    <row r="894" spans="1:12">
      <c r="A894" t="s">
        <v>1514</v>
      </c>
      <c r="B894" t="s">
        <v>1593</v>
      </c>
      <c r="C894" s="4">
        <v>4.0999999999999996</v>
      </c>
      <c r="D894" s="4">
        <v>808</v>
      </c>
      <c r="E894" t="s">
        <v>1594</v>
      </c>
      <c r="F894" s="4">
        <v>19.027446900000001</v>
      </c>
      <c r="G894">
        <v>73.057933899999995</v>
      </c>
      <c r="H894">
        <f t="shared" si="65"/>
        <v>3312.7999999999997</v>
      </c>
      <c r="I894" s="4">
        <f t="shared" si="66"/>
        <v>20200</v>
      </c>
      <c r="J894" s="6">
        <f t="shared" si="67"/>
        <v>350</v>
      </c>
      <c r="K894" s="6">
        <f t="shared" si="68"/>
        <v>7070000</v>
      </c>
      <c r="L894" s="3" t="str">
        <f t="shared" si="69"/>
        <v>Popular</v>
      </c>
    </row>
    <row r="895" spans="1:12">
      <c r="A895" t="s">
        <v>1514</v>
      </c>
      <c r="B895" t="s">
        <v>1302</v>
      </c>
      <c r="C895" s="4">
        <v>4.2</v>
      </c>
      <c r="D895" s="4">
        <v>28</v>
      </c>
      <c r="E895" t="s">
        <v>1303</v>
      </c>
      <c r="F895" s="4">
        <v>19.043312499999999</v>
      </c>
      <c r="G895">
        <v>73.0270625</v>
      </c>
      <c r="H895">
        <f t="shared" si="65"/>
        <v>117.60000000000001</v>
      </c>
      <c r="I895" s="4">
        <f t="shared" si="66"/>
        <v>700</v>
      </c>
      <c r="J895" s="6">
        <f t="shared" si="67"/>
        <v>350</v>
      </c>
      <c r="K895" s="6">
        <f t="shared" si="68"/>
        <v>245000</v>
      </c>
      <c r="L895" s="3" t="str">
        <f t="shared" si="69"/>
        <v>Popular</v>
      </c>
    </row>
    <row r="896" spans="1:12">
      <c r="A896" t="s">
        <v>1514</v>
      </c>
      <c r="B896" t="s">
        <v>1595</v>
      </c>
      <c r="C896" s="4">
        <v>4.0999999999999996</v>
      </c>
      <c r="D896" s="4">
        <v>24</v>
      </c>
      <c r="E896" t="s">
        <v>1596</v>
      </c>
      <c r="F896" s="4">
        <v>19.0696099</v>
      </c>
      <c r="G896">
        <v>73.075875699999997</v>
      </c>
      <c r="H896">
        <f t="shared" si="65"/>
        <v>98.399999999999991</v>
      </c>
      <c r="I896" s="4">
        <f t="shared" si="66"/>
        <v>600</v>
      </c>
      <c r="J896" s="6">
        <f t="shared" si="67"/>
        <v>350</v>
      </c>
      <c r="K896" s="6">
        <f t="shared" si="68"/>
        <v>210000</v>
      </c>
      <c r="L896" s="3" t="str">
        <f t="shared" si="69"/>
        <v>Popular</v>
      </c>
    </row>
    <row r="897" spans="1:12">
      <c r="A897" t="s">
        <v>1514</v>
      </c>
      <c r="B897" t="s">
        <v>1597</v>
      </c>
      <c r="C897" s="4">
        <v>4.2</v>
      </c>
      <c r="D897" s="4">
        <v>935</v>
      </c>
      <c r="E897" t="s">
        <v>1598</v>
      </c>
      <c r="F897" s="4">
        <v>19.040275999999999</v>
      </c>
      <c r="G897">
        <v>73.076477499999996</v>
      </c>
      <c r="H897">
        <f t="shared" si="65"/>
        <v>3927</v>
      </c>
      <c r="I897" s="4">
        <f t="shared" si="66"/>
        <v>23375</v>
      </c>
      <c r="J897" s="6">
        <f t="shared" si="67"/>
        <v>350</v>
      </c>
      <c r="K897" s="6">
        <f t="shared" si="68"/>
        <v>8181250</v>
      </c>
      <c r="L897" s="3" t="str">
        <f t="shared" si="69"/>
        <v>Popular</v>
      </c>
    </row>
    <row r="898" spans="1:12">
      <c r="A898" t="s">
        <v>1514</v>
      </c>
      <c r="B898" t="s">
        <v>1599</v>
      </c>
      <c r="C898" s="4">
        <v>4.0999999999999996</v>
      </c>
      <c r="D898" s="4">
        <v>513</v>
      </c>
      <c r="E898" t="s">
        <v>1600</v>
      </c>
      <c r="F898" s="4">
        <v>19.052339199999999</v>
      </c>
      <c r="G898">
        <v>73.070701099999994</v>
      </c>
      <c r="H898">
        <f t="shared" ref="H898:H961" si="70">C898*D898</f>
        <v>2103.2999999999997</v>
      </c>
      <c r="I898" s="4">
        <f t="shared" ref="I898:I961" si="71">D898*25</f>
        <v>12825</v>
      </c>
      <c r="J898" s="6">
        <f t="shared" ref="J898:J961" si="72">IF(C898&gt;=4.7,550,IF(C898&gt;=4.4,450,IF(C898&gt;=O900,350,250)))</f>
        <v>350</v>
      </c>
      <c r="K898" s="6">
        <f t="shared" ref="K898:K961" si="73">I898*J898</f>
        <v>4488750</v>
      </c>
      <c r="L898" s="3" t="str">
        <f t="shared" ref="L898:L961" si="74">IF(C898&gt;=4.5,"Premium",IF(C898&gt;=4,"Popular","Average"))</f>
        <v>Popular</v>
      </c>
    </row>
    <row r="899" spans="1:12">
      <c r="A899" t="s">
        <v>1514</v>
      </c>
      <c r="B899" t="s">
        <v>1601</v>
      </c>
      <c r="C899" s="4">
        <v>4</v>
      </c>
      <c r="D899" s="4">
        <v>4460</v>
      </c>
      <c r="E899" t="s">
        <v>1602</v>
      </c>
      <c r="F899" s="4">
        <v>19.044977599999999</v>
      </c>
      <c r="G899">
        <v>73.0643891</v>
      </c>
      <c r="H899">
        <f t="shared" si="70"/>
        <v>17840</v>
      </c>
      <c r="I899" s="4">
        <f t="shared" si="71"/>
        <v>111500</v>
      </c>
      <c r="J899" s="6">
        <f t="shared" si="72"/>
        <v>350</v>
      </c>
      <c r="K899" s="6">
        <f t="shared" si="73"/>
        <v>39025000</v>
      </c>
      <c r="L899" s="3" t="str">
        <f t="shared" si="74"/>
        <v>Popular</v>
      </c>
    </row>
    <row r="900" spans="1:12">
      <c r="A900" t="s">
        <v>1514</v>
      </c>
      <c r="B900" t="s">
        <v>1603</v>
      </c>
      <c r="C900" s="4">
        <v>5</v>
      </c>
      <c r="D900" s="4">
        <v>13</v>
      </c>
      <c r="E900" t="s">
        <v>1604</v>
      </c>
      <c r="F900" s="4">
        <v>19.032331500000002</v>
      </c>
      <c r="G900">
        <v>73.067851199999893</v>
      </c>
      <c r="H900">
        <f t="shared" si="70"/>
        <v>65</v>
      </c>
      <c r="I900" s="4">
        <f t="shared" si="71"/>
        <v>325</v>
      </c>
      <c r="J900" s="6">
        <f t="shared" si="72"/>
        <v>550</v>
      </c>
      <c r="K900" s="6">
        <f t="shared" si="73"/>
        <v>178750</v>
      </c>
      <c r="L900" s="3" t="str">
        <f t="shared" si="74"/>
        <v>Premium</v>
      </c>
    </row>
    <row r="901" spans="1:12">
      <c r="A901" t="s">
        <v>1514</v>
      </c>
      <c r="B901" t="s">
        <v>1605</v>
      </c>
      <c r="C901" s="4">
        <v>5</v>
      </c>
      <c r="D901" s="4">
        <v>29</v>
      </c>
      <c r="E901" t="s">
        <v>1606</v>
      </c>
      <c r="F901" s="4">
        <v>19.064930100000002</v>
      </c>
      <c r="G901">
        <v>73.077763199999893</v>
      </c>
      <c r="H901">
        <f t="shared" si="70"/>
        <v>145</v>
      </c>
      <c r="I901" s="4">
        <f t="shared" si="71"/>
        <v>725</v>
      </c>
      <c r="J901" s="6">
        <f t="shared" si="72"/>
        <v>550</v>
      </c>
      <c r="K901" s="6">
        <f t="shared" si="73"/>
        <v>398750</v>
      </c>
      <c r="L901" s="3" t="str">
        <f t="shared" si="74"/>
        <v>Premium</v>
      </c>
    </row>
    <row r="902" spans="1:12">
      <c r="A902" t="s">
        <v>1607</v>
      </c>
      <c r="B902" t="s">
        <v>1608</v>
      </c>
      <c r="C902" s="4">
        <v>4.4000000000000004</v>
      </c>
      <c r="D902" s="4">
        <v>3106</v>
      </c>
      <c r="E902" t="s">
        <v>1609</v>
      </c>
      <c r="F902" s="4">
        <v>19.041910000000001</v>
      </c>
      <c r="G902">
        <v>72.861122799999904</v>
      </c>
      <c r="H902">
        <f t="shared" si="70"/>
        <v>13666.400000000001</v>
      </c>
      <c r="I902" s="4">
        <f t="shared" si="71"/>
        <v>77650</v>
      </c>
      <c r="J902" s="6">
        <f t="shared" si="72"/>
        <v>450</v>
      </c>
      <c r="K902" s="6">
        <f t="shared" si="73"/>
        <v>34942500</v>
      </c>
      <c r="L902" s="3" t="str">
        <f t="shared" si="74"/>
        <v>Popular</v>
      </c>
    </row>
    <row r="903" spans="1:12">
      <c r="A903" t="s">
        <v>1607</v>
      </c>
      <c r="B903" t="s">
        <v>48</v>
      </c>
      <c r="C903" s="4">
        <v>4.7</v>
      </c>
      <c r="D903" s="4">
        <v>1415</v>
      </c>
      <c r="E903" t="s">
        <v>243</v>
      </c>
      <c r="F903" s="4">
        <v>19.0408896</v>
      </c>
      <c r="G903">
        <v>72.846201800000003</v>
      </c>
      <c r="H903">
        <f t="shared" si="70"/>
        <v>6650.5</v>
      </c>
      <c r="I903" s="4">
        <f t="shared" si="71"/>
        <v>35375</v>
      </c>
      <c r="J903" s="6">
        <f t="shared" si="72"/>
        <v>550</v>
      </c>
      <c r="K903" s="6">
        <f t="shared" si="73"/>
        <v>19456250</v>
      </c>
      <c r="L903" s="3" t="str">
        <f t="shared" si="74"/>
        <v>Premium</v>
      </c>
    </row>
    <row r="904" spans="1:12">
      <c r="A904" t="s">
        <v>1607</v>
      </c>
      <c r="B904" t="s">
        <v>1610</v>
      </c>
      <c r="C904" s="4">
        <v>4.4000000000000004</v>
      </c>
      <c r="D904" s="4">
        <v>76</v>
      </c>
      <c r="E904" t="s">
        <v>1611</v>
      </c>
      <c r="F904" s="4">
        <v>19.041802000000001</v>
      </c>
      <c r="G904">
        <v>72.856489699999997</v>
      </c>
      <c r="H904">
        <f t="shared" si="70"/>
        <v>334.40000000000003</v>
      </c>
      <c r="I904" s="4">
        <f t="shared" si="71"/>
        <v>1900</v>
      </c>
      <c r="J904" s="6">
        <f t="shared" si="72"/>
        <v>450</v>
      </c>
      <c r="K904" s="6">
        <f t="shared" si="73"/>
        <v>855000</v>
      </c>
      <c r="L904" s="3" t="str">
        <f t="shared" si="74"/>
        <v>Popular</v>
      </c>
    </row>
    <row r="905" spans="1:12">
      <c r="A905" t="s">
        <v>1607</v>
      </c>
      <c r="B905" t="s">
        <v>434</v>
      </c>
      <c r="C905" s="4">
        <v>4.5</v>
      </c>
      <c r="D905" s="4">
        <v>543</v>
      </c>
      <c r="E905" t="s">
        <v>435</v>
      </c>
      <c r="F905" s="4">
        <v>19.0524466</v>
      </c>
      <c r="G905">
        <v>72.828589800000003</v>
      </c>
      <c r="H905">
        <f t="shared" si="70"/>
        <v>2443.5</v>
      </c>
      <c r="I905" s="4">
        <f t="shared" si="71"/>
        <v>13575</v>
      </c>
      <c r="J905" s="6">
        <f t="shared" si="72"/>
        <v>450</v>
      </c>
      <c r="K905" s="6">
        <f t="shared" si="73"/>
        <v>6108750</v>
      </c>
      <c r="L905" s="3" t="str">
        <f t="shared" si="74"/>
        <v>Premium</v>
      </c>
    </row>
    <row r="906" spans="1:12">
      <c r="A906" t="s">
        <v>1607</v>
      </c>
      <c r="B906" t="s">
        <v>1612</v>
      </c>
      <c r="C906" s="4">
        <v>3.9</v>
      </c>
      <c r="D906" s="4">
        <v>759</v>
      </c>
      <c r="E906" t="s">
        <v>1613</v>
      </c>
      <c r="F906" s="4">
        <v>19.046613900000001</v>
      </c>
      <c r="G906">
        <v>72.860266499999994</v>
      </c>
      <c r="H906">
        <f t="shared" si="70"/>
        <v>2960.1</v>
      </c>
      <c r="I906" s="4">
        <f t="shared" si="71"/>
        <v>18975</v>
      </c>
      <c r="J906" s="6">
        <f t="shared" si="72"/>
        <v>350</v>
      </c>
      <c r="K906" s="6">
        <f t="shared" si="73"/>
        <v>6641250</v>
      </c>
      <c r="L906" s="3" t="str">
        <f t="shared" si="74"/>
        <v>Average</v>
      </c>
    </row>
    <row r="907" spans="1:12">
      <c r="A907" t="s">
        <v>1607</v>
      </c>
      <c r="B907" t="s">
        <v>1614</v>
      </c>
      <c r="C907" s="4">
        <v>4.4000000000000004</v>
      </c>
      <c r="D907" s="4">
        <v>20</v>
      </c>
      <c r="E907" t="s">
        <v>1615</v>
      </c>
      <c r="F907" s="4">
        <v>19.0410942</v>
      </c>
      <c r="G907">
        <v>72.852332099999998</v>
      </c>
      <c r="H907">
        <f t="shared" si="70"/>
        <v>88</v>
      </c>
      <c r="I907" s="4">
        <f t="shared" si="71"/>
        <v>500</v>
      </c>
      <c r="J907" s="6">
        <f t="shared" si="72"/>
        <v>450</v>
      </c>
      <c r="K907" s="6">
        <f t="shared" si="73"/>
        <v>225000</v>
      </c>
      <c r="L907" s="3" t="str">
        <f t="shared" si="74"/>
        <v>Popular</v>
      </c>
    </row>
    <row r="908" spans="1:12">
      <c r="A908" t="s">
        <v>1607</v>
      </c>
      <c r="B908" t="s">
        <v>238</v>
      </c>
      <c r="C908" s="4">
        <v>4.4000000000000004</v>
      </c>
      <c r="D908" s="4">
        <v>24600</v>
      </c>
      <c r="E908" t="s">
        <v>239</v>
      </c>
      <c r="F908" s="4">
        <v>19.027620299999999</v>
      </c>
      <c r="G908">
        <v>72.855041499999999</v>
      </c>
      <c r="H908">
        <f t="shared" si="70"/>
        <v>108240.00000000001</v>
      </c>
      <c r="I908" s="4">
        <f t="shared" si="71"/>
        <v>615000</v>
      </c>
      <c r="J908" s="6">
        <f t="shared" si="72"/>
        <v>450</v>
      </c>
      <c r="K908" s="6">
        <f t="shared" si="73"/>
        <v>276750000</v>
      </c>
      <c r="L908" s="3" t="str">
        <f t="shared" si="74"/>
        <v>Popular</v>
      </c>
    </row>
    <row r="909" spans="1:12">
      <c r="A909" t="s">
        <v>1607</v>
      </c>
      <c r="B909" t="s">
        <v>1616</v>
      </c>
      <c r="C909" s="4">
        <v>4</v>
      </c>
      <c r="D909" s="4">
        <v>295</v>
      </c>
      <c r="E909" t="s">
        <v>1617</v>
      </c>
      <c r="F909" s="4">
        <v>19.043622899999999</v>
      </c>
      <c r="G909">
        <v>72.848143999999905</v>
      </c>
      <c r="H909">
        <f t="shared" si="70"/>
        <v>1180</v>
      </c>
      <c r="I909" s="4">
        <f t="shared" si="71"/>
        <v>7375</v>
      </c>
      <c r="J909" s="6">
        <f t="shared" si="72"/>
        <v>350</v>
      </c>
      <c r="K909" s="6">
        <f t="shared" si="73"/>
        <v>2581250</v>
      </c>
      <c r="L909" s="3" t="str">
        <f t="shared" si="74"/>
        <v>Popular</v>
      </c>
    </row>
    <row r="910" spans="1:12">
      <c r="A910" t="s">
        <v>1607</v>
      </c>
      <c r="B910" t="s">
        <v>1618</v>
      </c>
      <c r="C910" s="4">
        <v>4.9000000000000004</v>
      </c>
      <c r="D910" s="4">
        <v>33</v>
      </c>
      <c r="E910" t="s">
        <v>1619</v>
      </c>
      <c r="F910" s="4">
        <v>19.043898200000001</v>
      </c>
      <c r="G910">
        <v>72.857706199999996</v>
      </c>
      <c r="H910">
        <f t="shared" si="70"/>
        <v>161.70000000000002</v>
      </c>
      <c r="I910" s="4">
        <f t="shared" si="71"/>
        <v>825</v>
      </c>
      <c r="J910" s="6">
        <f t="shared" si="72"/>
        <v>550</v>
      </c>
      <c r="K910" s="6">
        <f t="shared" si="73"/>
        <v>453750</v>
      </c>
      <c r="L910" s="3" t="str">
        <f t="shared" si="74"/>
        <v>Premium</v>
      </c>
    </row>
    <row r="911" spans="1:12">
      <c r="A911" t="s">
        <v>1607</v>
      </c>
      <c r="B911" t="s">
        <v>250</v>
      </c>
      <c r="C911" s="4">
        <v>4.2</v>
      </c>
      <c r="D911" s="4">
        <v>4162</v>
      </c>
      <c r="E911" t="s">
        <v>251</v>
      </c>
      <c r="F911" s="4">
        <v>19.031528699999999</v>
      </c>
      <c r="G911">
        <v>72.838803900000002</v>
      </c>
      <c r="H911">
        <f t="shared" si="70"/>
        <v>17480.400000000001</v>
      </c>
      <c r="I911" s="4">
        <f t="shared" si="71"/>
        <v>104050</v>
      </c>
      <c r="J911" s="6">
        <f t="shared" si="72"/>
        <v>350</v>
      </c>
      <c r="K911" s="6">
        <f t="shared" si="73"/>
        <v>36417500</v>
      </c>
      <c r="L911" s="3" t="str">
        <f t="shared" si="74"/>
        <v>Popular</v>
      </c>
    </row>
    <row r="912" spans="1:12">
      <c r="A912" t="s">
        <v>1607</v>
      </c>
      <c r="B912" t="s">
        <v>1620</v>
      </c>
      <c r="C912" s="4">
        <v>3.9</v>
      </c>
      <c r="D912" s="4">
        <v>936</v>
      </c>
      <c r="E912" t="s">
        <v>1621</v>
      </c>
      <c r="F912" s="4">
        <v>19.045112499999998</v>
      </c>
      <c r="G912">
        <v>72.858642199999906</v>
      </c>
      <c r="H912">
        <f t="shared" si="70"/>
        <v>3650.4</v>
      </c>
      <c r="I912" s="4">
        <f t="shared" si="71"/>
        <v>23400</v>
      </c>
      <c r="J912" s="6">
        <f t="shared" si="72"/>
        <v>350</v>
      </c>
      <c r="K912" s="6">
        <f t="shared" si="73"/>
        <v>8190000</v>
      </c>
      <c r="L912" s="3" t="str">
        <f t="shared" si="74"/>
        <v>Average</v>
      </c>
    </row>
    <row r="913" spans="1:12">
      <c r="A913" t="s">
        <v>1607</v>
      </c>
      <c r="B913" t="s">
        <v>1622</v>
      </c>
      <c r="C913" s="4">
        <v>3.8</v>
      </c>
      <c r="D913" s="4">
        <v>366</v>
      </c>
      <c r="E913" t="s">
        <v>1623</v>
      </c>
      <c r="F913" s="4">
        <v>19.0415204</v>
      </c>
      <c r="G913">
        <v>72.8557457</v>
      </c>
      <c r="H913">
        <f t="shared" si="70"/>
        <v>1390.8</v>
      </c>
      <c r="I913" s="4">
        <f t="shared" si="71"/>
        <v>9150</v>
      </c>
      <c r="J913" s="6">
        <f t="shared" si="72"/>
        <v>350</v>
      </c>
      <c r="K913" s="6">
        <f t="shared" si="73"/>
        <v>3202500</v>
      </c>
      <c r="L913" s="3" t="str">
        <f t="shared" si="74"/>
        <v>Average</v>
      </c>
    </row>
    <row r="914" spans="1:12">
      <c r="A914" t="s">
        <v>1607</v>
      </c>
      <c r="B914" t="s">
        <v>1624</v>
      </c>
      <c r="C914" s="4">
        <v>4.0999999999999996</v>
      </c>
      <c r="D914" s="4">
        <v>1096</v>
      </c>
      <c r="E914" t="s">
        <v>1625</v>
      </c>
      <c r="F914" s="4">
        <v>19.042049800000001</v>
      </c>
      <c r="G914">
        <v>72.856475699999905</v>
      </c>
      <c r="H914">
        <f t="shared" si="70"/>
        <v>4493.5999999999995</v>
      </c>
      <c r="I914" s="4">
        <f t="shared" si="71"/>
        <v>27400</v>
      </c>
      <c r="J914" s="6">
        <f t="shared" si="72"/>
        <v>350</v>
      </c>
      <c r="K914" s="6">
        <f t="shared" si="73"/>
        <v>9590000</v>
      </c>
      <c r="L914" s="3" t="str">
        <f t="shared" si="74"/>
        <v>Popular</v>
      </c>
    </row>
    <row r="915" spans="1:12">
      <c r="A915" t="s">
        <v>1607</v>
      </c>
      <c r="B915" t="s">
        <v>1626</v>
      </c>
      <c r="C915" s="4">
        <v>4.3</v>
      </c>
      <c r="D915" s="4">
        <v>18</v>
      </c>
      <c r="E915" t="s">
        <v>1627</v>
      </c>
      <c r="F915" s="4">
        <v>19.047924600000002</v>
      </c>
      <c r="G915">
        <v>72.863352599999999</v>
      </c>
      <c r="H915">
        <f t="shared" si="70"/>
        <v>77.399999999999991</v>
      </c>
      <c r="I915" s="4">
        <f t="shared" si="71"/>
        <v>450</v>
      </c>
      <c r="J915" s="6">
        <f t="shared" si="72"/>
        <v>350</v>
      </c>
      <c r="K915" s="6">
        <f t="shared" si="73"/>
        <v>157500</v>
      </c>
      <c r="L915" s="3" t="str">
        <f t="shared" si="74"/>
        <v>Popular</v>
      </c>
    </row>
    <row r="916" spans="1:12">
      <c r="A916" t="s">
        <v>1607</v>
      </c>
      <c r="B916" t="s">
        <v>293</v>
      </c>
      <c r="C916" s="4">
        <v>4.3</v>
      </c>
      <c r="D916" s="4">
        <v>1817</v>
      </c>
      <c r="E916" t="s">
        <v>294</v>
      </c>
      <c r="F916" s="4">
        <v>19.0272942</v>
      </c>
      <c r="G916">
        <v>72.854620299999993</v>
      </c>
      <c r="H916">
        <f t="shared" si="70"/>
        <v>7813.0999999999995</v>
      </c>
      <c r="I916" s="4">
        <f t="shared" si="71"/>
        <v>45425</v>
      </c>
      <c r="J916" s="6">
        <f t="shared" si="72"/>
        <v>350</v>
      </c>
      <c r="K916" s="6">
        <f t="shared" si="73"/>
        <v>15898750</v>
      </c>
      <c r="L916" s="3" t="str">
        <f t="shared" si="74"/>
        <v>Popular</v>
      </c>
    </row>
    <row r="917" spans="1:12">
      <c r="A917" t="s">
        <v>1607</v>
      </c>
      <c r="B917" t="s">
        <v>1628</v>
      </c>
      <c r="C917" s="4">
        <v>3.8</v>
      </c>
      <c r="D917" s="4">
        <v>1008</v>
      </c>
      <c r="E917" t="s">
        <v>1629</v>
      </c>
      <c r="F917" s="4">
        <v>19.047019800000001</v>
      </c>
      <c r="G917">
        <v>72.852325800000003</v>
      </c>
      <c r="H917">
        <f t="shared" si="70"/>
        <v>3830.3999999999996</v>
      </c>
      <c r="I917" s="4">
        <f t="shared" si="71"/>
        <v>25200</v>
      </c>
      <c r="J917" s="6">
        <f t="shared" si="72"/>
        <v>350</v>
      </c>
      <c r="K917" s="6">
        <f t="shared" si="73"/>
        <v>8820000</v>
      </c>
      <c r="L917" s="3" t="str">
        <f t="shared" si="74"/>
        <v>Average</v>
      </c>
    </row>
    <row r="918" spans="1:12">
      <c r="A918" t="s">
        <v>1607</v>
      </c>
      <c r="B918" t="s">
        <v>1630</v>
      </c>
      <c r="C918" s="4">
        <v>4.3</v>
      </c>
      <c r="D918" s="4">
        <v>54</v>
      </c>
      <c r="E918" t="s">
        <v>1631</v>
      </c>
      <c r="F918" s="4">
        <v>19.0381578</v>
      </c>
      <c r="G918">
        <v>72.853323099999997</v>
      </c>
      <c r="H918">
        <f t="shared" si="70"/>
        <v>232.2</v>
      </c>
      <c r="I918" s="4">
        <f t="shared" si="71"/>
        <v>1350</v>
      </c>
      <c r="J918" s="6">
        <f t="shared" si="72"/>
        <v>350</v>
      </c>
      <c r="K918" s="6">
        <f t="shared" si="73"/>
        <v>472500</v>
      </c>
      <c r="L918" s="3" t="str">
        <f t="shared" si="74"/>
        <v>Popular</v>
      </c>
    </row>
    <row r="919" spans="1:12">
      <c r="A919" t="s">
        <v>1607</v>
      </c>
      <c r="B919" t="s">
        <v>416</v>
      </c>
      <c r="C919" s="4">
        <v>4.4000000000000004</v>
      </c>
      <c r="D919" s="4">
        <v>1445</v>
      </c>
      <c r="E919" t="s">
        <v>417</v>
      </c>
      <c r="F919" s="4">
        <v>19.059071400000001</v>
      </c>
      <c r="G919">
        <v>72.834037999999893</v>
      </c>
      <c r="H919">
        <f t="shared" si="70"/>
        <v>6358.0000000000009</v>
      </c>
      <c r="I919" s="4">
        <f t="shared" si="71"/>
        <v>36125</v>
      </c>
      <c r="J919" s="6">
        <f t="shared" si="72"/>
        <v>450</v>
      </c>
      <c r="K919" s="6">
        <f t="shared" si="73"/>
        <v>16256250</v>
      </c>
      <c r="L919" s="3" t="str">
        <f t="shared" si="74"/>
        <v>Popular</v>
      </c>
    </row>
    <row r="920" spans="1:12">
      <c r="A920" t="s">
        <v>1607</v>
      </c>
      <c r="B920" t="s">
        <v>1632</v>
      </c>
      <c r="C920" s="4">
        <v>3.9</v>
      </c>
      <c r="D920" s="4">
        <v>303</v>
      </c>
      <c r="E920" t="s">
        <v>1633</v>
      </c>
      <c r="F920" s="4">
        <v>19.038628599999999</v>
      </c>
      <c r="G920">
        <v>72.853916900000002</v>
      </c>
      <c r="H920">
        <f t="shared" si="70"/>
        <v>1181.7</v>
      </c>
      <c r="I920" s="4">
        <f t="shared" si="71"/>
        <v>7575</v>
      </c>
      <c r="J920" s="6">
        <f t="shared" si="72"/>
        <v>350</v>
      </c>
      <c r="K920" s="6">
        <f t="shared" si="73"/>
        <v>2651250</v>
      </c>
      <c r="L920" s="3" t="str">
        <f t="shared" si="74"/>
        <v>Average</v>
      </c>
    </row>
    <row r="921" spans="1:12">
      <c r="A921" t="s">
        <v>1607</v>
      </c>
      <c r="B921" t="s">
        <v>1634</v>
      </c>
      <c r="C921" s="4">
        <v>3.9</v>
      </c>
      <c r="D921" s="4">
        <v>1381</v>
      </c>
      <c r="E921" t="s">
        <v>1635</v>
      </c>
      <c r="F921" s="4">
        <v>19.0474107</v>
      </c>
      <c r="G921">
        <v>72.860754999999997</v>
      </c>
      <c r="H921">
        <f t="shared" si="70"/>
        <v>5385.9</v>
      </c>
      <c r="I921" s="4">
        <f t="shared" si="71"/>
        <v>34525</v>
      </c>
      <c r="J921" s="6">
        <f t="shared" si="72"/>
        <v>350</v>
      </c>
      <c r="K921" s="6">
        <f t="shared" si="73"/>
        <v>12083750</v>
      </c>
      <c r="L921" s="3" t="str">
        <f t="shared" si="74"/>
        <v>Average</v>
      </c>
    </row>
    <row r="922" spans="1:12">
      <c r="A922" t="s">
        <v>1607</v>
      </c>
      <c r="B922" t="s">
        <v>1636</v>
      </c>
      <c r="C922" s="4">
        <v>4.0999999999999996</v>
      </c>
      <c r="D922" s="4">
        <v>2387</v>
      </c>
      <c r="E922" t="s">
        <v>1637</v>
      </c>
      <c r="F922" s="4">
        <v>19.038790500000001</v>
      </c>
      <c r="G922">
        <v>72.850883299999893</v>
      </c>
      <c r="H922">
        <f t="shared" si="70"/>
        <v>9786.6999999999989</v>
      </c>
      <c r="I922" s="4">
        <f t="shared" si="71"/>
        <v>59675</v>
      </c>
      <c r="J922" s="6">
        <f t="shared" si="72"/>
        <v>350</v>
      </c>
      <c r="K922" s="6">
        <f t="shared" si="73"/>
        <v>20886250</v>
      </c>
      <c r="L922" s="3" t="str">
        <f t="shared" si="74"/>
        <v>Popular</v>
      </c>
    </row>
    <row r="923" spans="1:12">
      <c r="A923" t="s">
        <v>1607</v>
      </c>
      <c r="B923" t="s">
        <v>1638</v>
      </c>
      <c r="C923" s="4">
        <v>4</v>
      </c>
      <c r="D923" s="4">
        <v>54</v>
      </c>
      <c r="E923" t="s">
        <v>1639</v>
      </c>
      <c r="F923" s="4">
        <v>19.043817000000001</v>
      </c>
      <c r="G923">
        <v>72.851374100000001</v>
      </c>
      <c r="H923">
        <f t="shared" si="70"/>
        <v>216</v>
      </c>
      <c r="I923" s="4">
        <f t="shared" si="71"/>
        <v>1350</v>
      </c>
      <c r="J923" s="6">
        <f t="shared" si="72"/>
        <v>350</v>
      </c>
      <c r="K923" s="6">
        <f t="shared" si="73"/>
        <v>472500</v>
      </c>
      <c r="L923" s="3" t="str">
        <f t="shared" si="74"/>
        <v>Popular</v>
      </c>
    </row>
    <row r="924" spans="1:12">
      <c r="A924" t="s">
        <v>1607</v>
      </c>
      <c r="B924" t="s">
        <v>1640</v>
      </c>
      <c r="C924" s="4">
        <v>3.8</v>
      </c>
      <c r="D924" s="4">
        <v>192</v>
      </c>
      <c r="E924" t="s">
        <v>1641</v>
      </c>
      <c r="F924" s="4">
        <v>19.0437178</v>
      </c>
      <c r="G924">
        <v>72.851175599999905</v>
      </c>
      <c r="H924">
        <f t="shared" si="70"/>
        <v>729.59999999999991</v>
      </c>
      <c r="I924" s="4">
        <f t="shared" si="71"/>
        <v>4800</v>
      </c>
      <c r="J924" s="6">
        <f t="shared" si="72"/>
        <v>350</v>
      </c>
      <c r="K924" s="6">
        <f t="shared" si="73"/>
        <v>1680000</v>
      </c>
      <c r="L924" s="3" t="str">
        <f t="shared" si="74"/>
        <v>Average</v>
      </c>
    </row>
    <row r="925" spans="1:12">
      <c r="A925" t="s">
        <v>1607</v>
      </c>
      <c r="B925" t="s">
        <v>418</v>
      </c>
      <c r="C925" s="4">
        <v>4.2</v>
      </c>
      <c r="D925" s="4">
        <v>3019</v>
      </c>
      <c r="E925" t="s">
        <v>419</v>
      </c>
      <c r="F925" s="4">
        <v>19.0632296</v>
      </c>
      <c r="G925">
        <v>72.834758499999893</v>
      </c>
      <c r="H925">
        <f t="shared" si="70"/>
        <v>12679.800000000001</v>
      </c>
      <c r="I925" s="4">
        <f t="shared" si="71"/>
        <v>75475</v>
      </c>
      <c r="J925" s="6">
        <f t="shared" si="72"/>
        <v>350</v>
      </c>
      <c r="K925" s="6">
        <f t="shared" si="73"/>
        <v>26416250</v>
      </c>
      <c r="L925" s="3" t="str">
        <f t="shared" si="74"/>
        <v>Popular</v>
      </c>
    </row>
    <row r="926" spans="1:12">
      <c r="A926" t="s">
        <v>1607</v>
      </c>
      <c r="B926" t="s">
        <v>313</v>
      </c>
      <c r="C926" s="4">
        <v>4.2</v>
      </c>
      <c r="D926" s="4">
        <v>5086</v>
      </c>
      <c r="E926" t="s">
        <v>314</v>
      </c>
      <c r="F926" s="4">
        <v>19.0276064</v>
      </c>
      <c r="G926">
        <v>72.855504400000001</v>
      </c>
      <c r="H926">
        <f t="shared" si="70"/>
        <v>21361.200000000001</v>
      </c>
      <c r="I926" s="4">
        <f t="shared" si="71"/>
        <v>127150</v>
      </c>
      <c r="J926" s="6">
        <f t="shared" si="72"/>
        <v>350</v>
      </c>
      <c r="K926" s="6">
        <f t="shared" si="73"/>
        <v>44502500</v>
      </c>
      <c r="L926" s="3" t="str">
        <f t="shared" si="74"/>
        <v>Popular</v>
      </c>
    </row>
    <row r="927" spans="1:12">
      <c r="A927" t="s">
        <v>1607</v>
      </c>
      <c r="B927" t="s">
        <v>1642</v>
      </c>
      <c r="C927" s="4">
        <v>4.2</v>
      </c>
      <c r="D927" s="4">
        <v>32</v>
      </c>
      <c r="E927" t="s">
        <v>1643</v>
      </c>
      <c r="F927" s="4">
        <v>19.043851100000001</v>
      </c>
      <c r="G927">
        <v>72.850586699999994</v>
      </c>
      <c r="H927">
        <f t="shared" si="70"/>
        <v>134.4</v>
      </c>
      <c r="I927" s="4">
        <f t="shared" si="71"/>
        <v>800</v>
      </c>
      <c r="J927" s="6">
        <f t="shared" si="72"/>
        <v>350</v>
      </c>
      <c r="K927" s="6">
        <f t="shared" si="73"/>
        <v>280000</v>
      </c>
      <c r="L927" s="3" t="str">
        <f t="shared" si="74"/>
        <v>Popular</v>
      </c>
    </row>
    <row r="928" spans="1:12">
      <c r="A928" t="s">
        <v>1607</v>
      </c>
      <c r="B928" t="s">
        <v>1644</v>
      </c>
      <c r="C928" s="4">
        <v>4.0999999999999996</v>
      </c>
      <c r="D928" s="4">
        <v>3187</v>
      </c>
      <c r="E928" t="s">
        <v>1645</v>
      </c>
      <c r="F928" s="4">
        <v>19.045294500000001</v>
      </c>
      <c r="G928">
        <v>72.864222499999997</v>
      </c>
      <c r="H928">
        <f t="shared" si="70"/>
        <v>13066.699999999999</v>
      </c>
      <c r="I928" s="4">
        <f t="shared" si="71"/>
        <v>79675</v>
      </c>
      <c r="J928" s="6">
        <f t="shared" si="72"/>
        <v>350</v>
      </c>
      <c r="K928" s="6">
        <f t="shared" si="73"/>
        <v>27886250</v>
      </c>
      <c r="L928" s="3" t="str">
        <f t="shared" si="74"/>
        <v>Popular</v>
      </c>
    </row>
    <row r="929" spans="1:12">
      <c r="A929" t="s">
        <v>1607</v>
      </c>
      <c r="B929" t="s">
        <v>1646</v>
      </c>
      <c r="C929" s="4">
        <v>3.9</v>
      </c>
      <c r="D929" s="4">
        <v>17</v>
      </c>
      <c r="E929" t="s">
        <v>1647</v>
      </c>
      <c r="F929" s="4">
        <v>19.043055800000001</v>
      </c>
      <c r="G929">
        <v>72.850999000000002</v>
      </c>
      <c r="H929">
        <f t="shared" si="70"/>
        <v>66.3</v>
      </c>
      <c r="I929" s="4">
        <f t="shared" si="71"/>
        <v>425</v>
      </c>
      <c r="J929" s="6">
        <f t="shared" si="72"/>
        <v>350</v>
      </c>
      <c r="K929" s="6">
        <f t="shared" si="73"/>
        <v>148750</v>
      </c>
      <c r="L929" s="3" t="str">
        <f t="shared" si="74"/>
        <v>Average</v>
      </c>
    </row>
    <row r="930" spans="1:12">
      <c r="A930" t="s">
        <v>1607</v>
      </c>
      <c r="B930" t="s">
        <v>1648</v>
      </c>
      <c r="C930" s="4">
        <v>3.8</v>
      </c>
      <c r="D930" s="4">
        <v>94</v>
      </c>
      <c r="E930" t="s">
        <v>1649</v>
      </c>
      <c r="F930" s="4">
        <v>19.045548199999999</v>
      </c>
      <c r="G930">
        <v>72.859397999999999</v>
      </c>
      <c r="H930">
        <f t="shared" si="70"/>
        <v>357.2</v>
      </c>
      <c r="I930" s="4">
        <f t="shared" si="71"/>
        <v>2350</v>
      </c>
      <c r="J930" s="6">
        <f t="shared" si="72"/>
        <v>350</v>
      </c>
      <c r="K930" s="6">
        <f t="shared" si="73"/>
        <v>822500</v>
      </c>
      <c r="L930" s="3" t="str">
        <f t="shared" si="74"/>
        <v>Average</v>
      </c>
    </row>
    <row r="931" spans="1:12">
      <c r="A931" t="s">
        <v>1607</v>
      </c>
      <c r="B931" t="s">
        <v>1650</v>
      </c>
      <c r="C931" s="4">
        <v>3.4</v>
      </c>
      <c r="D931" s="4">
        <v>37</v>
      </c>
      <c r="E931" t="s">
        <v>1651</v>
      </c>
      <c r="F931" s="4">
        <v>19.039620899999999</v>
      </c>
      <c r="G931">
        <v>72.850275400000001</v>
      </c>
      <c r="H931">
        <f t="shared" si="70"/>
        <v>125.8</v>
      </c>
      <c r="I931" s="4">
        <f t="shared" si="71"/>
        <v>925</v>
      </c>
      <c r="J931" s="6">
        <f t="shared" si="72"/>
        <v>350</v>
      </c>
      <c r="K931" s="6">
        <f t="shared" si="73"/>
        <v>323750</v>
      </c>
      <c r="L931" s="3" t="str">
        <f t="shared" si="74"/>
        <v>Average</v>
      </c>
    </row>
    <row r="932" spans="1:12">
      <c r="A932" t="s">
        <v>1607</v>
      </c>
      <c r="B932" t="s">
        <v>208</v>
      </c>
      <c r="C932" s="4">
        <v>4.0999999999999996</v>
      </c>
      <c r="D932" s="4">
        <v>8457</v>
      </c>
      <c r="E932" t="s">
        <v>209</v>
      </c>
      <c r="F932" s="4">
        <v>19.0168049</v>
      </c>
      <c r="G932">
        <v>72.846186899999907</v>
      </c>
      <c r="H932">
        <f t="shared" si="70"/>
        <v>34673.699999999997</v>
      </c>
      <c r="I932" s="4">
        <f t="shared" si="71"/>
        <v>211425</v>
      </c>
      <c r="J932" s="6">
        <f t="shared" si="72"/>
        <v>350</v>
      </c>
      <c r="K932" s="6">
        <f t="shared" si="73"/>
        <v>73998750</v>
      </c>
      <c r="L932" s="3" t="str">
        <f t="shared" si="74"/>
        <v>Popular</v>
      </c>
    </row>
    <row r="933" spans="1:12">
      <c r="A933" t="s">
        <v>1607</v>
      </c>
      <c r="B933" t="s">
        <v>1652</v>
      </c>
      <c r="C933" s="4">
        <v>3.5</v>
      </c>
      <c r="D933" s="4">
        <v>110</v>
      </c>
      <c r="E933" t="s">
        <v>1653</v>
      </c>
      <c r="F933" s="4">
        <v>19.037456599999999</v>
      </c>
      <c r="G933">
        <v>72.853077900000002</v>
      </c>
      <c r="H933">
        <f t="shared" si="70"/>
        <v>385</v>
      </c>
      <c r="I933" s="4">
        <f t="shared" si="71"/>
        <v>2750</v>
      </c>
      <c r="J933" s="6">
        <f t="shared" si="72"/>
        <v>350</v>
      </c>
      <c r="K933" s="6">
        <f t="shared" si="73"/>
        <v>962500</v>
      </c>
      <c r="L933" s="3" t="str">
        <f t="shared" si="74"/>
        <v>Average</v>
      </c>
    </row>
    <row r="934" spans="1:12">
      <c r="A934" t="s">
        <v>1607</v>
      </c>
      <c r="B934" t="s">
        <v>1654</v>
      </c>
      <c r="C934" s="4">
        <v>4.2</v>
      </c>
      <c r="D934" s="4">
        <v>41</v>
      </c>
      <c r="E934" t="s">
        <v>1655</v>
      </c>
      <c r="F934" s="4">
        <v>19.042857600000001</v>
      </c>
      <c r="G934">
        <v>72.857282400000003</v>
      </c>
      <c r="H934">
        <f t="shared" si="70"/>
        <v>172.20000000000002</v>
      </c>
      <c r="I934" s="4">
        <f t="shared" si="71"/>
        <v>1025</v>
      </c>
      <c r="J934" s="6">
        <f t="shared" si="72"/>
        <v>350</v>
      </c>
      <c r="K934" s="6">
        <f t="shared" si="73"/>
        <v>358750</v>
      </c>
      <c r="L934" s="3" t="str">
        <f t="shared" si="74"/>
        <v>Popular</v>
      </c>
    </row>
    <row r="935" spans="1:12">
      <c r="A935" t="s">
        <v>1607</v>
      </c>
      <c r="B935" t="s">
        <v>1656</v>
      </c>
      <c r="C935" s="4">
        <v>4</v>
      </c>
      <c r="D935" s="4">
        <v>1427</v>
      </c>
      <c r="E935" t="s">
        <v>1657</v>
      </c>
      <c r="F935" s="4">
        <v>19.038035199999999</v>
      </c>
      <c r="G935">
        <v>72.853544200000002</v>
      </c>
      <c r="H935">
        <f t="shared" si="70"/>
        <v>5708</v>
      </c>
      <c r="I935" s="4">
        <f t="shared" si="71"/>
        <v>35675</v>
      </c>
      <c r="J935" s="6">
        <f t="shared" si="72"/>
        <v>350</v>
      </c>
      <c r="K935" s="6">
        <f t="shared" si="73"/>
        <v>12486250</v>
      </c>
      <c r="L935" s="3" t="str">
        <f t="shared" si="74"/>
        <v>Popular</v>
      </c>
    </row>
    <row r="936" spans="1:12">
      <c r="A936" t="s">
        <v>1607</v>
      </c>
      <c r="B936" t="s">
        <v>1658</v>
      </c>
      <c r="C936" s="4">
        <v>4.3</v>
      </c>
      <c r="D936" s="4">
        <v>28</v>
      </c>
      <c r="E936" t="s">
        <v>1659</v>
      </c>
      <c r="F936" s="4">
        <v>19.0424218</v>
      </c>
      <c r="G936">
        <v>72.8535605</v>
      </c>
      <c r="H936">
        <f t="shared" si="70"/>
        <v>120.39999999999999</v>
      </c>
      <c r="I936" s="4">
        <f t="shared" si="71"/>
        <v>700</v>
      </c>
      <c r="J936" s="6">
        <f t="shared" si="72"/>
        <v>350</v>
      </c>
      <c r="K936" s="6">
        <f t="shared" si="73"/>
        <v>245000</v>
      </c>
      <c r="L936" s="3" t="str">
        <f t="shared" si="74"/>
        <v>Popular</v>
      </c>
    </row>
    <row r="937" spans="1:12">
      <c r="A937" t="s">
        <v>1607</v>
      </c>
      <c r="B937" t="s">
        <v>1660</v>
      </c>
      <c r="C937" s="4">
        <v>4</v>
      </c>
      <c r="D937" s="4">
        <v>236</v>
      </c>
      <c r="E937" t="s">
        <v>1661</v>
      </c>
      <c r="F937" s="4">
        <v>19.043220999999999</v>
      </c>
      <c r="G937">
        <v>72.847906999999907</v>
      </c>
      <c r="H937">
        <f t="shared" si="70"/>
        <v>944</v>
      </c>
      <c r="I937" s="4">
        <f t="shared" si="71"/>
        <v>5900</v>
      </c>
      <c r="J937" s="6">
        <f t="shared" si="72"/>
        <v>350</v>
      </c>
      <c r="K937" s="6">
        <f t="shared" si="73"/>
        <v>2065000</v>
      </c>
      <c r="L937" s="3" t="str">
        <f t="shared" si="74"/>
        <v>Popular</v>
      </c>
    </row>
    <row r="938" spans="1:12">
      <c r="A938" t="s">
        <v>1607</v>
      </c>
      <c r="B938" t="s">
        <v>1662</v>
      </c>
      <c r="C938" s="4">
        <v>4</v>
      </c>
      <c r="D938" s="4">
        <v>71</v>
      </c>
      <c r="E938" t="s">
        <v>1663</v>
      </c>
      <c r="F938" s="4">
        <v>19.0456292</v>
      </c>
      <c r="G938">
        <v>72.848022999999998</v>
      </c>
      <c r="H938">
        <f t="shared" si="70"/>
        <v>284</v>
      </c>
      <c r="I938" s="4">
        <f t="shared" si="71"/>
        <v>1775</v>
      </c>
      <c r="J938" s="6">
        <f t="shared" si="72"/>
        <v>350</v>
      </c>
      <c r="K938" s="6">
        <f t="shared" si="73"/>
        <v>621250</v>
      </c>
      <c r="L938" s="3" t="str">
        <f t="shared" si="74"/>
        <v>Popular</v>
      </c>
    </row>
    <row r="939" spans="1:12">
      <c r="A939" t="s">
        <v>1607</v>
      </c>
      <c r="B939" t="s">
        <v>1664</v>
      </c>
      <c r="C939" s="4">
        <v>4.5</v>
      </c>
      <c r="D939" s="4">
        <v>4</v>
      </c>
      <c r="E939" t="s">
        <v>1665</v>
      </c>
      <c r="F939" s="4">
        <v>19.046265200000001</v>
      </c>
      <c r="G939">
        <v>72.857750600000003</v>
      </c>
      <c r="H939">
        <f t="shared" si="70"/>
        <v>18</v>
      </c>
      <c r="I939" s="4">
        <f t="shared" si="71"/>
        <v>100</v>
      </c>
      <c r="J939" s="6">
        <f t="shared" si="72"/>
        <v>450</v>
      </c>
      <c r="K939" s="6">
        <f t="shared" si="73"/>
        <v>45000</v>
      </c>
      <c r="L939" s="3" t="str">
        <f t="shared" si="74"/>
        <v>Premium</v>
      </c>
    </row>
    <row r="940" spans="1:12">
      <c r="A940" t="s">
        <v>1607</v>
      </c>
      <c r="B940" t="s">
        <v>1666</v>
      </c>
      <c r="C940" s="4">
        <v>3.9</v>
      </c>
      <c r="D940" s="4">
        <v>10</v>
      </c>
      <c r="E940" t="s">
        <v>1667</v>
      </c>
      <c r="F940" s="4">
        <v>19.043562300000001</v>
      </c>
      <c r="G940">
        <v>72.847505999999996</v>
      </c>
      <c r="H940">
        <f t="shared" si="70"/>
        <v>39</v>
      </c>
      <c r="I940" s="4">
        <f t="shared" si="71"/>
        <v>250</v>
      </c>
      <c r="J940" s="6">
        <f t="shared" si="72"/>
        <v>350</v>
      </c>
      <c r="K940" s="6">
        <f t="shared" si="73"/>
        <v>87500</v>
      </c>
      <c r="L940" s="3" t="str">
        <f t="shared" si="74"/>
        <v>Average</v>
      </c>
    </row>
    <row r="941" spans="1:12">
      <c r="A941" t="s">
        <v>1607</v>
      </c>
      <c r="B941" t="s">
        <v>1668</v>
      </c>
      <c r="C941" s="4">
        <v>5</v>
      </c>
      <c r="D941" s="4">
        <v>1</v>
      </c>
      <c r="E941" t="s">
        <v>1669</v>
      </c>
      <c r="F941" s="4">
        <v>19.044955900000001</v>
      </c>
      <c r="G941">
        <v>72.852566899999999</v>
      </c>
      <c r="H941">
        <f t="shared" si="70"/>
        <v>5</v>
      </c>
      <c r="I941" s="4">
        <f t="shared" si="71"/>
        <v>25</v>
      </c>
      <c r="J941" s="6">
        <f t="shared" si="72"/>
        <v>550</v>
      </c>
      <c r="K941" s="6">
        <f t="shared" si="73"/>
        <v>13750</v>
      </c>
      <c r="L941" s="3" t="str">
        <f t="shared" si="74"/>
        <v>Premium</v>
      </c>
    </row>
    <row r="942" spans="1:12">
      <c r="A942" t="s">
        <v>1607</v>
      </c>
      <c r="B942" t="s">
        <v>900</v>
      </c>
      <c r="C942" s="4">
        <v>3.8</v>
      </c>
      <c r="D942" s="4">
        <v>54</v>
      </c>
      <c r="E942" t="s">
        <v>901</v>
      </c>
      <c r="F942" s="4">
        <v>19.0537642</v>
      </c>
      <c r="G942">
        <v>72.851673499999904</v>
      </c>
      <c r="H942">
        <f t="shared" si="70"/>
        <v>205.2</v>
      </c>
      <c r="I942" s="4">
        <f t="shared" si="71"/>
        <v>1350</v>
      </c>
      <c r="J942" s="6">
        <f t="shared" si="72"/>
        <v>350</v>
      </c>
      <c r="K942" s="6">
        <f t="shared" si="73"/>
        <v>472500</v>
      </c>
      <c r="L942" s="3" t="str">
        <f t="shared" si="74"/>
        <v>Average</v>
      </c>
    </row>
    <row r="943" spans="1:12">
      <c r="A943" t="s">
        <v>1607</v>
      </c>
      <c r="B943" t="s">
        <v>1670</v>
      </c>
      <c r="C943" s="4">
        <v>3.7</v>
      </c>
      <c r="D943" s="4">
        <v>1095</v>
      </c>
      <c r="E943" t="s">
        <v>1671</v>
      </c>
      <c r="F943" s="4">
        <v>19.035401</v>
      </c>
      <c r="G943">
        <v>72.852856299999999</v>
      </c>
      <c r="H943">
        <f t="shared" si="70"/>
        <v>4051.5</v>
      </c>
      <c r="I943" s="4">
        <f t="shared" si="71"/>
        <v>27375</v>
      </c>
      <c r="J943" s="6">
        <f t="shared" si="72"/>
        <v>350</v>
      </c>
      <c r="K943" s="6">
        <f t="shared" si="73"/>
        <v>9581250</v>
      </c>
      <c r="L943" s="3" t="str">
        <f t="shared" si="74"/>
        <v>Average</v>
      </c>
    </row>
    <row r="944" spans="1:12">
      <c r="A944" t="s">
        <v>1607</v>
      </c>
      <c r="B944" t="s">
        <v>1672</v>
      </c>
      <c r="C944" s="4">
        <v>4.8</v>
      </c>
      <c r="D944" s="4">
        <v>260</v>
      </c>
      <c r="E944" t="s">
        <v>1673</v>
      </c>
      <c r="F944" s="4">
        <v>19.051199</v>
      </c>
      <c r="G944">
        <v>72.864183699999998</v>
      </c>
      <c r="H944">
        <f t="shared" si="70"/>
        <v>1248</v>
      </c>
      <c r="I944" s="4">
        <f t="shared" si="71"/>
        <v>6500</v>
      </c>
      <c r="J944" s="6">
        <f t="shared" si="72"/>
        <v>550</v>
      </c>
      <c r="K944" s="6">
        <f t="shared" si="73"/>
        <v>3575000</v>
      </c>
      <c r="L944" s="3" t="str">
        <f t="shared" si="74"/>
        <v>Premium</v>
      </c>
    </row>
    <row r="945" spans="1:12">
      <c r="A945" t="s">
        <v>1607</v>
      </c>
      <c r="B945" t="s">
        <v>1674</v>
      </c>
      <c r="C945" s="4">
        <v>3.7</v>
      </c>
      <c r="D945" s="4">
        <v>66</v>
      </c>
      <c r="E945" t="s">
        <v>1675</v>
      </c>
      <c r="F945" s="4">
        <v>19.042036100000001</v>
      </c>
      <c r="G945">
        <v>72.856076599999994</v>
      </c>
      <c r="H945">
        <f t="shared" si="70"/>
        <v>244.20000000000002</v>
      </c>
      <c r="I945" s="4">
        <f t="shared" si="71"/>
        <v>1650</v>
      </c>
      <c r="J945" s="6">
        <f t="shared" si="72"/>
        <v>350</v>
      </c>
      <c r="K945" s="6">
        <f t="shared" si="73"/>
        <v>577500</v>
      </c>
      <c r="L945" s="3" t="str">
        <f t="shared" si="74"/>
        <v>Average</v>
      </c>
    </row>
    <row r="946" spans="1:12">
      <c r="A946" t="s">
        <v>1607</v>
      </c>
      <c r="B946" t="s">
        <v>1676</v>
      </c>
      <c r="C946" s="4">
        <v>4.3</v>
      </c>
      <c r="D946" s="4">
        <v>35428</v>
      </c>
      <c r="E946" t="s">
        <v>1677</v>
      </c>
      <c r="F946" s="4">
        <v>19.0429043</v>
      </c>
      <c r="G946">
        <v>72.861876499999994</v>
      </c>
      <c r="H946">
        <f t="shared" si="70"/>
        <v>152340.4</v>
      </c>
      <c r="I946" s="4">
        <f t="shared" si="71"/>
        <v>885700</v>
      </c>
      <c r="J946" s="6">
        <f t="shared" si="72"/>
        <v>350</v>
      </c>
      <c r="K946" s="6">
        <f t="shared" si="73"/>
        <v>309995000</v>
      </c>
      <c r="L946" s="3" t="str">
        <f t="shared" si="74"/>
        <v>Popular</v>
      </c>
    </row>
    <row r="947" spans="1:12">
      <c r="A947" t="s">
        <v>1607</v>
      </c>
      <c r="B947" t="s">
        <v>1678</v>
      </c>
      <c r="C947" s="4">
        <v>5</v>
      </c>
      <c r="D947" s="4">
        <v>1</v>
      </c>
      <c r="E947" t="s">
        <v>1679</v>
      </c>
      <c r="F947" s="4">
        <v>19.041708199999999</v>
      </c>
      <c r="G947">
        <v>72.848399000000001</v>
      </c>
      <c r="H947">
        <f t="shared" si="70"/>
        <v>5</v>
      </c>
      <c r="I947" s="4">
        <f t="shared" si="71"/>
        <v>25</v>
      </c>
      <c r="J947" s="6">
        <f t="shared" si="72"/>
        <v>550</v>
      </c>
      <c r="K947" s="6">
        <f t="shared" si="73"/>
        <v>13750</v>
      </c>
      <c r="L947" s="3" t="str">
        <f t="shared" si="74"/>
        <v>Premium</v>
      </c>
    </row>
    <row r="948" spans="1:12">
      <c r="A948" t="s">
        <v>1607</v>
      </c>
      <c r="B948" t="s">
        <v>1680</v>
      </c>
      <c r="C948" s="4">
        <v>4</v>
      </c>
      <c r="D948" s="4">
        <v>235</v>
      </c>
      <c r="E948" t="s">
        <v>1681</v>
      </c>
      <c r="F948" s="4">
        <v>19.0441161</v>
      </c>
      <c r="G948">
        <v>72.851426099999998</v>
      </c>
      <c r="H948">
        <f t="shared" si="70"/>
        <v>940</v>
      </c>
      <c r="I948" s="4">
        <f t="shared" si="71"/>
        <v>5875</v>
      </c>
      <c r="J948" s="6">
        <f t="shared" si="72"/>
        <v>350</v>
      </c>
      <c r="K948" s="6">
        <f t="shared" si="73"/>
        <v>2056250</v>
      </c>
      <c r="L948" s="3" t="str">
        <f t="shared" si="74"/>
        <v>Popular</v>
      </c>
    </row>
    <row r="949" spans="1:12">
      <c r="A949" t="s">
        <v>1607</v>
      </c>
      <c r="B949" t="s">
        <v>1682</v>
      </c>
      <c r="C949" s="4">
        <v>4.2</v>
      </c>
      <c r="D949" s="4">
        <v>29</v>
      </c>
      <c r="E949" t="s">
        <v>1683</v>
      </c>
      <c r="F949" s="4">
        <v>19.038103599999999</v>
      </c>
      <c r="G949">
        <v>72.853419700000003</v>
      </c>
      <c r="H949">
        <f t="shared" si="70"/>
        <v>121.80000000000001</v>
      </c>
      <c r="I949" s="4">
        <f t="shared" si="71"/>
        <v>725</v>
      </c>
      <c r="J949" s="6">
        <f t="shared" si="72"/>
        <v>350</v>
      </c>
      <c r="K949" s="6">
        <f t="shared" si="73"/>
        <v>253750</v>
      </c>
      <c r="L949" s="3" t="str">
        <f t="shared" si="74"/>
        <v>Popular</v>
      </c>
    </row>
    <row r="950" spans="1:12">
      <c r="A950" t="s">
        <v>1607</v>
      </c>
      <c r="B950" t="s">
        <v>482</v>
      </c>
      <c r="C950" s="4">
        <v>4.7</v>
      </c>
      <c r="D950" s="4">
        <v>261</v>
      </c>
      <c r="E950" t="s">
        <v>483</v>
      </c>
      <c r="F950" s="4">
        <v>19.0519426</v>
      </c>
      <c r="G950">
        <v>72.829369</v>
      </c>
      <c r="H950">
        <f t="shared" si="70"/>
        <v>1226.7</v>
      </c>
      <c r="I950" s="4">
        <f t="shared" si="71"/>
        <v>6525</v>
      </c>
      <c r="J950" s="6">
        <f t="shared" si="72"/>
        <v>550</v>
      </c>
      <c r="K950" s="6">
        <f t="shared" si="73"/>
        <v>3588750</v>
      </c>
      <c r="L950" s="3" t="str">
        <f t="shared" si="74"/>
        <v>Premium</v>
      </c>
    </row>
    <row r="951" spans="1:12">
      <c r="A951" t="s">
        <v>1607</v>
      </c>
      <c r="B951" t="s">
        <v>424</v>
      </c>
      <c r="C951" s="4">
        <v>4.2</v>
      </c>
      <c r="D951" s="4">
        <v>967</v>
      </c>
      <c r="E951" t="s">
        <v>425</v>
      </c>
      <c r="F951" s="4">
        <v>19.062470900000001</v>
      </c>
      <c r="G951">
        <v>72.8310496</v>
      </c>
      <c r="H951">
        <f t="shared" si="70"/>
        <v>4061.4</v>
      </c>
      <c r="I951" s="4">
        <f t="shared" si="71"/>
        <v>24175</v>
      </c>
      <c r="J951" s="6">
        <f t="shared" si="72"/>
        <v>350</v>
      </c>
      <c r="K951" s="6">
        <f t="shared" si="73"/>
        <v>8461250</v>
      </c>
      <c r="L951" s="3" t="str">
        <f t="shared" si="74"/>
        <v>Popular</v>
      </c>
    </row>
    <row r="952" spans="1:12">
      <c r="A952" t="s">
        <v>1607</v>
      </c>
      <c r="B952" t="s">
        <v>1684</v>
      </c>
      <c r="C952" s="4">
        <v>4.2</v>
      </c>
      <c r="D952" s="4">
        <v>25</v>
      </c>
      <c r="E952" t="s">
        <v>1685</v>
      </c>
      <c r="F952" s="4">
        <v>19.044892300000001</v>
      </c>
      <c r="G952">
        <v>72.864584699999995</v>
      </c>
      <c r="H952">
        <f t="shared" si="70"/>
        <v>105</v>
      </c>
      <c r="I952" s="4">
        <f t="shared" si="71"/>
        <v>625</v>
      </c>
      <c r="J952" s="6">
        <f t="shared" si="72"/>
        <v>350</v>
      </c>
      <c r="K952" s="6">
        <f t="shared" si="73"/>
        <v>218750</v>
      </c>
      <c r="L952" s="3" t="str">
        <f t="shared" si="74"/>
        <v>Popular</v>
      </c>
    </row>
    <row r="953" spans="1:12">
      <c r="A953" t="s">
        <v>1607</v>
      </c>
      <c r="B953" t="s">
        <v>848</v>
      </c>
      <c r="C953" s="4">
        <v>4.5</v>
      </c>
      <c r="D953" s="4">
        <v>2570</v>
      </c>
      <c r="E953" t="s">
        <v>849</v>
      </c>
      <c r="F953" s="4">
        <v>19.067784</v>
      </c>
      <c r="G953">
        <v>72.868971799999997</v>
      </c>
      <c r="H953">
        <f t="shared" si="70"/>
        <v>11565</v>
      </c>
      <c r="I953" s="4">
        <f t="shared" si="71"/>
        <v>64250</v>
      </c>
      <c r="J953" s="6">
        <f t="shared" si="72"/>
        <v>450</v>
      </c>
      <c r="K953" s="6">
        <f t="shared" si="73"/>
        <v>28912500</v>
      </c>
      <c r="L953" s="3" t="str">
        <f t="shared" si="74"/>
        <v>Premium</v>
      </c>
    </row>
    <row r="954" spans="1:12">
      <c r="A954" t="s">
        <v>1607</v>
      </c>
      <c r="B954" t="s">
        <v>1686</v>
      </c>
      <c r="C954" s="4">
        <v>3.2</v>
      </c>
      <c r="D954" s="4">
        <v>5</v>
      </c>
      <c r="E954" t="s">
        <v>1687</v>
      </c>
      <c r="F954" s="4">
        <v>19.046849300000002</v>
      </c>
      <c r="G954">
        <v>72.852132299999994</v>
      </c>
      <c r="H954">
        <f t="shared" si="70"/>
        <v>16</v>
      </c>
      <c r="I954" s="4">
        <f t="shared" si="71"/>
        <v>125</v>
      </c>
      <c r="J954" s="6">
        <f t="shared" si="72"/>
        <v>350</v>
      </c>
      <c r="K954" s="6">
        <f t="shared" si="73"/>
        <v>43750</v>
      </c>
      <c r="L954" s="3" t="str">
        <f t="shared" si="74"/>
        <v>Average</v>
      </c>
    </row>
    <row r="955" spans="1:12">
      <c r="A955" t="s">
        <v>1607</v>
      </c>
      <c r="B955" t="s">
        <v>1688</v>
      </c>
      <c r="C955" s="4">
        <v>3.4</v>
      </c>
      <c r="D955" s="4">
        <v>24</v>
      </c>
      <c r="E955" t="s">
        <v>1689</v>
      </c>
      <c r="F955" s="4">
        <v>19.043824999999998</v>
      </c>
      <c r="G955">
        <v>72.848335499999905</v>
      </c>
      <c r="H955">
        <f t="shared" si="70"/>
        <v>81.599999999999994</v>
      </c>
      <c r="I955" s="4">
        <f t="shared" si="71"/>
        <v>600</v>
      </c>
      <c r="J955" s="6">
        <f t="shared" si="72"/>
        <v>350</v>
      </c>
      <c r="K955" s="6">
        <f t="shared" si="73"/>
        <v>210000</v>
      </c>
      <c r="L955" s="3" t="str">
        <f t="shared" si="74"/>
        <v>Average</v>
      </c>
    </row>
    <row r="956" spans="1:12">
      <c r="A956" t="s">
        <v>1607</v>
      </c>
      <c r="B956" t="s">
        <v>1690</v>
      </c>
      <c r="C956" s="4">
        <v>3.8</v>
      </c>
      <c r="D956" s="4">
        <v>11</v>
      </c>
      <c r="E956" t="s">
        <v>1691</v>
      </c>
      <c r="F956" s="4">
        <v>19.050506599999999</v>
      </c>
      <c r="G956">
        <v>72.865108399999997</v>
      </c>
      <c r="H956">
        <f t="shared" si="70"/>
        <v>41.8</v>
      </c>
      <c r="I956" s="4">
        <f t="shared" si="71"/>
        <v>275</v>
      </c>
      <c r="J956" s="6">
        <f t="shared" si="72"/>
        <v>350</v>
      </c>
      <c r="K956" s="6">
        <f t="shared" si="73"/>
        <v>96250</v>
      </c>
      <c r="L956" s="3" t="str">
        <f t="shared" si="74"/>
        <v>Average</v>
      </c>
    </row>
    <row r="957" spans="1:12">
      <c r="A957" t="s">
        <v>1607</v>
      </c>
      <c r="B957" t="s">
        <v>230</v>
      </c>
      <c r="C957" s="4">
        <v>4.5</v>
      </c>
      <c r="D957" s="4">
        <v>774</v>
      </c>
      <c r="E957" t="s">
        <v>231</v>
      </c>
      <c r="F957" s="4">
        <v>19.019539099999999</v>
      </c>
      <c r="G957">
        <v>72.831898199999998</v>
      </c>
      <c r="H957">
        <f t="shared" si="70"/>
        <v>3483</v>
      </c>
      <c r="I957" s="4">
        <f t="shared" si="71"/>
        <v>19350</v>
      </c>
      <c r="J957" s="6">
        <f t="shared" si="72"/>
        <v>450</v>
      </c>
      <c r="K957" s="6">
        <f t="shared" si="73"/>
        <v>8707500</v>
      </c>
      <c r="L957" s="3" t="str">
        <f t="shared" si="74"/>
        <v>Premium</v>
      </c>
    </row>
    <row r="958" spans="1:12">
      <c r="A958" t="s">
        <v>1607</v>
      </c>
      <c r="B958" t="s">
        <v>1692</v>
      </c>
      <c r="C958" s="4">
        <v>3.9</v>
      </c>
      <c r="D958" s="4">
        <v>482</v>
      </c>
      <c r="E958" t="s">
        <v>1693</v>
      </c>
      <c r="F958" s="4">
        <v>19.042317100000002</v>
      </c>
      <c r="G958">
        <v>72.856722099999999</v>
      </c>
      <c r="H958">
        <f t="shared" si="70"/>
        <v>1879.8</v>
      </c>
      <c r="I958" s="4">
        <f t="shared" si="71"/>
        <v>12050</v>
      </c>
      <c r="J958" s="6">
        <f t="shared" si="72"/>
        <v>350</v>
      </c>
      <c r="K958" s="6">
        <f t="shared" si="73"/>
        <v>4217500</v>
      </c>
      <c r="L958" s="3" t="str">
        <f t="shared" si="74"/>
        <v>Average</v>
      </c>
    </row>
    <row r="959" spans="1:12">
      <c r="A959" t="s">
        <v>1607</v>
      </c>
      <c r="B959" t="s">
        <v>1694</v>
      </c>
      <c r="C959" s="4">
        <v>5</v>
      </c>
      <c r="D959" s="4">
        <v>5</v>
      </c>
      <c r="E959" t="s">
        <v>1695</v>
      </c>
      <c r="F959" s="4">
        <v>19.046227600000002</v>
      </c>
      <c r="G959">
        <v>72.859600200000003</v>
      </c>
      <c r="H959">
        <f t="shared" si="70"/>
        <v>25</v>
      </c>
      <c r="I959" s="4">
        <f t="shared" si="71"/>
        <v>125</v>
      </c>
      <c r="J959" s="6">
        <f t="shared" si="72"/>
        <v>550</v>
      </c>
      <c r="K959" s="6">
        <f t="shared" si="73"/>
        <v>68750</v>
      </c>
      <c r="L959" s="3" t="str">
        <f t="shared" si="74"/>
        <v>Premium</v>
      </c>
    </row>
    <row r="960" spans="1:12">
      <c r="A960" t="s">
        <v>1607</v>
      </c>
      <c r="B960" t="s">
        <v>1696</v>
      </c>
      <c r="C960" s="4">
        <v>3.6</v>
      </c>
      <c r="D960" s="4">
        <v>211</v>
      </c>
      <c r="E960" t="s">
        <v>1697</v>
      </c>
      <c r="F960" s="4">
        <v>19.041358899999999</v>
      </c>
      <c r="G960">
        <v>72.855917499999904</v>
      </c>
      <c r="H960">
        <f t="shared" si="70"/>
        <v>759.6</v>
      </c>
      <c r="I960" s="4">
        <f t="shared" si="71"/>
        <v>5275</v>
      </c>
      <c r="J960" s="6">
        <f t="shared" si="72"/>
        <v>350</v>
      </c>
      <c r="K960" s="6">
        <f t="shared" si="73"/>
        <v>1846250</v>
      </c>
      <c r="L960" s="3" t="str">
        <f t="shared" si="74"/>
        <v>Average</v>
      </c>
    </row>
    <row r="961" spans="1:12">
      <c r="A961" t="s">
        <v>1607</v>
      </c>
      <c r="B961" t="s">
        <v>410</v>
      </c>
      <c r="C961" s="4">
        <v>4.5</v>
      </c>
      <c r="D961" s="4">
        <v>3809</v>
      </c>
      <c r="E961" t="s">
        <v>411</v>
      </c>
      <c r="F961" s="4">
        <v>19.060597900000001</v>
      </c>
      <c r="G961">
        <v>72.824389999999994</v>
      </c>
      <c r="H961">
        <f t="shared" si="70"/>
        <v>17140.5</v>
      </c>
      <c r="I961" s="4">
        <f t="shared" si="71"/>
        <v>95225</v>
      </c>
      <c r="J961" s="6">
        <f t="shared" si="72"/>
        <v>450</v>
      </c>
      <c r="K961" s="6">
        <f t="shared" si="73"/>
        <v>42851250</v>
      </c>
      <c r="L961" s="3" t="str">
        <f t="shared" si="74"/>
        <v>Premium</v>
      </c>
    </row>
    <row r="962" spans="1:12">
      <c r="A962" t="s">
        <v>1698</v>
      </c>
      <c r="B962" t="s">
        <v>428</v>
      </c>
      <c r="C962" s="4">
        <v>4.3</v>
      </c>
      <c r="D962" s="4">
        <v>9381</v>
      </c>
      <c r="E962" t="s">
        <v>1699</v>
      </c>
      <c r="F962" s="4">
        <v>19.116927700000002</v>
      </c>
      <c r="G962">
        <v>72.909896799999999</v>
      </c>
      <c r="H962">
        <f t="shared" ref="H962:H1025" si="75">C962*D962</f>
        <v>40338.299999999996</v>
      </c>
      <c r="I962" s="4">
        <f t="shared" ref="I962:I1025" si="76">D962*25</f>
        <v>234525</v>
      </c>
      <c r="J962" s="6">
        <f t="shared" ref="J962:J1025" si="77">IF(C962&gt;=4.7,550,IF(C962&gt;=4.4,450,IF(C962&gt;=O964,350,250)))</f>
        <v>350</v>
      </c>
      <c r="K962" s="6">
        <f t="shared" ref="K962:K1025" si="78">I962*J962</f>
        <v>82083750</v>
      </c>
      <c r="L962" s="3" t="str">
        <f t="shared" ref="L962:L1025" si="79">IF(C962&gt;=4.5,"Premium",IF(C962&gt;=4,"Popular","Average"))</f>
        <v>Popular</v>
      </c>
    </row>
    <row r="963" spans="1:12">
      <c r="A963" t="s">
        <v>1698</v>
      </c>
      <c r="B963" t="s">
        <v>190</v>
      </c>
      <c r="C963" s="4">
        <v>4.4000000000000004</v>
      </c>
      <c r="D963" s="4">
        <v>2129</v>
      </c>
      <c r="E963" t="s">
        <v>1700</v>
      </c>
      <c r="F963" s="4">
        <v>19.115683799999999</v>
      </c>
      <c r="G963">
        <v>72.9090305</v>
      </c>
      <c r="H963">
        <f t="shared" si="75"/>
        <v>9367.6</v>
      </c>
      <c r="I963" s="4">
        <f t="shared" si="76"/>
        <v>53225</v>
      </c>
      <c r="J963" s="6">
        <f t="shared" si="77"/>
        <v>450</v>
      </c>
      <c r="K963" s="6">
        <f t="shared" si="78"/>
        <v>23951250</v>
      </c>
      <c r="L963" s="3" t="str">
        <f t="shared" si="79"/>
        <v>Popular</v>
      </c>
    </row>
    <row r="964" spans="1:12">
      <c r="A964" t="s">
        <v>1698</v>
      </c>
      <c r="B964" t="s">
        <v>1701</v>
      </c>
      <c r="C964" s="4">
        <v>4.2</v>
      </c>
      <c r="D964" s="4">
        <v>397</v>
      </c>
      <c r="E964" t="s">
        <v>1702</v>
      </c>
      <c r="F964" s="4">
        <v>19.117204999999998</v>
      </c>
      <c r="G964">
        <v>72.909686299999905</v>
      </c>
      <c r="H964">
        <f t="shared" si="75"/>
        <v>1667.4</v>
      </c>
      <c r="I964" s="4">
        <f t="shared" si="76"/>
        <v>9925</v>
      </c>
      <c r="J964" s="6">
        <f t="shared" si="77"/>
        <v>350</v>
      </c>
      <c r="K964" s="6">
        <f t="shared" si="78"/>
        <v>3473750</v>
      </c>
      <c r="L964" s="3" t="str">
        <f t="shared" si="79"/>
        <v>Popular</v>
      </c>
    </row>
    <row r="965" spans="1:12">
      <c r="A965" t="s">
        <v>1698</v>
      </c>
      <c r="B965" t="s">
        <v>1703</v>
      </c>
      <c r="C965" s="4">
        <v>4</v>
      </c>
      <c r="D965" s="4">
        <v>4099</v>
      </c>
      <c r="E965" t="s">
        <v>1704</v>
      </c>
      <c r="F965" s="4">
        <v>19.116056199999999</v>
      </c>
      <c r="G965">
        <v>72.908977499999907</v>
      </c>
      <c r="H965">
        <f t="shared" si="75"/>
        <v>16396</v>
      </c>
      <c r="I965" s="4">
        <f t="shared" si="76"/>
        <v>102475</v>
      </c>
      <c r="J965" s="6">
        <f t="shared" si="77"/>
        <v>350</v>
      </c>
      <c r="K965" s="6">
        <f t="shared" si="78"/>
        <v>35866250</v>
      </c>
      <c r="L965" s="3" t="str">
        <f t="shared" si="79"/>
        <v>Popular</v>
      </c>
    </row>
    <row r="966" spans="1:12">
      <c r="A966" t="s">
        <v>1698</v>
      </c>
      <c r="B966" t="s">
        <v>1705</v>
      </c>
      <c r="C966" s="4">
        <v>4.7</v>
      </c>
      <c r="D966" s="4">
        <v>7350</v>
      </c>
      <c r="E966" t="s">
        <v>1706</v>
      </c>
      <c r="F966" s="4">
        <v>19.134335100000001</v>
      </c>
      <c r="G966">
        <v>72.901352899999907</v>
      </c>
      <c r="H966">
        <f t="shared" si="75"/>
        <v>34545</v>
      </c>
      <c r="I966" s="4">
        <f t="shared" si="76"/>
        <v>183750</v>
      </c>
      <c r="J966" s="6">
        <f t="shared" si="77"/>
        <v>550</v>
      </c>
      <c r="K966" s="6">
        <f t="shared" si="78"/>
        <v>101062500</v>
      </c>
      <c r="L966" s="3" t="str">
        <f t="shared" si="79"/>
        <v>Premium</v>
      </c>
    </row>
    <row r="967" spans="1:12">
      <c r="A967" t="s">
        <v>1698</v>
      </c>
      <c r="B967" t="s">
        <v>1707</v>
      </c>
      <c r="C967" s="4">
        <v>4.7</v>
      </c>
      <c r="D967" s="4">
        <v>22</v>
      </c>
      <c r="E967" t="s">
        <v>1708</v>
      </c>
      <c r="F967" s="4">
        <v>19.120161499999998</v>
      </c>
      <c r="G967">
        <v>72.916308299999997</v>
      </c>
      <c r="H967">
        <f t="shared" si="75"/>
        <v>103.4</v>
      </c>
      <c r="I967" s="4">
        <f t="shared" si="76"/>
        <v>550</v>
      </c>
      <c r="J967" s="6">
        <f t="shared" si="77"/>
        <v>550</v>
      </c>
      <c r="K967" s="6">
        <f t="shared" si="78"/>
        <v>302500</v>
      </c>
      <c r="L967" s="3" t="str">
        <f t="shared" si="79"/>
        <v>Premium</v>
      </c>
    </row>
    <row r="968" spans="1:12">
      <c r="A968" t="s">
        <v>1698</v>
      </c>
      <c r="B968" t="s">
        <v>1709</v>
      </c>
      <c r="C968" s="4">
        <v>4.2</v>
      </c>
      <c r="D968" s="4">
        <v>4372</v>
      </c>
      <c r="E968" t="s">
        <v>1710</v>
      </c>
      <c r="F968" s="4">
        <v>19.1205079</v>
      </c>
      <c r="G968">
        <v>72.909278200000003</v>
      </c>
      <c r="H968">
        <f t="shared" si="75"/>
        <v>18362.400000000001</v>
      </c>
      <c r="I968" s="4">
        <f t="shared" si="76"/>
        <v>109300</v>
      </c>
      <c r="J968" s="6">
        <f t="shared" si="77"/>
        <v>350</v>
      </c>
      <c r="K968" s="6">
        <f t="shared" si="78"/>
        <v>38255000</v>
      </c>
      <c r="L968" s="3" t="str">
        <f t="shared" si="79"/>
        <v>Popular</v>
      </c>
    </row>
    <row r="969" spans="1:12">
      <c r="A969" t="s">
        <v>1698</v>
      </c>
      <c r="B969" t="s">
        <v>140</v>
      </c>
      <c r="C969" s="4">
        <v>3.8</v>
      </c>
      <c r="D969" s="4">
        <v>736</v>
      </c>
      <c r="E969" t="s">
        <v>1711</v>
      </c>
      <c r="F969" s="4">
        <v>19.1186878</v>
      </c>
      <c r="G969">
        <v>72.911358100000001</v>
      </c>
      <c r="H969">
        <f t="shared" si="75"/>
        <v>2796.7999999999997</v>
      </c>
      <c r="I969" s="4">
        <f t="shared" si="76"/>
        <v>18400</v>
      </c>
      <c r="J969" s="6">
        <f t="shared" si="77"/>
        <v>350</v>
      </c>
      <c r="K969" s="6">
        <f t="shared" si="78"/>
        <v>6440000</v>
      </c>
      <c r="L969" s="3" t="str">
        <f t="shared" si="79"/>
        <v>Average</v>
      </c>
    </row>
    <row r="970" spans="1:12">
      <c r="A970" t="s">
        <v>1698</v>
      </c>
      <c r="B970" t="s">
        <v>1712</v>
      </c>
      <c r="C970" s="4">
        <v>4.5</v>
      </c>
      <c r="D970" s="4">
        <v>853</v>
      </c>
      <c r="E970" t="s">
        <v>1713</v>
      </c>
      <c r="F970" s="4">
        <v>19.1307887</v>
      </c>
      <c r="G970">
        <v>72.917240699999994</v>
      </c>
      <c r="H970">
        <f t="shared" si="75"/>
        <v>3838.5</v>
      </c>
      <c r="I970" s="4">
        <f t="shared" si="76"/>
        <v>21325</v>
      </c>
      <c r="J970" s="6">
        <f t="shared" si="77"/>
        <v>450</v>
      </c>
      <c r="K970" s="6">
        <f t="shared" si="78"/>
        <v>9596250</v>
      </c>
      <c r="L970" s="3" t="str">
        <f t="shared" si="79"/>
        <v>Premium</v>
      </c>
    </row>
    <row r="971" spans="1:12">
      <c r="A971" t="s">
        <v>1698</v>
      </c>
      <c r="B971" t="s">
        <v>1714</v>
      </c>
      <c r="C971" s="4">
        <v>4.5</v>
      </c>
      <c r="D971" s="4">
        <v>6775</v>
      </c>
      <c r="E971" t="s">
        <v>1715</v>
      </c>
      <c r="F971" s="4">
        <v>19.120090900000001</v>
      </c>
      <c r="G971">
        <v>72.907065500000002</v>
      </c>
      <c r="H971">
        <f t="shared" si="75"/>
        <v>30487.5</v>
      </c>
      <c r="I971" s="4">
        <f t="shared" si="76"/>
        <v>169375</v>
      </c>
      <c r="J971" s="6">
        <f t="shared" si="77"/>
        <v>450</v>
      </c>
      <c r="K971" s="6">
        <f t="shared" si="78"/>
        <v>76218750</v>
      </c>
      <c r="L971" s="3" t="str">
        <f t="shared" si="79"/>
        <v>Premium</v>
      </c>
    </row>
    <row r="972" spans="1:12">
      <c r="A972" t="s">
        <v>1698</v>
      </c>
      <c r="B972" t="s">
        <v>1716</v>
      </c>
      <c r="C972" s="4">
        <v>4.8</v>
      </c>
      <c r="D972" s="4">
        <v>172</v>
      </c>
      <c r="E972" t="s">
        <v>1717</v>
      </c>
      <c r="F972" s="4">
        <v>19.116477100000001</v>
      </c>
      <c r="G972">
        <v>72.901579299999995</v>
      </c>
      <c r="H972">
        <f t="shared" si="75"/>
        <v>825.6</v>
      </c>
      <c r="I972" s="4">
        <f t="shared" si="76"/>
        <v>4300</v>
      </c>
      <c r="J972" s="6">
        <f t="shared" si="77"/>
        <v>550</v>
      </c>
      <c r="K972" s="6">
        <f t="shared" si="78"/>
        <v>2365000</v>
      </c>
      <c r="L972" s="3" t="str">
        <f t="shared" si="79"/>
        <v>Premium</v>
      </c>
    </row>
    <row r="973" spans="1:12">
      <c r="A973" t="s">
        <v>1698</v>
      </c>
      <c r="B973" t="s">
        <v>1718</v>
      </c>
      <c r="C973" s="4">
        <v>4.0999999999999996</v>
      </c>
      <c r="D973" s="4">
        <v>333</v>
      </c>
      <c r="E973" t="s">
        <v>1719</v>
      </c>
      <c r="F973" s="4">
        <v>19.132177500000001</v>
      </c>
      <c r="G973">
        <v>72.915937200000002</v>
      </c>
      <c r="H973">
        <f t="shared" si="75"/>
        <v>1365.3</v>
      </c>
      <c r="I973" s="4">
        <f t="shared" si="76"/>
        <v>8325</v>
      </c>
      <c r="J973" s="6">
        <f t="shared" si="77"/>
        <v>350</v>
      </c>
      <c r="K973" s="6">
        <f t="shared" si="78"/>
        <v>2913750</v>
      </c>
      <c r="L973" s="3" t="str">
        <f t="shared" si="79"/>
        <v>Popular</v>
      </c>
    </row>
    <row r="974" spans="1:12">
      <c r="A974" t="s">
        <v>1698</v>
      </c>
      <c r="B974" t="s">
        <v>140</v>
      </c>
      <c r="C974" s="4">
        <v>4</v>
      </c>
      <c r="D974" s="4">
        <v>1373</v>
      </c>
      <c r="E974" t="s">
        <v>1720</v>
      </c>
      <c r="F974" s="4">
        <v>19.119576599999998</v>
      </c>
      <c r="G974">
        <v>72.901091199999996</v>
      </c>
      <c r="H974">
        <f t="shared" si="75"/>
        <v>5492</v>
      </c>
      <c r="I974" s="4">
        <f t="shared" si="76"/>
        <v>34325</v>
      </c>
      <c r="J974" s="6">
        <f t="shared" si="77"/>
        <v>350</v>
      </c>
      <c r="K974" s="6">
        <f t="shared" si="78"/>
        <v>12013750</v>
      </c>
      <c r="L974" s="3" t="str">
        <f t="shared" si="79"/>
        <v>Popular</v>
      </c>
    </row>
    <row r="975" spans="1:12">
      <c r="A975" t="s">
        <v>1698</v>
      </c>
      <c r="B975" t="s">
        <v>1721</v>
      </c>
      <c r="C975" s="4">
        <v>4.2</v>
      </c>
      <c r="D975" s="4">
        <v>2522</v>
      </c>
      <c r="E975" t="s">
        <v>1722</v>
      </c>
      <c r="F975" s="4">
        <v>19.119988599999999</v>
      </c>
      <c r="G975">
        <v>72.907105099999995</v>
      </c>
      <c r="H975">
        <f t="shared" si="75"/>
        <v>10592.4</v>
      </c>
      <c r="I975" s="4">
        <f t="shared" si="76"/>
        <v>63050</v>
      </c>
      <c r="J975" s="6">
        <f t="shared" si="77"/>
        <v>350</v>
      </c>
      <c r="K975" s="6">
        <f t="shared" si="78"/>
        <v>22067500</v>
      </c>
      <c r="L975" s="3" t="str">
        <f t="shared" si="79"/>
        <v>Popular</v>
      </c>
    </row>
    <row r="976" spans="1:12">
      <c r="A976" t="s">
        <v>1698</v>
      </c>
      <c r="B976" t="s">
        <v>1723</v>
      </c>
      <c r="C976" s="4">
        <v>4.2</v>
      </c>
      <c r="D976" s="4">
        <v>1327</v>
      </c>
      <c r="E976" t="s">
        <v>1724</v>
      </c>
      <c r="F976" s="4">
        <v>19.120491399999999</v>
      </c>
      <c r="G976">
        <v>72.909051300000002</v>
      </c>
      <c r="H976">
        <f t="shared" si="75"/>
        <v>5573.4000000000005</v>
      </c>
      <c r="I976" s="4">
        <f t="shared" si="76"/>
        <v>33175</v>
      </c>
      <c r="J976" s="6">
        <f t="shared" si="77"/>
        <v>350</v>
      </c>
      <c r="K976" s="6">
        <f t="shared" si="78"/>
        <v>11611250</v>
      </c>
      <c r="L976" s="3" t="str">
        <f t="shared" si="79"/>
        <v>Popular</v>
      </c>
    </row>
    <row r="977" spans="1:12">
      <c r="A977" t="s">
        <v>1698</v>
      </c>
      <c r="B977" t="s">
        <v>1725</v>
      </c>
      <c r="C977" s="4">
        <v>4.4000000000000004</v>
      </c>
      <c r="D977" s="4">
        <v>4025</v>
      </c>
      <c r="E977" t="s">
        <v>1726</v>
      </c>
      <c r="F977" s="4">
        <v>19.115667699999999</v>
      </c>
      <c r="G977">
        <v>72.908939699999905</v>
      </c>
      <c r="H977">
        <f t="shared" si="75"/>
        <v>17710</v>
      </c>
      <c r="I977" s="4">
        <f t="shared" si="76"/>
        <v>100625</v>
      </c>
      <c r="J977" s="6">
        <f t="shared" si="77"/>
        <v>450</v>
      </c>
      <c r="K977" s="6">
        <f t="shared" si="78"/>
        <v>45281250</v>
      </c>
      <c r="L977" s="3" t="str">
        <f t="shared" si="79"/>
        <v>Popular</v>
      </c>
    </row>
    <row r="978" spans="1:12">
      <c r="A978" t="s">
        <v>1698</v>
      </c>
      <c r="B978" t="s">
        <v>1727</v>
      </c>
      <c r="C978" s="4">
        <v>4.0999999999999996</v>
      </c>
      <c r="D978" s="4">
        <v>4794</v>
      </c>
      <c r="E978" t="s">
        <v>1728</v>
      </c>
      <c r="F978" s="4">
        <v>19.114965300000001</v>
      </c>
      <c r="G978">
        <v>72.888896799999998</v>
      </c>
      <c r="H978">
        <f t="shared" si="75"/>
        <v>19655.399999999998</v>
      </c>
      <c r="I978" s="4">
        <f t="shared" si="76"/>
        <v>119850</v>
      </c>
      <c r="J978" s="6">
        <f t="shared" si="77"/>
        <v>350</v>
      </c>
      <c r="K978" s="6">
        <f t="shared" si="78"/>
        <v>41947500</v>
      </c>
      <c r="L978" s="3" t="str">
        <f t="shared" si="79"/>
        <v>Popular</v>
      </c>
    </row>
    <row r="979" spans="1:12">
      <c r="A979" t="s">
        <v>1698</v>
      </c>
      <c r="B979" t="s">
        <v>532</v>
      </c>
      <c r="C979" s="4">
        <v>4.5999999999999996</v>
      </c>
      <c r="D979" s="4">
        <v>2589</v>
      </c>
      <c r="E979" t="s">
        <v>533</v>
      </c>
      <c r="F979" s="4">
        <v>19.109420400000001</v>
      </c>
      <c r="G979">
        <v>72.881181099999907</v>
      </c>
      <c r="H979">
        <f t="shared" si="75"/>
        <v>11909.4</v>
      </c>
      <c r="I979" s="4">
        <f t="shared" si="76"/>
        <v>64725</v>
      </c>
      <c r="J979" s="6">
        <f t="shared" si="77"/>
        <v>450</v>
      </c>
      <c r="K979" s="6">
        <f t="shared" si="78"/>
        <v>29126250</v>
      </c>
      <c r="L979" s="3" t="str">
        <f t="shared" si="79"/>
        <v>Premium</v>
      </c>
    </row>
    <row r="980" spans="1:12">
      <c r="A980" t="s">
        <v>1698</v>
      </c>
      <c r="B980" t="s">
        <v>1729</v>
      </c>
      <c r="C980" s="4">
        <v>4.4000000000000004</v>
      </c>
      <c r="D980" s="4">
        <v>3358</v>
      </c>
      <c r="E980" t="s">
        <v>1730</v>
      </c>
      <c r="F980" s="4">
        <v>19.120169799999999</v>
      </c>
      <c r="G980">
        <v>72.907008500000003</v>
      </c>
      <c r="H980">
        <f t="shared" si="75"/>
        <v>14775.2</v>
      </c>
      <c r="I980" s="4">
        <f t="shared" si="76"/>
        <v>83950</v>
      </c>
      <c r="J980" s="6">
        <f t="shared" si="77"/>
        <v>450</v>
      </c>
      <c r="K980" s="6">
        <f t="shared" si="78"/>
        <v>37777500</v>
      </c>
      <c r="L980" s="3" t="str">
        <f t="shared" si="79"/>
        <v>Popular</v>
      </c>
    </row>
    <row r="981" spans="1:12">
      <c r="A981" t="s">
        <v>1698</v>
      </c>
      <c r="B981" t="s">
        <v>123</v>
      </c>
      <c r="C981" s="4">
        <v>4.4000000000000004</v>
      </c>
      <c r="D981" s="4">
        <v>850</v>
      </c>
      <c r="E981" t="s">
        <v>1731</v>
      </c>
      <c r="F981" s="4">
        <v>19.116104</v>
      </c>
      <c r="G981">
        <v>72.909806000000003</v>
      </c>
      <c r="H981">
        <f t="shared" si="75"/>
        <v>3740.0000000000005</v>
      </c>
      <c r="I981" s="4">
        <f t="shared" si="76"/>
        <v>21250</v>
      </c>
      <c r="J981" s="6">
        <f t="shared" si="77"/>
        <v>450</v>
      </c>
      <c r="K981" s="6">
        <f t="shared" si="78"/>
        <v>9562500</v>
      </c>
      <c r="L981" s="3" t="str">
        <f t="shared" si="79"/>
        <v>Popular</v>
      </c>
    </row>
    <row r="982" spans="1:12">
      <c r="A982" t="s">
        <v>1698</v>
      </c>
      <c r="B982" t="s">
        <v>1732</v>
      </c>
      <c r="C982" s="4">
        <v>4.5999999999999996</v>
      </c>
      <c r="D982" s="4">
        <v>147</v>
      </c>
      <c r="E982" t="s">
        <v>1733</v>
      </c>
      <c r="F982" s="4">
        <v>19.122349</v>
      </c>
      <c r="G982">
        <v>72.908635099999998</v>
      </c>
      <c r="H982">
        <f t="shared" si="75"/>
        <v>676.19999999999993</v>
      </c>
      <c r="I982" s="4">
        <f t="shared" si="76"/>
        <v>3675</v>
      </c>
      <c r="J982" s="6">
        <f t="shared" si="77"/>
        <v>450</v>
      </c>
      <c r="K982" s="6">
        <f t="shared" si="78"/>
        <v>1653750</v>
      </c>
      <c r="L982" s="3" t="str">
        <f t="shared" si="79"/>
        <v>Premium</v>
      </c>
    </row>
    <row r="983" spans="1:12">
      <c r="A983" t="s">
        <v>1698</v>
      </c>
      <c r="B983" t="s">
        <v>1734</v>
      </c>
      <c r="C983" s="4">
        <v>4</v>
      </c>
      <c r="D983" s="4">
        <v>428</v>
      </c>
      <c r="E983" t="s">
        <v>1735</v>
      </c>
      <c r="F983" s="4">
        <v>19.125161599999998</v>
      </c>
      <c r="G983">
        <v>72.919349499999996</v>
      </c>
      <c r="H983">
        <f t="shared" si="75"/>
        <v>1712</v>
      </c>
      <c r="I983" s="4">
        <f t="shared" si="76"/>
        <v>10700</v>
      </c>
      <c r="J983" s="6">
        <f t="shared" si="77"/>
        <v>350</v>
      </c>
      <c r="K983" s="6">
        <f t="shared" si="78"/>
        <v>3745000</v>
      </c>
      <c r="L983" s="3" t="str">
        <f t="shared" si="79"/>
        <v>Popular</v>
      </c>
    </row>
    <row r="984" spans="1:12">
      <c r="A984" t="s">
        <v>1698</v>
      </c>
      <c r="B984" t="s">
        <v>1736</v>
      </c>
      <c r="C984" s="4">
        <v>4.4000000000000004</v>
      </c>
      <c r="D984" s="4">
        <v>342</v>
      </c>
      <c r="E984" t="s">
        <v>1737</v>
      </c>
      <c r="F984" s="4">
        <v>19.119866099999999</v>
      </c>
      <c r="G984">
        <v>72.908950099999998</v>
      </c>
      <c r="H984">
        <f t="shared" si="75"/>
        <v>1504.8000000000002</v>
      </c>
      <c r="I984" s="4">
        <f t="shared" si="76"/>
        <v>8550</v>
      </c>
      <c r="J984" s="6">
        <f t="shared" si="77"/>
        <v>450</v>
      </c>
      <c r="K984" s="6">
        <f t="shared" si="78"/>
        <v>3847500</v>
      </c>
      <c r="L984" s="3" t="str">
        <f t="shared" si="79"/>
        <v>Popular</v>
      </c>
    </row>
    <row r="985" spans="1:12">
      <c r="A985" t="s">
        <v>1698</v>
      </c>
      <c r="B985" t="s">
        <v>1738</v>
      </c>
      <c r="C985" s="4">
        <v>4.4000000000000004</v>
      </c>
      <c r="D985" s="4">
        <v>2632</v>
      </c>
      <c r="E985" t="s">
        <v>1739</v>
      </c>
      <c r="F985" s="4">
        <v>19.1234246</v>
      </c>
      <c r="G985">
        <v>72.912469599999994</v>
      </c>
      <c r="H985">
        <f t="shared" si="75"/>
        <v>11580.800000000001</v>
      </c>
      <c r="I985" s="4">
        <f t="shared" si="76"/>
        <v>65800</v>
      </c>
      <c r="J985" s="6">
        <f t="shared" si="77"/>
        <v>450</v>
      </c>
      <c r="K985" s="6">
        <f t="shared" si="78"/>
        <v>29610000</v>
      </c>
      <c r="L985" s="3" t="str">
        <f t="shared" si="79"/>
        <v>Popular</v>
      </c>
    </row>
    <row r="986" spans="1:12">
      <c r="A986" t="s">
        <v>1698</v>
      </c>
      <c r="B986" t="s">
        <v>1740</v>
      </c>
      <c r="C986" s="4">
        <v>4.2</v>
      </c>
      <c r="D986" s="4">
        <v>16998</v>
      </c>
      <c r="E986" t="s">
        <v>1741</v>
      </c>
      <c r="F986" s="4">
        <v>19.110952699999999</v>
      </c>
      <c r="G986">
        <v>72.908296699999994</v>
      </c>
      <c r="H986">
        <f t="shared" si="75"/>
        <v>71391.600000000006</v>
      </c>
      <c r="I986" s="4">
        <f t="shared" si="76"/>
        <v>424950</v>
      </c>
      <c r="J986" s="6">
        <f t="shared" si="77"/>
        <v>350</v>
      </c>
      <c r="K986" s="6">
        <f t="shared" si="78"/>
        <v>148732500</v>
      </c>
      <c r="L986" s="3" t="str">
        <f t="shared" si="79"/>
        <v>Popular</v>
      </c>
    </row>
    <row r="987" spans="1:12">
      <c r="A987" t="s">
        <v>1698</v>
      </c>
      <c r="B987" t="s">
        <v>1742</v>
      </c>
      <c r="C987" s="4">
        <v>4.3</v>
      </c>
      <c r="D987" s="4">
        <v>352</v>
      </c>
      <c r="E987" t="s">
        <v>1743</v>
      </c>
      <c r="F987" s="4">
        <v>19.110046100000002</v>
      </c>
      <c r="G987">
        <v>72.888003799999893</v>
      </c>
      <c r="H987">
        <f t="shared" si="75"/>
        <v>1513.6</v>
      </c>
      <c r="I987" s="4">
        <f t="shared" si="76"/>
        <v>8800</v>
      </c>
      <c r="J987" s="6">
        <f t="shared" si="77"/>
        <v>350</v>
      </c>
      <c r="K987" s="6">
        <f t="shared" si="78"/>
        <v>3080000</v>
      </c>
      <c r="L987" s="3" t="str">
        <f t="shared" si="79"/>
        <v>Popular</v>
      </c>
    </row>
    <row r="988" spans="1:12">
      <c r="A988" t="s">
        <v>1698</v>
      </c>
      <c r="B988" t="s">
        <v>1744</v>
      </c>
      <c r="C988" s="4">
        <v>4.2</v>
      </c>
      <c r="D988" s="4">
        <v>11298</v>
      </c>
      <c r="E988" t="s">
        <v>1745</v>
      </c>
      <c r="F988" s="4">
        <v>19.119916700000001</v>
      </c>
      <c r="G988">
        <v>72.907131300000003</v>
      </c>
      <c r="H988">
        <f t="shared" si="75"/>
        <v>47451.6</v>
      </c>
      <c r="I988" s="4">
        <f t="shared" si="76"/>
        <v>282450</v>
      </c>
      <c r="J988" s="6">
        <f t="shared" si="77"/>
        <v>350</v>
      </c>
      <c r="K988" s="6">
        <f t="shared" si="78"/>
        <v>98857500</v>
      </c>
      <c r="L988" s="3" t="str">
        <f t="shared" si="79"/>
        <v>Popular</v>
      </c>
    </row>
    <row r="989" spans="1:12">
      <c r="A989" t="s">
        <v>1698</v>
      </c>
      <c r="B989" t="s">
        <v>1033</v>
      </c>
      <c r="C989" s="4">
        <v>4.5999999999999996</v>
      </c>
      <c r="D989" s="4">
        <v>284</v>
      </c>
      <c r="E989" t="s">
        <v>1034</v>
      </c>
      <c r="F989" s="4">
        <v>19.093147200000001</v>
      </c>
      <c r="G989">
        <v>72.920238499999996</v>
      </c>
      <c r="H989">
        <f t="shared" si="75"/>
        <v>1306.3999999999999</v>
      </c>
      <c r="I989" s="4">
        <f t="shared" si="76"/>
        <v>7100</v>
      </c>
      <c r="J989" s="6">
        <f t="shared" si="77"/>
        <v>450</v>
      </c>
      <c r="K989" s="6">
        <f t="shared" si="78"/>
        <v>3195000</v>
      </c>
      <c r="L989" s="3" t="str">
        <f t="shared" si="79"/>
        <v>Premium</v>
      </c>
    </row>
    <row r="990" spans="1:12">
      <c r="A990" t="s">
        <v>1698</v>
      </c>
      <c r="B990" t="s">
        <v>964</v>
      </c>
      <c r="C990" s="4">
        <v>4.2</v>
      </c>
      <c r="D990" s="4">
        <v>1699</v>
      </c>
      <c r="E990" t="s">
        <v>965</v>
      </c>
      <c r="F990" s="4">
        <v>19.099355800000001</v>
      </c>
      <c r="G990">
        <v>72.916342099999994</v>
      </c>
      <c r="H990">
        <f t="shared" si="75"/>
        <v>7135.8</v>
      </c>
      <c r="I990" s="4">
        <f t="shared" si="76"/>
        <v>42475</v>
      </c>
      <c r="J990" s="6">
        <f t="shared" si="77"/>
        <v>350</v>
      </c>
      <c r="K990" s="6">
        <f t="shared" si="78"/>
        <v>14866250</v>
      </c>
      <c r="L990" s="3" t="str">
        <f t="shared" si="79"/>
        <v>Popular</v>
      </c>
    </row>
    <row r="991" spans="1:12">
      <c r="A991" t="s">
        <v>1698</v>
      </c>
      <c r="B991" t="s">
        <v>1746</v>
      </c>
      <c r="C991" s="4">
        <v>4.2</v>
      </c>
      <c r="D991" s="4">
        <v>749</v>
      </c>
      <c r="E991" t="s">
        <v>1747</v>
      </c>
      <c r="F991" s="4">
        <v>19.120491399999999</v>
      </c>
      <c r="G991">
        <v>72.909051300000002</v>
      </c>
      <c r="H991">
        <f t="shared" si="75"/>
        <v>3145.8</v>
      </c>
      <c r="I991" s="4">
        <f t="shared" si="76"/>
        <v>18725</v>
      </c>
      <c r="J991" s="6">
        <f t="shared" si="77"/>
        <v>350</v>
      </c>
      <c r="K991" s="6">
        <f t="shared" si="78"/>
        <v>6553750</v>
      </c>
      <c r="L991" s="3" t="str">
        <f t="shared" si="79"/>
        <v>Popular</v>
      </c>
    </row>
    <row r="992" spans="1:12">
      <c r="A992" t="s">
        <v>1698</v>
      </c>
      <c r="B992" t="s">
        <v>1748</v>
      </c>
      <c r="C992" s="4">
        <v>3.9</v>
      </c>
      <c r="D992" s="4">
        <v>108</v>
      </c>
      <c r="E992" t="s">
        <v>1749</v>
      </c>
      <c r="F992" s="4">
        <v>19.130005300000001</v>
      </c>
      <c r="G992">
        <v>72.918790099999995</v>
      </c>
      <c r="H992">
        <f t="shared" si="75"/>
        <v>421.2</v>
      </c>
      <c r="I992" s="4">
        <f t="shared" si="76"/>
        <v>2700</v>
      </c>
      <c r="J992" s="6">
        <f t="shared" si="77"/>
        <v>350</v>
      </c>
      <c r="K992" s="6">
        <f t="shared" si="78"/>
        <v>945000</v>
      </c>
      <c r="L992" s="3" t="str">
        <f t="shared" si="79"/>
        <v>Average</v>
      </c>
    </row>
    <row r="993" spans="1:12">
      <c r="A993" t="s">
        <v>1698</v>
      </c>
      <c r="B993" t="s">
        <v>123</v>
      </c>
      <c r="C993" s="4">
        <v>4.5</v>
      </c>
      <c r="D993" s="4">
        <v>316</v>
      </c>
      <c r="E993" t="s">
        <v>1750</v>
      </c>
      <c r="F993" s="4">
        <v>19.119738999999999</v>
      </c>
      <c r="G993">
        <v>72.908049899999995</v>
      </c>
      <c r="H993">
        <f t="shared" si="75"/>
        <v>1422</v>
      </c>
      <c r="I993" s="4">
        <f t="shared" si="76"/>
        <v>7900</v>
      </c>
      <c r="J993" s="6">
        <f t="shared" si="77"/>
        <v>450</v>
      </c>
      <c r="K993" s="6">
        <f t="shared" si="78"/>
        <v>3555000</v>
      </c>
      <c r="L993" s="3" t="str">
        <f t="shared" si="79"/>
        <v>Premium</v>
      </c>
    </row>
    <row r="994" spans="1:12">
      <c r="A994" t="s">
        <v>1698</v>
      </c>
      <c r="B994" t="s">
        <v>1751</v>
      </c>
      <c r="C994" s="4">
        <v>4.5999999999999996</v>
      </c>
      <c r="D994" s="4">
        <v>12095</v>
      </c>
      <c r="E994" t="s">
        <v>1752</v>
      </c>
      <c r="F994" s="4">
        <v>19.119808800000001</v>
      </c>
      <c r="G994">
        <v>72.907341199999905</v>
      </c>
      <c r="H994">
        <f t="shared" si="75"/>
        <v>55636.999999999993</v>
      </c>
      <c r="I994" s="4">
        <f t="shared" si="76"/>
        <v>302375</v>
      </c>
      <c r="J994" s="6">
        <f t="shared" si="77"/>
        <v>450</v>
      </c>
      <c r="K994" s="6">
        <f t="shared" si="78"/>
        <v>136068750</v>
      </c>
      <c r="L994" s="3" t="str">
        <f t="shared" si="79"/>
        <v>Premium</v>
      </c>
    </row>
    <row r="995" spans="1:12">
      <c r="A995" t="s">
        <v>1698</v>
      </c>
      <c r="B995" t="s">
        <v>1753</v>
      </c>
      <c r="C995" s="4">
        <v>3.9</v>
      </c>
      <c r="D995" s="4">
        <v>673</v>
      </c>
      <c r="E995" t="s">
        <v>1754</v>
      </c>
      <c r="F995" s="4">
        <v>19.1117472</v>
      </c>
      <c r="G995">
        <v>72.909514299999998</v>
      </c>
      <c r="H995">
        <f t="shared" si="75"/>
        <v>2624.7</v>
      </c>
      <c r="I995" s="4">
        <f t="shared" si="76"/>
        <v>16825</v>
      </c>
      <c r="J995" s="6">
        <f t="shared" si="77"/>
        <v>350</v>
      </c>
      <c r="K995" s="6">
        <f t="shared" si="78"/>
        <v>5888750</v>
      </c>
      <c r="L995" s="3" t="str">
        <f t="shared" si="79"/>
        <v>Average</v>
      </c>
    </row>
    <row r="996" spans="1:12">
      <c r="A996" t="s">
        <v>1698</v>
      </c>
      <c r="B996" t="s">
        <v>1755</v>
      </c>
      <c r="C996" s="4">
        <v>4.4000000000000004</v>
      </c>
      <c r="D996" s="4">
        <v>19</v>
      </c>
      <c r="E996" t="s">
        <v>1756</v>
      </c>
      <c r="F996" s="4">
        <v>19.112470299999998</v>
      </c>
      <c r="G996">
        <v>72.897706900000003</v>
      </c>
      <c r="H996">
        <f t="shared" si="75"/>
        <v>83.600000000000009</v>
      </c>
      <c r="I996" s="4">
        <f t="shared" si="76"/>
        <v>475</v>
      </c>
      <c r="J996" s="6">
        <f t="shared" si="77"/>
        <v>450</v>
      </c>
      <c r="K996" s="6">
        <f t="shared" si="78"/>
        <v>213750</v>
      </c>
      <c r="L996" s="3" t="str">
        <f t="shared" si="79"/>
        <v>Popular</v>
      </c>
    </row>
    <row r="997" spans="1:12">
      <c r="A997" t="s">
        <v>1698</v>
      </c>
      <c r="B997" t="s">
        <v>1757</v>
      </c>
      <c r="C997" s="4">
        <v>4.3</v>
      </c>
      <c r="D997" s="4">
        <v>866</v>
      </c>
      <c r="E997" t="s">
        <v>1758</v>
      </c>
      <c r="F997" s="4">
        <v>19.120558800000001</v>
      </c>
      <c r="G997">
        <v>72.909351399999906</v>
      </c>
      <c r="H997">
        <f t="shared" si="75"/>
        <v>3723.7999999999997</v>
      </c>
      <c r="I997" s="4">
        <f t="shared" si="76"/>
        <v>21650</v>
      </c>
      <c r="J997" s="6">
        <f t="shared" si="77"/>
        <v>350</v>
      </c>
      <c r="K997" s="6">
        <f t="shared" si="78"/>
        <v>7577500</v>
      </c>
      <c r="L997" s="3" t="str">
        <f t="shared" si="79"/>
        <v>Popular</v>
      </c>
    </row>
    <row r="998" spans="1:12">
      <c r="A998" t="s">
        <v>1698</v>
      </c>
      <c r="B998" t="s">
        <v>1759</v>
      </c>
      <c r="C998" s="4">
        <v>4.2</v>
      </c>
      <c r="D998" s="4">
        <v>65</v>
      </c>
      <c r="E998" t="s">
        <v>1760</v>
      </c>
      <c r="F998" s="4">
        <v>19.132683700000001</v>
      </c>
      <c r="G998">
        <v>72.916424699999993</v>
      </c>
      <c r="H998">
        <f t="shared" si="75"/>
        <v>273</v>
      </c>
      <c r="I998" s="4">
        <f t="shared" si="76"/>
        <v>1625</v>
      </c>
      <c r="J998" s="6">
        <f t="shared" si="77"/>
        <v>350</v>
      </c>
      <c r="K998" s="6">
        <f t="shared" si="78"/>
        <v>568750</v>
      </c>
      <c r="L998" s="3" t="str">
        <f t="shared" si="79"/>
        <v>Popular</v>
      </c>
    </row>
    <row r="999" spans="1:12">
      <c r="A999" t="s">
        <v>1698</v>
      </c>
      <c r="B999" t="s">
        <v>1761</v>
      </c>
      <c r="C999" s="4">
        <v>4.5999999999999996</v>
      </c>
      <c r="D999" s="4">
        <v>29</v>
      </c>
      <c r="E999" t="s">
        <v>1762</v>
      </c>
      <c r="F999" s="4">
        <v>19.118979100000001</v>
      </c>
      <c r="G999">
        <v>72.912512100000001</v>
      </c>
      <c r="H999">
        <f t="shared" si="75"/>
        <v>133.39999999999998</v>
      </c>
      <c r="I999" s="4">
        <f t="shared" si="76"/>
        <v>725</v>
      </c>
      <c r="J999" s="6">
        <f t="shared" si="77"/>
        <v>450</v>
      </c>
      <c r="K999" s="6">
        <f t="shared" si="78"/>
        <v>326250</v>
      </c>
      <c r="L999" s="3" t="str">
        <f t="shared" si="79"/>
        <v>Premium</v>
      </c>
    </row>
    <row r="1000" spans="1:12">
      <c r="A1000" t="s">
        <v>1698</v>
      </c>
      <c r="B1000" t="s">
        <v>1676</v>
      </c>
      <c r="C1000" s="4">
        <v>4.2</v>
      </c>
      <c r="D1000" s="4">
        <v>9186</v>
      </c>
      <c r="E1000" t="s">
        <v>1763</v>
      </c>
      <c r="F1000" s="4">
        <v>19.116963399999999</v>
      </c>
      <c r="G1000">
        <v>72.889099399999907</v>
      </c>
      <c r="H1000">
        <f t="shared" si="75"/>
        <v>38581.200000000004</v>
      </c>
      <c r="I1000" s="4">
        <f t="shared" si="76"/>
        <v>229650</v>
      </c>
      <c r="J1000" s="6">
        <f t="shared" si="77"/>
        <v>350</v>
      </c>
      <c r="K1000" s="6">
        <f t="shared" si="78"/>
        <v>80377500</v>
      </c>
      <c r="L1000" s="3" t="str">
        <f t="shared" si="79"/>
        <v>Popular</v>
      </c>
    </row>
    <row r="1001" spans="1:12">
      <c r="A1001" t="s">
        <v>1698</v>
      </c>
      <c r="B1001" t="s">
        <v>1764</v>
      </c>
      <c r="C1001" s="4">
        <v>4</v>
      </c>
      <c r="D1001" s="4">
        <v>43</v>
      </c>
      <c r="E1001" t="s">
        <v>1765</v>
      </c>
      <c r="F1001" s="4">
        <v>19.1191569</v>
      </c>
      <c r="G1001">
        <v>72.911959099999905</v>
      </c>
      <c r="H1001">
        <f t="shared" si="75"/>
        <v>172</v>
      </c>
      <c r="I1001" s="4">
        <f t="shared" si="76"/>
        <v>1075</v>
      </c>
      <c r="J1001" s="6">
        <f t="shared" si="77"/>
        <v>350</v>
      </c>
      <c r="K1001" s="6">
        <f t="shared" si="78"/>
        <v>376250</v>
      </c>
      <c r="L1001" s="3" t="str">
        <f t="shared" si="79"/>
        <v>Popular</v>
      </c>
    </row>
    <row r="1002" spans="1:12">
      <c r="A1002" t="s">
        <v>1698</v>
      </c>
      <c r="B1002" t="s">
        <v>578</v>
      </c>
      <c r="C1002" s="4">
        <v>4.5999999999999996</v>
      </c>
      <c r="D1002" s="4">
        <v>2453</v>
      </c>
      <c r="E1002" t="s">
        <v>579</v>
      </c>
      <c r="F1002" s="4">
        <v>19.103168</v>
      </c>
      <c r="G1002">
        <v>72.877701999999999</v>
      </c>
      <c r="H1002">
        <f t="shared" si="75"/>
        <v>11283.8</v>
      </c>
      <c r="I1002" s="4">
        <f t="shared" si="76"/>
        <v>61325</v>
      </c>
      <c r="J1002" s="6">
        <f t="shared" si="77"/>
        <v>450</v>
      </c>
      <c r="K1002" s="6">
        <f t="shared" si="78"/>
        <v>27596250</v>
      </c>
      <c r="L1002" s="3" t="str">
        <f t="shared" si="79"/>
        <v>Premium</v>
      </c>
    </row>
    <row r="1003" spans="1:12">
      <c r="A1003" t="s">
        <v>1698</v>
      </c>
      <c r="B1003" t="s">
        <v>397</v>
      </c>
      <c r="C1003" s="4">
        <v>4.3</v>
      </c>
      <c r="D1003" s="4">
        <v>36</v>
      </c>
      <c r="E1003" t="s">
        <v>1766</v>
      </c>
      <c r="F1003" s="4">
        <v>19.115127900000001</v>
      </c>
      <c r="G1003">
        <v>72.907099000000002</v>
      </c>
      <c r="H1003">
        <f t="shared" si="75"/>
        <v>154.79999999999998</v>
      </c>
      <c r="I1003" s="4">
        <f t="shared" si="76"/>
        <v>900</v>
      </c>
      <c r="J1003" s="6">
        <f t="shared" si="77"/>
        <v>350</v>
      </c>
      <c r="K1003" s="6">
        <f t="shared" si="78"/>
        <v>315000</v>
      </c>
      <c r="L1003" s="3" t="str">
        <f t="shared" si="79"/>
        <v>Popular</v>
      </c>
    </row>
    <row r="1004" spans="1:12">
      <c r="A1004" t="s">
        <v>1698</v>
      </c>
      <c r="B1004" t="s">
        <v>48</v>
      </c>
      <c r="C1004" s="4">
        <v>4.8</v>
      </c>
      <c r="D1004" s="4">
        <v>786</v>
      </c>
      <c r="E1004" t="s">
        <v>980</v>
      </c>
      <c r="F1004" s="4">
        <v>19.099697599999999</v>
      </c>
      <c r="G1004">
        <v>72.9166685</v>
      </c>
      <c r="H1004">
        <f t="shared" si="75"/>
        <v>3772.7999999999997</v>
      </c>
      <c r="I1004" s="4">
        <f t="shared" si="76"/>
        <v>19650</v>
      </c>
      <c r="J1004" s="6">
        <f t="shared" si="77"/>
        <v>550</v>
      </c>
      <c r="K1004" s="6">
        <f t="shared" si="78"/>
        <v>10807500</v>
      </c>
      <c r="L1004" s="3" t="str">
        <f t="shared" si="79"/>
        <v>Premium</v>
      </c>
    </row>
    <row r="1005" spans="1:12">
      <c r="A1005" t="s">
        <v>1698</v>
      </c>
      <c r="B1005" t="s">
        <v>981</v>
      </c>
      <c r="C1005" s="4">
        <v>4.5</v>
      </c>
      <c r="D1005" s="4">
        <v>808</v>
      </c>
      <c r="E1005" t="s">
        <v>982</v>
      </c>
      <c r="F1005" s="4">
        <v>19.0999087</v>
      </c>
      <c r="G1005">
        <v>72.917145599999998</v>
      </c>
      <c r="H1005">
        <f t="shared" si="75"/>
        <v>3636</v>
      </c>
      <c r="I1005" s="4">
        <f t="shared" si="76"/>
        <v>20200</v>
      </c>
      <c r="J1005" s="6">
        <f t="shared" si="77"/>
        <v>450</v>
      </c>
      <c r="K1005" s="6">
        <f t="shared" si="78"/>
        <v>9090000</v>
      </c>
      <c r="L1005" s="3" t="str">
        <f t="shared" si="79"/>
        <v>Premium</v>
      </c>
    </row>
    <row r="1006" spans="1:12">
      <c r="A1006" t="s">
        <v>1698</v>
      </c>
      <c r="B1006" t="s">
        <v>570</v>
      </c>
      <c r="C1006" s="4">
        <v>4.5999999999999996</v>
      </c>
      <c r="D1006" s="4">
        <v>93</v>
      </c>
      <c r="E1006" t="s">
        <v>571</v>
      </c>
      <c r="F1006" s="4">
        <v>19.1131891</v>
      </c>
      <c r="G1006">
        <v>72.882127699999998</v>
      </c>
      <c r="H1006">
        <f t="shared" si="75"/>
        <v>427.79999999999995</v>
      </c>
      <c r="I1006" s="4">
        <f t="shared" si="76"/>
        <v>2325</v>
      </c>
      <c r="J1006" s="6">
        <f t="shared" si="77"/>
        <v>450</v>
      </c>
      <c r="K1006" s="6">
        <f t="shared" si="78"/>
        <v>1046250</v>
      </c>
      <c r="L1006" s="3" t="str">
        <f t="shared" si="79"/>
        <v>Premium</v>
      </c>
    </row>
    <row r="1007" spans="1:12">
      <c r="A1007" t="s">
        <v>1698</v>
      </c>
      <c r="B1007" t="s">
        <v>620</v>
      </c>
      <c r="C1007" s="4">
        <v>3.9</v>
      </c>
      <c r="D1007" s="4">
        <v>929</v>
      </c>
      <c r="E1007" t="s">
        <v>621</v>
      </c>
      <c r="F1007" s="4">
        <v>19.102402600000001</v>
      </c>
      <c r="G1007">
        <v>72.888413200000002</v>
      </c>
      <c r="H1007">
        <f t="shared" si="75"/>
        <v>3623.1</v>
      </c>
      <c r="I1007" s="4">
        <f t="shared" si="76"/>
        <v>23225</v>
      </c>
      <c r="J1007" s="6">
        <f t="shared" si="77"/>
        <v>350</v>
      </c>
      <c r="K1007" s="6">
        <f t="shared" si="78"/>
        <v>8128750</v>
      </c>
      <c r="L1007" s="3" t="str">
        <f t="shared" si="79"/>
        <v>Average</v>
      </c>
    </row>
    <row r="1008" spans="1:12">
      <c r="A1008" t="s">
        <v>1698</v>
      </c>
      <c r="B1008" t="s">
        <v>1767</v>
      </c>
      <c r="C1008" s="4">
        <v>4.5999999999999996</v>
      </c>
      <c r="D1008" s="4">
        <v>5</v>
      </c>
      <c r="E1008" t="s">
        <v>1768</v>
      </c>
      <c r="F1008" s="4">
        <v>19.123391999999999</v>
      </c>
      <c r="G1008">
        <v>72.913145</v>
      </c>
      <c r="H1008">
        <f t="shared" si="75"/>
        <v>23</v>
      </c>
      <c r="I1008" s="4">
        <f t="shared" si="76"/>
        <v>125</v>
      </c>
      <c r="J1008" s="6">
        <f t="shared" si="77"/>
        <v>450</v>
      </c>
      <c r="K1008" s="6">
        <f t="shared" si="78"/>
        <v>56250</v>
      </c>
      <c r="L1008" s="3" t="str">
        <f t="shared" si="79"/>
        <v>Premium</v>
      </c>
    </row>
    <row r="1009" spans="1:12">
      <c r="A1009" t="s">
        <v>1698</v>
      </c>
      <c r="B1009" t="s">
        <v>626</v>
      </c>
      <c r="C1009" s="4">
        <v>4.0999999999999996</v>
      </c>
      <c r="D1009" s="4">
        <v>259</v>
      </c>
      <c r="E1009" t="s">
        <v>627</v>
      </c>
      <c r="F1009" s="4">
        <v>19.1033051</v>
      </c>
      <c r="G1009">
        <v>72.886342099999993</v>
      </c>
      <c r="H1009">
        <f t="shared" si="75"/>
        <v>1061.8999999999999</v>
      </c>
      <c r="I1009" s="4">
        <f t="shared" si="76"/>
        <v>6475</v>
      </c>
      <c r="J1009" s="6">
        <f t="shared" si="77"/>
        <v>350</v>
      </c>
      <c r="K1009" s="6">
        <f t="shared" si="78"/>
        <v>2266250</v>
      </c>
      <c r="L1009" s="3" t="str">
        <f t="shared" si="79"/>
        <v>Popular</v>
      </c>
    </row>
    <row r="1010" spans="1:12">
      <c r="A1010" t="s">
        <v>1698</v>
      </c>
      <c r="B1010" t="s">
        <v>1769</v>
      </c>
      <c r="C1010" s="4">
        <v>4</v>
      </c>
      <c r="D1010" s="4">
        <v>7739</v>
      </c>
      <c r="E1010" t="s">
        <v>1770</v>
      </c>
      <c r="F1010" s="4">
        <v>19.116298100000002</v>
      </c>
      <c r="G1010">
        <v>72.909161299999994</v>
      </c>
      <c r="H1010">
        <f t="shared" si="75"/>
        <v>30956</v>
      </c>
      <c r="I1010" s="4">
        <f t="shared" si="76"/>
        <v>193475</v>
      </c>
      <c r="J1010" s="6">
        <f t="shared" si="77"/>
        <v>350</v>
      </c>
      <c r="K1010" s="6">
        <f t="shared" si="78"/>
        <v>67716250</v>
      </c>
      <c r="L1010" s="3" t="str">
        <f t="shared" si="79"/>
        <v>Popular</v>
      </c>
    </row>
    <row r="1011" spans="1:12">
      <c r="A1011" t="s">
        <v>1698</v>
      </c>
      <c r="B1011" t="s">
        <v>1771</v>
      </c>
      <c r="C1011" s="4">
        <v>4.4000000000000004</v>
      </c>
      <c r="D1011" s="4">
        <v>1233</v>
      </c>
      <c r="E1011" t="s">
        <v>1772</v>
      </c>
      <c r="F1011" s="4">
        <v>19.116203299999999</v>
      </c>
      <c r="G1011">
        <v>72.909040599999997</v>
      </c>
      <c r="H1011">
        <f t="shared" si="75"/>
        <v>5425.2000000000007</v>
      </c>
      <c r="I1011" s="4">
        <f t="shared" si="76"/>
        <v>30825</v>
      </c>
      <c r="J1011" s="6">
        <f t="shared" si="77"/>
        <v>450</v>
      </c>
      <c r="K1011" s="6">
        <f t="shared" si="78"/>
        <v>13871250</v>
      </c>
      <c r="L1011" s="3" t="str">
        <f t="shared" si="79"/>
        <v>Popular</v>
      </c>
    </row>
    <row r="1012" spans="1:12">
      <c r="A1012" t="s">
        <v>1698</v>
      </c>
      <c r="B1012" t="s">
        <v>974</v>
      </c>
      <c r="C1012" s="4">
        <v>4.5</v>
      </c>
      <c r="D1012" s="4">
        <v>172</v>
      </c>
      <c r="E1012" t="s">
        <v>975</v>
      </c>
      <c r="F1012" s="4">
        <v>19.099660700000001</v>
      </c>
      <c r="G1012">
        <v>72.916021099999995</v>
      </c>
      <c r="H1012">
        <f t="shared" si="75"/>
        <v>774</v>
      </c>
      <c r="I1012" s="4">
        <f t="shared" si="76"/>
        <v>4300</v>
      </c>
      <c r="J1012" s="6">
        <f t="shared" si="77"/>
        <v>450</v>
      </c>
      <c r="K1012" s="6">
        <f t="shared" si="78"/>
        <v>1935000</v>
      </c>
      <c r="L1012" s="3" t="str">
        <f t="shared" si="79"/>
        <v>Premium</v>
      </c>
    </row>
    <row r="1013" spans="1:12">
      <c r="A1013" t="s">
        <v>1698</v>
      </c>
      <c r="B1013" t="s">
        <v>1773</v>
      </c>
      <c r="C1013" s="4">
        <v>4.2</v>
      </c>
      <c r="D1013" s="4">
        <v>168</v>
      </c>
      <c r="E1013" t="s">
        <v>1774</v>
      </c>
      <c r="F1013" s="4">
        <v>19.115239299999999</v>
      </c>
      <c r="G1013">
        <v>72.901121799999999</v>
      </c>
      <c r="H1013">
        <f t="shared" si="75"/>
        <v>705.6</v>
      </c>
      <c r="I1013" s="4">
        <f t="shared" si="76"/>
        <v>4200</v>
      </c>
      <c r="J1013" s="6">
        <f t="shared" si="77"/>
        <v>350</v>
      </c>
      <c r="K1013" s="6">
        <f t="shared" si="78"/>
        <v>1470000</v>
      </c>
      <c r="L1013" s="3" t="str">
        <f t="shared" si="79"/>
        <v>Popular</v>
      </c>
    </row>
    <row r="1014" spans="1:12">
      <c r="A1014" t="s">
        <v>1698</v>
      </c>
      <c r="B1014" t="s">
        <v>1775</v>
      </c>
      <c r="C1014" s="4">
        <v>4.3</v>
      </c>
      <c r="D1014" s="4">
        <v>4724</v>
      </c>
      <c r="E1014" t="s">
        <v>1776</v>
      </c>
      <c r="F1014" s="4">
        <v>19.123325300000001</v>
      </c>
      <c r="G1014">
        <v>72.913108800000003</v>
      </c>
      <c r="H1014">
        <f t="shared" si="75"/>
        <v>20313.2</v>
      </c>
      <c r="I1014" s="4">
        <f t="shared" si="76"/>
        <v>118100</v>
      </c>
      <c r="J1014" s="6">
        <f t="shared" si="77"/>
        <v>350</v>
      </c>
      <c r="K1014" s="6">
        <f t="shared" si="78"/>
        <v>41335000</v>
      </c>
      <c r="L1014" s="3" t="str">
        <f t="shared" si="79"/>
        <v>Popular</v>
      </c>
    </row>
    <row r="1015" spans="1:12">
      <c r="A1015" t="s">
        <v>1698</v>
      </c>
      <c r="B1015" t="s">
        <v>1777</v>
      </c>
      <c r="C1015" s="4">
        <v>3.4</v>
      </c>
      <c r="D1015" s="4">
        <v>39</v>
      </c>
      <c r="E1015" t="s">
        <v>1778</v>
      </c>
      <c r="F1015" s="4">
        <v>19.134477799999999</v>
      </c>
      <c r="G1015">
        <v>72.910039400000002</v>
      </c>
      <c r="H1015">
        <f t="shared" si="75"/>
        <v>132.6</v>
      </c>
      <c r="I1015" s="4">
        <f t="shared" si="76"/>
        <v>975</v>
      </c>
      <c r="J1015" s="6">
        <f t="shared" si="77"/>
        <v>350</v>
      </c>
      <c r="K1015" s="6">
        <f t="shared" si="78"/>
        <v>341250</v>
      </c>
      <c r="L1015" s="3" t="str">
        <f t="shared" si="79"/>
        <v>Average</v>
      </c>
    </row>
    <row r="1016" spans="1:12">
      <c r="A1016" t="s">
        <v>1698</v>
      </c>
      <c r="B1016" t="s">
        <v>1779</v>
      </c>
      <c r="C1016" s="4">
        <v>3.5</v>
      </c>
      <c r="D1016" s="4">
        <v>61</v>
      </c>
      <c r="E1016" t="s">
        <v>1780</v>
      </c>
      <c r="F1016" s="4">
        <v>19.099816300000001</v>
      </c>
      <c r="G1016">
        <v>72.8891074</v>
      </c>
      <c r="H1016">
        <f t="shared" si="75"/>
        <v>213.5</v>
      </c>
      <c r="I1016" s="4">
        <f t="shared" si="76"/>
        <v>1525</v>
      </c>
      <c r="J1016" s="6">
        <f t="shared" si="77"/>
        <v>350</v>
      </c>
      <c r="K1016" s="6">
        <f t="shared" si="78"/>
        <v>533750</v>
      </c>
      <c r="L1016" s="3" t="str">
        <f t="shared" si="79"/>
        <v>Average</v>
      </c>
    </row>
    <row r="1017" spans="1:12">
      <c r="A1017" t="s">
        <v>1698</v>
      </c>
      <c r="B1017" t="s">
        <v>1781</v>
      </c>
      <c r="C1017" s="4">
        <v>4.2</v>
      </c>
      <c r="D1017" s="4">
        <v>539</v>
      </c>
      <c r="E1017" t="s">
        <v>1782</v>
      </c>
      <c r="F1017" s="4">
        <v>19.1184598</v>
      </c>
      <c r="G1017">
        <v>72.911565199999998</v>
      </c>
      <c r="H1017">
        <f t="shared" si="75"/>
        <v>2263.8000000000002</v>
      </c>
      <c r="I1017" s="4">
        <f t="shared" si="76"/>
        <v>13475</v>
      </c>
      <c r="J1017" s="6">
        <f t="shared" si="77"/>
        <v>350</v>
      </c>
      <c r="K1017" s="6">
        <f t="shared" si="78"/>
        <v>4716250</v>
      </c>
      <c r="L1017" s="3" t="str">
        <f t="shared" si="79"/>
        <v>Popular</v>
      </c>
    </row>
    <row r="1018" spans="1:12">
      <c r="A1018" t="s">
        <v>1698</v>
      </c>
      <c r="B1018" t="s">
        <v>1783</v>
      </c>
      <c r="C1018" s="4">
        <v>4.5</v>
      </c>
      <c r="D1018" s="4">
        <v>156</v>
      </c>
      <c r="E1018" t="s">
        <v>1784</v>
      </c>
      <c r="F1018" s="4">
        <v>19.119612100000001</v>
      </c>
      <c r="G1018">
        <v>72.901198600000001</v>
      </c>
      <c r="H1018">
        <f t="shared" si="75"/>
        <v>702</v>
      </c>
      <c r="I1018" s="4">
        <f t="shared" si="76"/>
        <v>3900</v>
      </c>
      <c r="J1018" s="6">
        <f t="shared" si="77"/>
        <v>450</v>
      </c>
      <c r="K1018" s="6">
        <f t="shared" si="78"/>
        <v>1755000</v>
      </c>
      <c r="L1018" s="3" t="str">
        <f t="shared" si="79"/>
        <v>Premium</v>
      </c>
    </row>
    <row r="1019" spans="1:12">
      <c r="A1019" t="s">
        <v>1698</v>
      </c>
      <c r="B1019" t="s">
        <v>1785</v>
      </c>
      <c r="C1019" s="4">
        <v>4.2</v>
      </c>
      <c r="D1019" s="4">
        <v>75</v>
      </c>
      <c r="E1019" t="s">
        <v>1786</v>
      </c>
      <c r="F1019" s="4">
        <v>19.120491399999999</v>
      </c>
      <c r="G1019">
        <v>72.909051300000002</v>
      </c>
      <c r="H1019">
        <f t="shared" si="75"/>
        <v>315</v>
      </c>
      <c r="I1019" s="4">
        <f t="shared" si="76"/>
        <v>1875</v>
      </c>
      <c r="J1019" s="6">
        <f t="shared" si="77"/>
        <v>350</v>
      </c>
      <c r="K1019" s="6">
        <f t="shared" si="78"/>
        <v>656250</v>
      </c>
      <c r="L1019" s="3" t="str">
        <f t="shared" si="79"/>
        <v>Popular</v>
      </c>
    </row>
    <row r="1020" spans="1:12">
      <c r="A1020" t="s">
        <v>1698</v>
      </c>
      <c r="B1020" t="s">
        <v>1787</v>
      </c>
      <c r="C1020" s="4">
        <v>4.9000000000000004</v>
      </c>
      <c r="D1020" s="4">
        <v>18</v>
      </c>
      <c r="E1020" t="s">
        <v>1788</v>
      </c>
      <c r="F1020" s="4">
        <v>19.130307200000001</v>
      </c>
      <c r="G1020">
        <v>72.918111099999905</v>
      </c>
      <c r="H1020">
        <f t="shared" si="75"/>
        <v>88.2</v>
      </c>
      <c r="I1020" s="4">
        <f t="shared" si="76"/>
        <v>450</v>
      </c>
      <c r="J1020" s="6">
        <f t="shared" si="77"/>
        <v>550</v>
      </c>
      <c r="K1020" s="6">
        <f t="shared" si="78"/>
        <v>247500</v>
      </c>
      <c r="L1020" s="3" t="str">
        <f t="shared" si="79"/>
        <v>Premium</v>
      </c>
    </row>
    <row r="1021" spans="1:12">
      <c r="A1021" t="s">
        <v>1698</v>
      </c>
      <c r="B1021" t="s">
        <v>1789</v>
      </c>
      <c r="C1021" s="4">
        <v>4.3</v>
      </c>
      <c r="D1021" s="4">
        <v>1671</v>
      </c>
      <c r="E1021" t="s">
        <v>1790</v>
      </c>
      <c r="F1021" s="4">
        <v>19.111243099999999</v>
      </c>
      <c r="G1021">
        <v>72.908766900000003</v>
      </c>
      <c r="H1021">
        <f t="shared" si="75"/>
        <v>7185.2999999999993</v>
      </c>
      <c r="I1021" s="4">
        <f t="shared" si="76"/>
        <v>41775</v>
      </c>
      <c r="J1021" s="6">
        <f t="shared" si="77"/>
        <v>350</v>
      </c>
      <c r="K1021" s="6">
        <f t="shared" si="78"/>
        <v>14621250</v>
      </c>
      <c r="L1021" s="3" t="str">
        <f t="shared" si="79"/>
        <v>Popular</v>
      </c>
    </row>
    <row r="1022" spans="1:12">
      <c r="A1022" t="s">
        <v>1791</v>
      </c>
      <c r="B1022" t="s">
        <v>1035</v>
      </c>
      <c r="C1022" s="4">
        <v>4.4000000000000004</v>
      </c>
      <c r="D1022" s="4">
        <v>3152</v>
      </c>
      <c r="E1022" t="s">
        <v>1036</v>
      </c>
      <c r="F1022" s="4">
        <v>19.061594199999998</v>
      </c>
      <c r="G1022">
        <v>72.899740999999906</v>
      </c>
      <c r="H1022">
        <f t="shared" si="75"/>
        <v>13868.800000000001</v>
      </c>
      <c r="I1022" s="4">
        <f t="shared" si="76"/>
        <v>78800</v>
      </c>
      <c r="J1022" s="6">
        <f t="shared" si="77"/>
        <v>450</v>
      </c>
      <c r="K1022" s="6">
        <f t="shared" si="78"/>
        <v>35460000</v>
      </c>
      <c r="L1022" s="3" t="str">
        <f t="shared" si="79"/>
        <v>Popular</v>
      </c>
    </row>
    <row r="1023" spans="1:12">
      <c r="A1023" t="s">
        <v>1791</v>
      </c>
      <c r="B1023" t="s">
        <v>1792</v>
      </c>
      <c r="C1023" s="4">
        <v>4.2</v>
      </c>
      <c r="D1023" s="4">
        <v>10165</v>
      </c>
      <c r="E1023" t="s">
        <v>1793</v>
      </c>
      <c r="F1023" s="4">
        <v>19.053038000000001</v>
      </c>
      <c r="G1023">
        <v>72.897680999999906</v>
      </c>
      <c r="H1023">
        <f t="shared" si="75"/>
        <v>42693</v>
      </c>
      <c r="I1023" s="4">
        <f t="shared" si="76"/>
        <v>254125</v>
      </c>
      <c r="J1023" s="6">
        <f t="shared" si="77"/>
        <v>350</v>
      </c>
      <c r="K1023" s="6">
        <f t="shared" si="78"/>
        <v>88943750</v>
      </c>
      <c r="L1023" s="3" t="str">
        <f t="shared" si="79"/>
        <v>Popular</v>
      </c>
    </row>
    <row r="1024" spans="1:12">
      <c r="A1024" t="s">
        <v>1791</v>
      </c>
      <c r="B1024" t="s">
        <v>1794</v>
      </c>
      <c r="C1024" s="4">
        <v>4.2</v>
      </c>
      <c r="D1024" s="4">
        <v>1460</v>
      </c>
      <c r="E1024" t="s">
        <v>1795</v>
      </c>
      <c r="F1024" s="4">
        <v>19.047415300000001</v>
      </c>
      <c r="G1024">
        <v>72.906936700000003</v>
      </c>
      <c r="H1024">
        <f t="shared" si="75"/>
        <v>6132</v>
      </c>
      <c r="I1024" s="4">
        <f t="shared" si="76"/>
        <v>36500</v>
      </c>
      <c r="J1024" s="6">
        <f t="shared" si="77"/>
        <v>350</v>
      </c>
      <c r="K1024" s="6">
        <f t="shared" si="78"/>
        <v>12775000</v>
      </c>
      <c r="L1024" s="3" t="str">
        <f t="shared" si="79"/>
        <v>Popular</v>
      </c>
    </row>
    <row r="1025" spans="1:12">
      <c r="A1025" t="s">
        <v>1791</v>
      </c>
      <c r="B1025" t="s">
        <v>1796</v>
      </c>
      <c r="C1025" s="4">
        <v>4.3</v>
      </c>
      <c r="D1025" s="4">
        <v>346</v>
      </c>
      <c r="E1025" t="s">
        <v>1797</v>
      </c>
      <c r="F1025" s="4">
        <v>19.046987099999999</v>
      </c>
      <c r="G1025">
        <v>72.910994399999893</v>
      </c>
      <c r="H1025">
        <f t="shared" si="75"/>
        <v>1487.8</v>
      </c>
      <c r="I1025" s="4">
        <f t="shared" si="76"/>
        <v>8650</v>
      </c>
      <c r="J1025" s="6">
        <f t="shared" si="77"/>
        <v>350</v>
      </c>
      <c r="K1025" s="6">
        <f t="shared" si="78"/>
        <v>3027500</v>
      </c>
      <c r="L1025" s="3" t="str">
        <f t="shared" si="79"/>
        <v>Popular</v>
      </c>
    </row>
    <row r="1026" spans="1:12">
      <c r="A1026" t="s">
        <v>1791</v>
      </c>
      <c r="B1026" t="s">
        <v>1798</v>
      </c>
      <c r="C1026" s="4">
        <v>4.9000000000000004</v>
      </c>
      <c r="D1026" s="4">
        <v>130</v>
      </c>
      <c r="E1026" t="s">
        <v>1799</v>
      </c>
      <c r="F1026" s="4">
        <v>19.041826799999999</v>
      </c>
      <c r="G1026">
        <v>72.8938323</v>
      </c>
      <c r="H1026">
        <f t="shared" ref="H1026:H1089" si="80">C1026*D1026</f>
        <v>637</v>
      </c>
      <c r="I1026" s="4">
        <f t="shared" ref="I1026:I1089" si="81">D1026*25</f>
        <v>3250</v>
      </c>
      <c r="J1026" s="6">
        <f t="shared" ref="J1026:J1089" si="82">IF(C1026&gt;=4.7,550,IF(C1026&gt;=4.4,450,IF(C1026&gt;=O1028,350,250)))</f>
        <v>550</v>
      </c>
      <c r="K1026" s="6">
        <f t="shared" ref="K1026:K1089" si="83">I1026*J1026</f>
        <v>1787500</v>
      </c>
      <c r="L1026" s="3" t="str">
        <f t="shared" ref="L1026:L1089" si="84">IF(C1026&gt;=4.5,"Premium",IF(C1026&gt;=4,"Popular","Average"))</f>
        <v>Premium</v>
      </c>
    </row>
    <row r="1027" spans="1:12">
      <c r="A1027" t="s">
        <v>1791</v>
      </c>
      <c r="B1027" t="s">
        <v>1800</v>
      </c>
      <c r="C1027" s="4">
        <v>4</v>
      </c>
      <c r="D1027" s="4">
        <v>453</v>
      </c>
      <c r="E1027" t="s">
        <v>1801</v>
      </c>
      <c r="F1027" s="4">
        <v>19.0455665</v>
      </c>
      <c r="G1027">
        <v>72.903101399999997</v>
      </c>
      <c r="H1027">
        <f t="shared" si="80"/>
        <v>1812</v>
      </c>
      <c r="I1027" s="4">
        <f t="shared" si="81"/>
        <v>11325</v>
      </c>
      <c r="J1027" s="6">
        <f t="shared" si="82"/>
        <v>350</v>
      </c>
      <c r="K1027" s="6">
        <f t="shared" si="83"/>
        <v>3963750</v>
      </c>
      <c r="L1027" s="3" t="str">
        <f t="shared" si="84"/>
        <v>Popular</v>
      </c>
    </row>
    <row r="1028" spans="1:12">
      <c r="A1028" t="s">
        <v>1791</v>
      </c>
      <c r="B1028" t="s">
        <v>1802</v>
      </c>
      <c r="C1028" s="4">
        <v>4.4000000000000004</v>
      </c>
      <c r="D1028" s="4">
        <v>29</v>
      </c>
      <c r="E1028" t="s">
        <v>1803</v>
      </c>
      <c r="F1028" s="4">
        <v>19.0603613</v>
      </c>
      <c r="G1028">
        <v>72.898915399999893</v>
      </c>
      <c r="H1028">
        <f t="shared" si="80"/>
        <v>127.60000000000001</v>
      </c>
      <c r="I1028" s="4">
        <f t="shared" si="81"/>
        <v>725</v>
      </c>
      <c r="J1028" s="6">
        <f t="shared" si="82"/>
        <v>450</v>
      </c>
      <c r="K1028" s="6">
        <f t="shared" si="83"/>
        <v>326250</v>
      </c>
      <c r="L1028" s="3" t="str">
        <f t="shared" si="84"/>
        <v>Popular</v>
      </c>
    </row>
    <row r="1029" spans="1:12">
      <c r="A1029" t="s">
        <v>1791</v>
      </c>
      <c r="B1029" t="s">
        <v>1804</v>
      </c>
      <c r="C1029" s="4">
        <v>4.2</v>
      </c>
      <c r="D1029" s="4">
        <v>664</v>
      </c>
      <c r="E1029" t="s">
        <v>1805</v>
      </c>
      <c r="F1029" s="4">
        <v>19.051201800000001</v>
      </c>
      <c r="G1029">
        <v>72.918116299999994</v>
      </c>
      <c r="H1029">
        <f t="shared" si="80"/>
        <v>2788.8</v>
      </c>
      <c r="I1029" s="4">
        <f t="shared" si="81"/>
        <v>16600</v>
      </c>
      <c r="J1029" s="6">
        <f t="shared" si="82"/>
        <v>350</v>
      </c>
      <c r="K1029" s="6">
        <f t="shared" si="83"/>
        <v>5810000</v>
      </c>
      <c r="L1029" s="3" t="str">
        <f t="shared" si="84"/>
        <v>Popular</v>
      </c>
    </row>
    <row r="1030" spans="1:12">
      <c r="A1030" t="s">
        <v>1791</v>
      </c>
      <c r="B1030" t="s">
        <v>1806</v>
      </c>
      <c r="C1030" s="4">
        <v>4.5999999999999996</v>
      </c>
      <c r="D1030" s="4">
        <v>101</v>
      </c>
      <c r="E1030" t="s">
        <v>1807</v>
      </c>
      <c r="F1030" s="4">
        <v>19.059688399999999</v>
      </c>
      <c r="G1030">
        <v>72.898968400000001</v>
      </c>
      <c r="H1030">
        <f t="shared" si="80"/>
        <v>464.59999999999997</v>
      </c>
      <c r="I1030" s="4">
        <f t="shared" si="81"/>
        <v>2525</v>
      </c>
      <c r="J1030" s="6">
        <f t="shared" si="82"/>
        <v>450</v>
      </c>
      <c r="K1030" s="6">
        <f t="shared" si="83"/>
        <v>1136250</v>
      </c>
      <c r="L1030" s="3" t="str">
        <f t="shared" si="84"/>
        <v>Premium</v>
      </c>
    </row>
    <row r="1031" spans="1:12">
      <c r="A1031" t="s">
        <v>1791</v>
      </c>
      <c r="B1031" t="s">
        <v>862</v>
      </c>
      <c r="C1031" s="4">
        <v>4.5</v>
      </c>
      <c r="D1031" s="4">
        <v>2253</v>
      </c>
      <c r="E1031" t="s">
        <v>863</v>
      </c>
      <c r="F1031" s="4">
        <v>19.070120500000002</v>
      </c>
      <c r="G1031">
        <v>72.8975121</v>
      </c>
      <c r="H1031">
        <f t="shared" si="80"/>
        <v>10138.5</v>
      </c>
      <c r="I1031" s="4">
        <f t="shared" si="81"/>
        <v>56325</v>
      </c>
      <c r="J1031" s="6">
        <f t="shared" si="82"/>
        <v>450</v>
      </c>
      <c r="K1031" s="6">
        <f t="shared" si="83"/>
        <v>25346250</v>
      </c>
      <c r="L1031" s="3" t="str">
        <f t="shared" si="84"/>
        <v>Premium</v>
      </c>
    </row>
    <row r="1032" spans="1:12">
      <c r="A1032" t="s">
        <v>1791</v>
      </c>
      <c r="B1032" t="s">
        <v>1808</v>
      </c>
      <c r="C1032" s="4">
        <v>4.2</v>
      </c>
      <c r="D1032" s="4">
        <v>46</v>
      </c>
      <c r="E1032" t="s">
        <v>1809</v>
      </c>
      <c r="F1032" s="4">
        <v>19.048492</v>
      </c>
      <c r="G1032">
        <v>72.893210999999994</v>
      </c>
      <c r="H1032">
        <f t="shared" si="80"/>
        <v>193.20000000000002</v>
      </c>
      <c r="I1032" s="4">
        <f t="shared" si="81"/>
        <v>1150</v>
      </c>
      <c r="J1032" s="6">
        <f t="shared" si="82"/>
        <v>350</v>
      </c>
      <c r="K1032" s="6">
        <f t="shared" si="83"/>
        <v>402500</v>
      </c>
      <c r="L1032" s="3" t="str">
        <f t="shared" si="84"/>
        <v>Popular</v>
      </c>
    </row>
    <row r="1033" spans="1:12">
      <c r="A1033" t="s">
        <v>1791</v>
      </c>
      <c r="B1033" t="s">
        <v>851</v>
      </c>
      <c r="C1033" s="4">
        <v>4.9000000000000004</v>
      </c>
      <c r="D1033" s="4">
        <v>94</v>
      </c>
      <c r="E1033" t="s">
        <v>852</v>
      </c>
      <c r="F1033" s="4">
        <v>19.070182599999999</v>
      </c>
      <c r="G1033">
        <v>72.898175600000002</v>
      </c>
      <c r="H1033">
        <f t="shared" si="80"/>
        <v>460.6</v>
      </c>
      <c r="I1033" s="4">
        <f t="shared" si="81"/>
        <v>2350</v>
      </c>
      <c r="J1033" s="6">
        <f t="shared" si="82"/>
        <v>550</v>
      </c>
      <c r="K1033" s="6">
        <f t="shared" si="83"/>
        <v>1292500</v>
      </c>
      <c r="L1033" s="3" t="str">
        <f t="shared" si="84"/>
        <v>Premium</v>
      </c>
    </row>
    <row r="1034" spans="1:12">
      <c r="A1034" t="s">
        <v>1791</v>
      </c>
      <c r="B1034" t="s">
        <v>1810</v>
      </c>
      <c r="C1034" s="4">
        <v>4.7</v>
      </c>
      <c r="D1034" s="4">
        <v>175</v>
      </c>
      <c r="E1034" t="s">
        <v>1811</v>
      </c>
      <c r="F1034" s="4">
        <v>19.0444645</v>
      </c>
      <c r="G1034">
        <v>72.917659899999904</v>
      </c>
      <c r="H1034">
        <f t="shared" si="80"/>
        <v>822.5</v>
      </c>
      <c r="I1034" s="4">
        <f t="shared" si="81"/>
        <v>4375</v>
      </c>
      <c r="J1034" s="6">
        <f t="shared" si="82"/>
        <v>550</v>
      </c>
      <c r="K1034" s="6">
        <f t="shared" si="83"/>
        <v>2406250</v>
      </c>
      <c r="L1034" s="3" t="str">
        <f t="shared" si="84"/>
        <v>Premium</v>
      </c>
    </row>
    <row r="1035" spans="1:12">
      <c r="A1035" t="s">
        <v>1791</v>
      </c>
      <c r="B1035" t="s">
        <v>48</v>
      </c>
      <c r="C1035" s="4">
        <v>4.5</v>
      </c>
      <c r="D1035" s="4">
        <v>644</v>
      </c>
      <c r="E1035" t="s">
        <v>1812</v>
      </c>
      <c r="F1035" s="4">
        <v>19.056580700000001</v>
      </c>
      <c r="G1035">
        <v>72.897811199999893</v>
      </c>
      <c r="H1035">
        <f t="shared" si="80"/>
        <v>2898</v>
      </c>
      <c r="I1035" s="4">
        <f t="shared" si="81"/>
        <v>16100</v>
      </c>
      <c r="J1035" s="6">
        <f t="shared" si="82"/>
        <v>450</v>
      </c>
      <c r="K1035" s="6">
        <f t="shared" si="83"/>
        <v>7245000</v>
      </c>
      <c r="L1035" s="3" t="str">
        <f t="shared" si="84"/>
        <v>Premium</v>
      </c>
    </row>
    <row r="1036" spans="1:12">
      <c r="A1036" t="s">
        <v>1791</v>
      </c>
      <c r="B1036" t="s">
        <v>1039</v>
      </c>
      <c r="C1036" s="4">
        <v>4.5999999999999996</v>
      </c>
      <c r="D1036" s="4">
        <v>504</v>
      </c>
      <c r="E1036" t="s">
        <v>1040</v>
      </c>
      <c r="F1036" s="4">
        <v>19.069397200000001</v>
      </c>
      <c r="G1036">
        <v>72.896929599999893</v>
      </c>
      <c r="H1036">
        <f t="shared" si="80"/>
        <v>2318.3999999999996</v>
      </c>
      <c r="I1036" s="4">
        <f t="shared" si="81"/>
        <v>12600</v>
      </c>
      <c r="J1036" s="6">
        <f t="shared" si="82"/>
        <v>450</v>
      </c>
      <c r="K1036" s="6">
        <f t="shared" si="83"/>
        <v>5670000</v>
      </c>
      <c r="L1036" s="3" t="str">
        <f t="shared" si="84"/>
        <v>Premium</v>
      </c>
    </row>
    <row r="1037" spans="1:12">
      <c r="A1037" t="s">
        <v>1791</v>
      </c>
      <c r="B1037" t="s">
        <v>931</v>
      </c>
      <c r="C1037" s="4">
        <v>4.2</v>
      </c>
      <c r="D1037" s="4">
        <v>66</v>
      </c>
      <c r="E1037" t="s">
        <v>932</v>
      </c>
      <c r="F1037" s="4">
        <v>19.0612198</v>
      </c>
      <c r="G1037">
        <v>72.899378299999995</v>
      </c>
      <c r="H1037">
        <f t="shared" si="80"/>
        <v>277.2</v>
      </c>
      <c r="I1037" s="4">
        <f t="shared" si="81"/>
        <v>1650</v>
      </c>
      <c r="J1037" s="6">
        <f t="shared" si="82"/>
        <v>350</v>
      </c>
      <c r="K1037" s="6">
        <f t="shared" si="83"/>
        <v>577500</v>
      </c>
      <c r="L1037" s="3" t="str">
        <f t="shared" si="84"/>
        <v>Popular</v>
      </c>
    </row>
    <row r="1038" spans="1:12">
      <c r="A1038" t="s">
        <v>1791</v>
      </c>
      <c r="B1038" t="s">
        <v>1813</v>
      </c>
      <c r="C1038" s="4">
        <v>4.0999999999999996</v>
      </c>
      <c r="D1038" s="4">
        <v>1338</v>
      </c>
      <c r="E1038" t="s">
        <v>1814</v>
      </c>
      <c r="F1038" s="4">
        <v>19.052778</v>
      </c>
      <c r="G1038">
        <v>72.899598099999906</v>
      </c>
      <c r="H1038">
        <f t="shared" si="80"/>
        <v>5485.7999999999993</v>
      </c>
      <c r="I1038" s="4">
        <f t="shared" si="81"/>
        <v>33450</v>
      </c>
      <c r="J1038" s="6">
        <f t="shared" si="82"/>
        <v>350</v>
      </c>
      <c r="K1038" s="6">
        <f t="shared" si="83"/>
        <v>11707500</v>
      </c>
      <c r="L1038" s="3" t="str">
        <f t="shared" si="84"/>
        <v>Popular</v>
      </c>
    </row>
    <row r="1039" spans="1:12">
      <c r="A1039" t="s">
        <v>1791</v>
      </c>
      <c r="B1039" t="s">
        <v>1815</v>
      </c>
      <c r="C1039" s="4">
        <v>4.0999999999999996</v>
      </c>
      <c r="D1039" s="4">
        <v>2057</v>
      </c>
      <c r="E1039" t="s">
        <v>1816</v>
      </c>
      <c r="F1039" s="4">
        <v>19.046042400000001</v>
      </c>
      <c r="G1039">
        <v>72.908238400000002</v>
      </c>
      <c r="H1039">
        <f t="shared" si="80"/>
        <v>8433.6999999999989</v>
      </c>
      <c r="I1039" s="4">
        <f t="shared" si="81"/>
        <v>51425</v>
      </c>
      <c r="J1039" s="6">
        <f t="shared" si="82"/>
        <v>350</v>
      </c>
      <c r="K1039" s="6">
        <f t="shared" si="83"/>
        <v>17998750</v>
      </c>
      <c r="L1039" s="3" t="str">
        <f t="shared" si="84"/>
        <v>Popular</v>
      </c>
    </row>
    <row r="1040" spans="1:12">
      <c r="A1040" t="s">
        <v>1791</v>
      </c>
      <c r="B1040" t="s">
        <v>1817</v>
      </c>
      <c r="C1040" s="4">
        <v>4.9000000000000004</v>
      </c>
      <c r="D1040" s="4">
        <v>72</v>
      </c>
      <c r="E1040" t="s">
        <v>1818</v>
      </c>
      <c r="F1040" s="4">
        <v>19.051893</v>
      </c>
      <c r="G1040">
        <v>72.889983399999906</v>
      </c>
      <c r="H1040">
        <f t="shared" si="80"/>
        <v>352.8</v>
      </c>
      <c r="I1040" s="4">
        <f t="shared" si="81"/>
        <v>1800</v>
      </c>
      <c r="J1040" s="6">
        <f t="shared" si="82"/>
        <v>550</v>
      </c>
      <c r="K1040" s="6">
        <f t="shared" si="83"/>
        <v>990000</v>
      </c>
      <c r="L1040" s="3" t="str">
        <f t="shared" si="84"/>
        <v>Premium</v>
      </c>
    </row>
    <row r="1041" spans="1:12">
      <c r="A1041" t="s">
        <v>1791</v>
      </c>
      <c r="B1041" t="s">
        <v>190</v>
      </c>
      <c r="C1041" s="4">
        <v>4.2</v>
      </c>
      <c r="D1041" s="4">
        <v>278</v>
      </c>
      <c r="E1041" t="s">
        <v>1819</v>
      </c>
      <c r="F1041" s="4">
        <v>19.051459099999999</v>
      </c>
      <c r="G1041">
        <v>72.9020431</v>
      </c>
      <c r="H1041">
        <f t="shared" si="80"/>
        <v>1167.6000000000001</v>
      </c>
      <c r="I1041" s="4">
        <f t="shared" si="81"/>
        <v>6950</v>
      </c>
      <c r="J1041" s="6">
        <f t="shared" si="82"/>
        <v>350</v>
      </c>
      <c r="K1041" s="6">
        <f t="shared" si="83"/>
        <v>2432500</v>
      </c>
      <c r="L1041" s="3" t="str">
        <f t="shared" si="84"/>
        <v>Popular</v>
      </c>
    </row>
    <row r="1042" spans="1:12">
      <c r="A1042" t="s">
        <v>1791</v>
      </c>
      <c r="B1042" t="s">
        <v>1820</v>
      </c>
      <c r="C1042" s="4">
        <v>4.7</v>
      </c>
      <c r="D1042" s="4">
        <v>175</v>
      </c>
      <c r="E1042" t="s">
        <v>1821</v>
      </c>
      <c r="F1042" s="4">
        <v>19.0701863</v>
      </c>
      <c r="G1042">
        <v>72.898086500000005</v>
      </c>
      <c r="H1042">
        <f t="shared" si="80"/>
        <v>822.5</v>
      </c>
      <c r="I1042" s="4">
        <f t="shared" si="81"/>
        <v>4375</v>
      </c>
      <c r="J1042" s="6">
        <f t="shared" si="82"/>
        <v>550</v>
      </c>
      <c r="K1042" s="6">
        <f t="shared" si="83"/>
        <v>2406250</v>
      </c>
      <c r="L1042" s="3" t="str">
        <f t="shared" si="84"/>
        <v>Premium</v>
      </c>
    </row>
    <row r="1043" spans="1:12">
      <c r="A1043" t="s">
        <v>1791</v>
      </c>
      <c r="B1043" t="s">
        <v>254</v>
      </c>
      <c r="C1043" s="4">
        <v>4</v>
      </c>
      <c r="D1043" s="4">
        <v>1417</v>
      </c>
      <c r="E1043" t="s">
        <v>1822</v>
      </c>
      <c r="F1043" s="4">
        <v>19.051912699999999</v>
      </c>
      <c r="G1043">
        <v>72.900778399999993</v>
      </c>
      <c r="H1043">
        <f t="shared" si="80"/>
        <v>5668</v>
      </c>
      <c r="I1043" s="4">
        <f t="shared" si="81"/>
        <v>35425</v>
      </c>
      <c r="J1043" s="6">
        <f t="shared" si="82"/>
        <v>350</v>
      </c>
      <c r="K1043" s="6">
        <f t="shared" si="83"/>
        <v>12398750</v>
      </c>
      <c r="L1043" s="3" t="str">
        <f t="shared" si="84"/>
        <v>Popular</v>
      </c>
    </row>
    <row r="1044" spans="1:12">
      <c r="A1044" t="s">
        <v>1791</v>
      </c>
      <c r="B1044" t="s">
        <v>1823</v>
      </c>
      <c r="C1044" s="4">
        <v>4.2</v>
      </c>
      <c r="D1044" s="4">
        <v>413</v>
      </c>
      <c r="E1044" t="s">
        <v>1824</v>
      </c>
      <c r="F1044" s="4">
        <v>19.0614822</v>
      </c>
      <c r="G1044">
        <v>72.900430099999994</v>
      </c>
      <c r="H1044">
        <f t="shared" si="80"/>
        <v>1734.6000000000001</v>
      </c>
      <c r="I1044" s="4">
        <f t="shared" si="81"/>
        <v>10325</v>
      </c>
      <c r="J1044" s="6">
        <f t="shared" si="82"/>
        <v>350</v>
      </c>
      <c r="K1044" s="6">
        <f t="shared" si="83"/>
        <v>3613750</v>
      </c>
      <c r="L1044" s="3" t="str">
        <f t="shared" si="84"/>
        <v>Popular</v>
      </c>
    </row>
    <row r="1045" spans="1:12">
      <c r="A1045" t="s">
        <v>1791</v>
      </c>
      <c r="B1045" t="s">
        <v>1825</v>
      </c>
      <c r="C1045" s="4">
        <v>4.5999999999999996</v>
      </c>
      <c r="D1045" s="4">
        <v>121</v>
      </c>
      <c r="E1045" t="s">
        <v>1826</v>
      </c>
      <c r="F1045" s="4">
        <v>19.0693093</v>
      </c>
      <c r="G1045">
        <v>72.899453299999905</v>
      </c>
      <c r="H1045">
        <f t="shared" si="80"/>
        <v>556.59999999999991</v>
      </c>
      <c r="I1045" s="4">
        <f t="shared" si="81"/>
        <v>3025</v>
      </c>
      <c r="J1045" s="6">
        <f t="shared" si="82"/>
        <v>450</v>
      </c>
      <c r="K1045" s="6">
        <f t="shared" si="83"/>
        <v>1361250</v>
      </c>
      <c r="L1045" s="3" t="str">
        <f t="shared" si="84"/>
        <v>Premium</v>
      </c>
    </row>
    <row r="1046" spans="1:12">
      <c r="A1046" t="s">
        <v>1791</v>
      </c>
      <c r="B1046" t="s">
        <v>288</v>
      </c>
      <c r="C1046" s="4">
        <v>4.3</v>
      </c>
      <c r="D1046" s="4">
        <v>1225</v>
      </c>
      <c r="E1046" t="s">
        <v>1827</v>
      </c>
      <c r="F1046" s="4">
        <v>19.061724099999999</v>
      </c>
      <c r="G1046">
        <v>72.898037199999905</v>
      </c>
      <c r="H1046">
        <f t="shared" si="80"/>
        <v>5267.5</v>
      </c>
      <c r="I1046" s="4">
        <f t="shared" si="81"/>
        <v>30625</v>
      </c>
      <c r="J1046" s="6">
        <f t="shared" si="82"/>
        <v>350</v>
      </c>
      <c r="K1046" s="6">
        <f t="shared" si="83"/>
        <v>10718750</v>
      </c>
      <c r="L1046" s="3" t="str">
        <f t="shared" si="84"/>
        <v>Popular</v>
      </c>
    </row>
    <row r="1047" spans="1:12">
      <c r="A1047" t="s">
        <v>1791</v>
      </c>
      <c r="B1047" t="s">
        <v>1828</v>
      </c>
      <c r="C1047" s="4">
        <v>4.7</v>
      </c>
      <c r="D1047" s="4">
        <v>251</v>
      </c>
      <c r="E1047" t="s">
        <v>1829</v>
      </c>
      <c r="F1047" s="4">
        <v>19.051871800000001</v>
      </c>
      <c r="G1047">
        <v>72.901080499999907</v>
      </c>
      <c r="H1047">
        <f t="shared" si="80"/>
        <v>1179.7</v>
      </c>
      <c r="I1047" s="4">
        <f t="shared" si="81"/>
        <v>6275</v>
      </c>
      <c r="J1047" s="6">
        <f t="shared" si="82"/>
        <v>550</v>
      </c>
      <c r="K1047" s="6">
        <f t="shared" si="83"/>
        <v>3451250</v>
      </c>
      <c r="L1047" s="3" t="str">
        <f t="shared" si="84"/>
        <v>Premium</v>
      </c>
    </row>
    <row r="1048" spans="1:12">
      <c r="A1048" t="s">
        <v>1791</v>
      </c>
      <c r="B1048" t="s">
        <v>1830</v>
      </c>
      <c r="C1048" s="4">
        <v>4.8</v>
      </c>
      <c r="D1048" s="4">
        <v>84</v>
      </c>
      <c r="E1048" t="s">
        <v>1831</v>
      </c>
      <c r="F1048" s="4">
        <v>19.069580800000001</v>
      </c>
      <c r="G1048">
        <v>72.896940799999996</v>
      </c>
      <c r="H1048">
        <f t="shared" si="80"/>
        <v>403.2</v>
      </c>
      <c r="I1048" s="4">
        <f t="shared" si="81"/>
        <v>2100</v>
      </c>
      <c r="J1048" s="6">
        <f t="shared" si="82"/>
        <v>550</v>
      </c>
      <c r="K1048" s="6">
        <f t="shared" si="83"/>
        <v>1155000</v>
      </c>
      <c r="L1048" s="3" t="str">
        <f t="shared" si="84"/>
        <v>Premium</v>
      </c>
    </row>
    <row r="1049" spans="1:12">
      <c r="A1049" t="s">
        <v>1791</v>
      </c>
      <c r="B1049" t="s">
        <v>1832</v>
      </c>
      <c r="C1049" s="4">
        <v>5</v>
      </c>
      <c r="D1049" s="4">
        <v>17</v>
      </c>
      <c r="E1049" t="s">
        <v>1833</v>
      </c>
      <c r="F1049" s="4">
        <v>19.046012900000001</v>
      </c>
      <c r="G1049">
        <v>72.897610599999993</v>
      </c>
      <c r="H1049">
        <f t="shared" si="80"/>
        <v>85</v>
      </c>
      <c r="I1049" s="4">
        <f t="shared" si="81"/>
        <v>425</v>
      </c>
      <c r="J1049" s="6">
        <f t="shared" si="82"/>
        <v>550</v>
      </c>
      <c r="K1049" s="6">
        <f t="shared" si="83"/>
        <v>233750</v>
      </c>
      <c r="L1049" s="3" t="str">
        <f t="shared" si="84"/>
        <v>Premium</v>
      </c>
    </row>
    <row r="1050" spans="1:12">
      <c r="A1050" t="s">
        <v>1791</v>
      </c>
      <c r="B1050" t="s">
        <v>140</v>
      </c>
      <c r="C1050" s="4">
        <v>4</v>
      </c>
      <c r="D1050" s="4">
        <v>1235</v>
      </c>
      <c r="E1050" t="s">
        <v>1834</v>
      </c>
      <c r="F1050" s="4">
        <v>19.0441419</v>
      </c>
      <c r="G1050">
        <v>72.918695799999995</v>
      </c>
      <c r="H1050">
        <f t="shared" si="80"/>
        <v>4940</v>
      </c>
      <c r="I1050" s="4">
        <f t="shared" si="81"/>
        <v>30875</v>
      </c>
      <c r="J1050" s="6">
        <f t="shared" si="82"/>
        <v>350</v>
      </c>
      <c r="K1050" s="6">
        <f t="shared" si="83"/>
        <v>10806250</v>
      </c>
      <c r="L1050" s="3" t="str">
        <f t="shared" si="84"/>
        <v>Popular</v>
      </c>
    </row>
    <row r="1051" spans="1:12">
      <c r="A1051" t="s">
        <v>1791</v>
      </c>
      <c r="B1051" t="s">
        <v>1835</v>
      </c>
      <c r="C1051" s="4">
        <v>4.9000000000000004</v>
      </c>
      <c r="D1051" s="4">
        <v>170</v>
      </c>
      <c r="E1051" t="s">
        <v>1836</v>
      </c>
      <c r="F1051" s="4">
        <v>19.059703200000001</v>
      </c>
      <c r="G1051">
        <v>72.896427099999997</v>
      </c>
      <c r="H1051">
        <f t="shared" si="80"/>
        <v>833.00000000000011</v>
      </c>
      <c r="I1051" s="4">
        <f t="shared" si="81"/>
        <v>4250</v>
      </c>
      <c r="J1051" s="6">
        <f t="shared" si="82"/>
        <v>550</v>
      </c>
      <c r="K1051" s="6">
        <f t="shared" si="83"/>
        <v>2337500</v>
      </c>
      <c r="L1051" s="3" t="str">
        <f t="shared" si="84"/>
        <v>Premium</v>
      </c>
    </row>
    <row r="1052" spans="1:12">
      <c r="A1052" t="s">
        <v>1791</v>
      </c>
      <c r="B1052" t="s">
        <v>1837</v>
      </c>
      <c r="C1052" s="4">
        <v>3.5</v>
      </c>
      <c r="D1052" s="4">
        <v>142</v>
      </c>
      <c r="E1052" t="s">
        <v>1838</v>
      </c>
      <c r="F1052" s="4">
        <v>19.070433900000001</v>
      </c>
      <c r="G1052">
        <v>72.898780099999996</v>
      </c>
      <c r="H1052">
        <f t="shared" si="80"/>
        <v>497</v>
      </c>
      <c r="I1052" s="4">
        <f t="shared" si="81"/>
        <v>3550</v>
      </c>
      <c r="J1052" s="6">
        <f t="shared" si="82"/>
        <v>350</v>
      </c>
      <c r="K1052" s="6">
        <f t="shared" si="83"/>
        <v>1242500</v>
      </c>
      <c r="L1052" s="3" t="str">
        <f t="shared" si="84"/>
        <v>Average</v>
      </c>
    </row>
    <row r="1053" spans="1:12">
      <c r="A1053" t="s">
        <v>1791</v>
      </c>
      <c r="B1053" t="s">
        <v>1839</v>
      </c>
      <c r="C1053" s="4">
        <v>4.3</v>
      </c>
      <c r="D1053" s="4">
        <v>104</v>
      </c>
      <c r="E1053" t="s">
        <v>1840</v>
      </c>
      <c r="F1053" s="4">
        <v>19.0456103</v>
      </c>
      <c r="G1053">
        <v>72.895061999999996</v>
      </c>
      <c r="H1053">
        <f t="shared" si="80"/>
        <v>447.2</v>
      </c>
      <c r="I1053" s="4">
        <f t="shared" si="81"/>
        <v>2600</v>
      </c>
      <c r="J1053" s="6">
        <f t="shared" si="82"/>
        <v>350</v>
      </c>
      <c r="K1053" s="6">
        <f t="shared" si="83"/>
        <v>910000</v>
      </c>
      <c r="L1053" s="3" t="str">
        <f t="shared" si="84"/>
        <v>Popular</v>
      </c>
    </row>
    <row r="1054" spans="1:12">
      <c r="A1054" t="s">
        <v>1791</v>
      </c>
      <c r="B1054" t="s">
        <v>1841</v>
      </c>
      <c r="C1054" s="4">
        <v>4.7</v>
      </c>
      <c r="D1054" s="4">
        <v>3269</v>
      </c>
      <c r="E1054" t="s">
        <v>1842</v>
      </c>
      <c r="F1054" s="4">
        <v>19.046616100000001</v>
      </c>
      <c r="G1054">
        <v>72.906934100000001</v>
      </c>
      <c r="H1054">
        <f t="shared" si="80"/>
        <v>15364.300000000001</v>
      </c>
      <c r="I1054" s="4">
        <f t="shared" si="81"/>
        <v>81725</v>
      </c>
      <c r="J1054" s="6">
        <f t="shared" si="82"/>
        <v>550</v>
      </c>
      <c r="K1054" s="6">
        <f t="shared" si="83"/>
        <v>44948750</v>
      </c>
      <c r="L1054" s="3" t="str">
        <f t="shared" si="84"/>
        <v>Premium</v>
      </c>
    </row>
    <row r="1055" spans="1:12">
      <c r="A1055" t="s">
        <v>1791</v>
      </c>
      <c r="B1055" t="s">
        <v>1843</v>
      </c>
      <c r="C1055" s="4">
        <v>4.4000000000000004</v>
      </c>
      <c r="D1055" s="4">
        <v>1777</v>
      </c>
      <c r="E1055" t="s">
        <v>1844</v>
      </c>
      <c r="F1055" s="4">
        <v>19.060717199999999</v>
      </c>
      <c r="G1055">
        <v>72.900001199999906</v>
      </c>
      <c r="H1055">
        <f t="shared" si="80"/>
        <v>7818.8</v>
      </c>
      <c r="I1055" s="4">
        <f t="shared" si="81"/>
        <v>44425</v>
      </c>
      <c r="J1055" s="6">
        <f t="shared" si="82"/>
        <v>450</v>
      </c>
      <c r="K1055" s="6">
        <f t="shared" si="83"/>
        <v>19991250</v>
      </c>
      <c r="L1055" s="3" t="str">
        <f t="shared" si="84"/>
        <v>Popular</v>
      </c>
    </row>
    <row r="1056" spans="1:12">
      <c r="A1056" t="s">
        <v>1791</v>
      </c>
      <c r="B1056" t="s">
        <v>123</v>
      </c>
      <c r="C1056" s="4">
        <v>4.4000000000000004</v>
      </c>
      <c r="D1056" s="4">
        <v>2583</v>
      </c>
      <c r="E1056" t="s">
        <v>1845</v>
      </c>
      <c r="F1056" s="4">
        <v>19.060486000000001</v>
      </c>
      <c r="G1056">
        <v>72.898553999999905</v>
      </c>
      <c r="H1056">
        <f t="shared" si="80"/>
        <v>11365.2</v>
      </c>
      <c r="I1056" s="4">
        <f t="shared" si="81"/>
        <v>64575</v>
      </c>
      <c r="J1056" s="6">
        <f t="shared" si="82"/>
        <v>450</v>
      </c>
      <c r="K1056" s="6">
        <f t="shared" si="83"/>
        <v>29058750</v>
      </c>
      <c r="L1056" s="3" t="str">
        <f t="shared" si="84"/>
        <v>Popular</v>
      </c>
    </row>
    <row r="1057" spans="1:12">
      <c r="A1057" t="s">
        <v>1791</v>
      </c>
      <c r="B1057" t="s">
        <v>1846</v>
      </c>
      <c r="C1057" s="4">
        <v>4.5</v>
      </c>
      <c r="D1057" s="4">
        <v>142</v>
      </c>
      <c r="E1057" t="s">
        <v>1847</v>
      </c>
      <c r="F1057" s="4">
        <v>19.045520499999999</v>
      </c>
      <c r="G1057">
        <v>72.894493599999905</v>
      </c>
      <c r="H1057">
        <f t="shared" si="80"/>
        <v>639</v>
      </c>
      <c r="I1057" s="4">
        <f t="shared" si="81"/>
        <v>3550</v>
      </c>
      <c r="J1057" s="6">
        <f t="shared" si="82"/>
        <v>450</v>
      </c>
      <c r="K1057" s="6">
        <f t="shared" si="83"/>
        <v>1597500</v>
      </c>
      <c r="L1057" s="3" t="str">
        <f t="shared" si="84"/>
        <v>Premium</v>
      </c>
    </row>
    <row r="1058" spans="1:12">
      <c r="A1058" t="s">
        <v>1791</v>
      </c>
      <c r="B1058" t="s">
        <v>1848</v>
      </c>
      <c r="C1058" s="4">
        <v>4.2</v>
      </c>
      <c r="D1058" s="4">
        <v>1440</v>
      </c>
      <c r="E1058" t="s">
        <v>1849</v>
      </c>
      <c r="F1058" s="4">
        <v>19.052115199999999</v>
      </c>
      <c r="G1058">
        <v>72.900217400000002</v>
      </c>
      <c r="H1058">
        <f t="shared" si="80"/>
        <v>6048</v>
      </c>
      <c r="I1058" s="4">
        <f t="shared" si="81"/>
        <v>36000</v>
      </c>
      <c r="J1058" s="6">
        <f t="shared" si="82"/>
        <v>350</v>
      </c>
      <c r="K1058" s="6">
        <f t="shared" si="83"/>
        <v>12600000</v>
      </c>
      <c r="L1058" s="3" t="str">
        <f t="shared" si="84"/>
        <v>Popular</v>
      </c>
    </row>
    <row r="1059" spans="1:12">
      <c r="A1059" t="s">
        <v>1791</v>
      </c>
      <c r="B1059" t="s">
        <v>1850</v>
      </c>
      <c r="C1059" s="4">
        <v>3.7</v>
      </c>
      <c r="D1059" s="4">
        <v>207</v>
      </c>
      <c r="E1059" t="s">
        <v>1851</v>
      </c>
      <c r="F1059" s="4">
        <v>19.052711299999999</v>
      </c>
      <c r="G1059">
        <v>72.910345499999906</v>
      </c>
      <c r="H1059">
        <f t="shared" si="80"/>
        <v>765.90000000000009</v>
      </c>
      <c r="I1059" s="4">
        <f t="shared" si="81"/>
        <v>5175</v>
      </c>
      <c r="J1059" s="6">
        <f t="shared" si="82"/>
        <v>350</v>
      </c>
      <c r="K1059" s="6">
        <f t="shared" si="83"/>
        <v>1811250</v>
      </c>
      <c r="L1059" s="3" t="str">
        <f t="shared" si="84"/>
        <v>Average</v>
      </c>
    </row>
    <row r="1060" spans="1:12">
      <c r="A1060" t="s">
        <v>1791</v>
      </c>
      <c r="B1060" t="s">
        <v>1852</v>
      </c>
      <c r="C1060" s="4">
        <v>4.5999999999999996</v>
      </c>
      <c r="D1060" s="4">
        <v>20</v>
      </c>
      <c r="E1060" t="s">
        <v>1853</v>
      </c>
      <c r="F1060" s="4">
        <v>19.052257900000001</v>
      </c>
      <c r="G1060">
        <v>72.890100199999907</v>
      </c>
      <c r="H1060">
        <f t="shared" si="80"/>
        <v>92</v>
      </c>
      <c r="I1060" s="4">
        <f t="shared" si="81"/>
        <v>500</v>
      </c>
      <c r="J1060" s="6">
        <f t="shared" si="82"/>
        <v>450</v>
      </c>
      <c r="K1060" s="6">
        <f t="shared" si="83"/>
        <v>225000</v>
      </c>
      <c r="L1060" s="3" t="str">
        <f t="shared" si="84"/>
        <v>Premium</v>
      </c>
    </row>
    <row r="1061" spans="1:12">
      <c r="A1061" t="s">
        <v>1791</v>
      </c>
      <c r="B1061" t="s">
        <v>1854</v>
      </c>
      <c r="C1061" s="4">
        <v>4.3</v>
      </c>
      <c r="D1061" s="4">
        <v>2578</v>
      </c>
      <c r="E1061" t="s">
        <v>1855</v>
      </c>
      <c r="F1061" s="4">
        <v>19.0610617</v>
      </c>
      <c r="G1061">
        <v>72.899697099999997</v>
      </c>
      <c r="H1061">
        <f t="shared" si="80"/>
        <v>11085.4</v>
      </c>
      <c r="I1061" s="4">
        <f t="shared" si="81"/>
        <v>64450</v>
      </c>
      <c r="J1061" s="6">
        <f t="shared" si="82"/>
        <v>350</v>
      </c>
      <c r="K1061" s="6">
        <f t="shared" si="83"/>
        <v>22557500</v>
      </c>
      <c r="L1061" s="3" t="str">
        <f t="shared" si="84"/>
        <v>Popular</v>
      </c>
    </row>
    <row r="1062" spans="1:12">
      <c r="A1062" t="s">
        <v>1791</v>
      </c>
      <c r="B1062" t="s">
        <v>1856</v>
      </c>
      <c r="C1062" s="4">
        <v>4.5999999999999996</v>
      </c>
      <c r="D1062" s="4">
        <v>19</v>
      </c>
      <c r="E1062" t="s">
        <v>1857</v>
      </c>
      <c r="F1062" s="4">
        <v>19.070277399999998</v>
      </c>
      <c r="G1062">
        <v>72.901405099999906</v>
      </c>
      <c r="H1062">
        <f t="shared" si="80"/>
        <v>87.399999999999991</v>
      </c>
      <c r="I1062" s="4">
        <f t="shared" si="81"/>
        <v>475</v>
      </c>
      <c r="J1062" s="6">
        <f t="shared" si="82"/>
        <v>450</v>
      </c>
      <c r="K1062" s="6">
        <f t="shared" si="83"/>
        <v>213750</v>
      </c>
      <c r="L1062" s="3" t="str">
        <f t="shared" si="84"/>
        <v>Premium</v>
      </c>
    </row>
    <row r="1063" spans="1:12">
      <c r="A1063" t="s">
        <v>1791</v>
      </c>
      <c r="B1063" t="s">
        <v>246</v>
      </c>
      <c r="C1063" s="4">
        <v>4.0999999999999996</v>
      </c>
      <c r="D1063" s="4">
        <v>299</v>
      </c>
      <c r="E1063" t="s">
        <v>1858</v>
      </c>
      <c r="F1063" s="4">
        <v>19.0530027</v>
      </c>
      <c r="G1063">
        <v>72.890419399999999</v>
      </c>
      <c r="H1063">
        <f t="shared" si="80"/>
        <v>1225.8999999999999</v>
      </c>
      <c r="I1063" s="4">
        <f t="shared" si="81"/>
        <v>7475</v>
      </c>
      <c r="J1063" s="6">
        <f t="shared" si="82"/>
        <v>350</v>
      </c>
      <c r="K1063" s="6">
        <f t="shared" si="83"/>
        <v>2616250</v>
      </c>
      <c r="L1063" s="3" t="str">
        <f t="shared" si="84"/>
        <v>Popular</v>
      </c>
    </row>
    <row r="1064" spans="1:12">
      <c r="A1064" t="s">
        <v>1791</v>
      </c>
      <c r="B1064" t="s">
        <v>1859</v>
      </c>
      <c r="C1064" s="4">
        <v>4.2</v>
      </c>
      <c r="D1064" s="4">
        <v>1788</v>
      </c>
      <c r="E1064" t="s">
        <v>1860</v>
      </c>
      <c r="F1064" s="4">
        <v>19.060827199999999</v>
      </c>
      <c r="G1064">
        <v>72.916293999999994</v>
      </c>
      <c r="H1064">
        <f t="shared" si="80"/>
        <v>7509.6</v>
      </c>
      <c r="I1064" s="4">
        <f t="shared" si="81"/>
        <v>44700</v>
      </c>
      <c r="J1064" s="6">
        <f t="shared" si="82"/>
        <v>350</v>
      </c>
      <c r="K1064" s="6">
        <f t="shared" si="83"/>
        <v>15645000</v>
      </c>
      <c r="L1064" s="3" t="str">
        <f t="shared" si="84"/>
        <v>Popular</v>
      </c>
    </row>
    <row r="1065" spans="1:12">
      <c r="A1065" t="s">
        <v>1791</v>
      </c>
      <c r="B1065" t="s">
        <v>1861</v>
      </c>
      <c r="C1065" s="4">
        <v>4.5999999999999996</v>
      </c>
      <c r="D1065" s="4">
        <v>22</v>
      </c>
      <c r="E1065" t="s">
        <v>1862</v>
      </c>
      <c r="F1065" s="4">
        <v>19.045271100000001</v>
      </c>
      <c r="G1065">
        <v>72.8970463</v>
      </c>
      <c r="H1065">
        <f t="shared" si="80"/>
        <v>101.19999999999999</v>
      </c>
      <c r="I1065" s="4">
        <f t="shared" si="81"/>
        <v>550</v>
      </c>
      <c r="J1065" s="6">
        <f t="shared" si="82"/>
        <v>450</v>
      </c>
      <c r="K1065" s="6">
        <f t="shared" si="83"/>
        <v>247500</v>
      </c>
      <c r="L1065" s="3" t="str">
        <f t="shared" si="84"/>
        <v>Premium</v>
      </c>
    </row>
    <row r="1066" spans="1:12">
      <c r="A1066" t="s">
        <v>1791</v>
      </c>
      <c r="B1066" t="s">
        <v>1863</v>
      </c>
      <c r="C1066" s="4">
        <v>4</v>
      </c>
      <c r="D1066" s="4">
        <v>2062</v>
      </c>
      <c r="E1066" t="s">
        <v>1864</v>
      </c>
      <c r="F1066" s="4">
        <v>19.061550700000002</v>
      </c>
      <c r="G1066">
        <v>72.900831499999995</v>
      </c>
      <c r="H1066">
        <f t="shared" si="80"/>
        <v>8248</v>
      </c>
      <c r="I1066" s="4">
        <f t="shared" si="81"/>
        <v>51550</v>
      </c>
      <c r="J1066" s="6">
        <f t="shared" si="82"/>
        <v>350</v>
      </c>
      <c r="K1066" s="6">
        <f t="shared" si="83"/>
        <v>18042500</v>
      </c>
      <c r="L1066" s="3" t="str">
        <f t="shared" si="84"/>
        <v>Popular</v>
      </c>
    </row>
    <row r="1067" spans="1:12">
      <c r="A1067" t="s">
        <v>1791</v>
      </c>
      <c r="B1067" t="s">
        <v>1666</v>
      </c>
      <c r="C1067" s="4">
        <v>3.5</v>
      </c>
      <c r="D1067" s="4">
        <v>293</v>
      </c>
      <c r="E1067" t="s">
        <v>1865</v>
      </c>
      <c r="F1067" s="4">
        <v>19.031685</v>
      </c>
      <c r="G1067">
        <v>72.897010899999998</v>
      </c>
      <c r="H1067">
        <f t="shared" si="80"/>
        <v>1025.5</v>
      </c>
      <c r="I1067" s="4">
        <f t="shared" si="81"/>
        <v>7325</v>
      </c>
      <c r="J1067" s="6">
        <f t="shared" si="82"/>
        <v>350</v>
      </c>
      <c r="K1067" s="6">
        <f t="shared" si="83"/>
        <v>2563750</v>
      </c>
      <c r="L1067" s="3" t="str">
        <f t="shared" si="84"/>
        <v>Average</v>
      </c>
    </row>
    <row r="1068" spans="1:12">
      <c r="A1068" t="s">
        <v>1791</v>
      </c>
      <c r="B1068" t="s">
        <v>966</v>
      </c>
      <c r="C1068" s="4">
        <v>4.0999999999999996</v>
      </c>
      <c r="D1068" s="4">
        <v>2538</v>
      </c>
      <c r="E1068" t="s">
        <v>967</v>
      </c>
      <c r="F1068" s="4">
        <v>19.0783825</v>
      </c>
      <c r="G1068">
        <v>72.903865400000001</v>
      </c>
      <c r="H1068">
        <f t="shared" si="80"/>
        <v>10405.799999999999</v>
      </c>
      <c r="I1068" s="4">
        <f t="shared" si="81"/>
        <v>63450</v>
      </c>
      <c r="J1068" s="6">
        <f t="shared" si="82"/>
        <v>350</v>
      </c>
      <c r="K1068" s="6">
        <f t="shared" si="83"/>
        <v>22207500</v>
      </c>
      <c r="L1068" s="3" t="str">
        <f t="shared" si="84"/>
        <v>Popular</v>
      </c>
    </row>
    <row r="1069" spans="1:12">
      <c r="A1069" t="s">
        <v>1791</v>
      </c>
      <c r="B1069" t="s">
        <v>1866</v>
      </c>
      <c r="C1069" s="4">
        <v>4.5</v>
      </c>
      <c r="D1069" s="4">
        <v>63</v>
      </c>
      <c r="E1069" t="s">
        <v>1867</v>
      </c>
      <c r="F1069" s="4">
        <v>19.067507200000001</v>
      </c>
      <c r="G1069">
        <v>72.910164299999906</v>
      </c>
      <c r="H1069">
        <f t="shared" si="80"/>
        <v>283.5</v>
      </c>
      <c r="I1069" s="4">
        <f t="shared" si="81"/>
        <v>1575</v>
      </c>
      <c r="J1069" s="6">
        <f t="shared" si="82"/>
        <v>450</v>
      </c>
      <c r="K1069" s="6">
        <f t="shared" si="83"/>
        <v>708750</v>
      </c>
      <c r="L1069" s="3" t="str">
        <f t="shared" si="84"/>
        <v>Premium</v>
      </c>
    </row>
    <row r="1070" spans="1:12">
      <c r="A1070" t="s">
        <v>1791</v>
      </c>
      <c r="B1070" t="s">
        <v>1868</v>
      </c>
      <c r="C1070" s="4">
        <v>4.7</v>
      </c>
      <c r="D1070" s="4">
        <v>75</v>
      </c>
      <c r="E1070" t="s">
        <v>1869</v>
      </c>
      <c r="F1070" s="4">
        <v>19.069506400000002</v>
      </c>
      <c r="G1070">
        <v>72.896918399999905</v>
      </c>
      <c r="H1070">
        <f t="shared" si="80"/>
        <v>352.5</v>
      </c>
      <c r="I1070" s="4">
        <f t="shared" si="81"/>
        <v>1875</v>
      </c>
      <c r="J1070" s="6">
        <f t="shared" si="82"/>
        <v>550</v>
      </c>
      <c r="K1070" s="6">
        <f t="shared" si="83"/>
        <v>1031250</v>
      </c>
      <c r="L1070" s="3" t="str">
        <f t="shared" si="84"/>
        <v>Premium</v>
      </c>
    </row>
    <row r="1071" spans="1:12">
      <c r="A1071" t="s">
        <v>1791</v>
      </c>
      <c r="B1071" t="s">
        <v>1870</v>
      </c>
      <c r="C1071" s="4">
        <v>4.8</v>
      </c>
      <c r="D1071" s="4">
        <v>38</v>
      </c>
      <c r="E1071" t="s">
        <v>1871</v>
      </c>
      <c r="F1071" s="4">
        <v>19.0703526</v>
      </c>
      <c r="G1071">
        <v>72.901348999999996</v>
      </c>
      <c r="H1071">
        <f t="shared" si="80"/>
        <v>182.4</v>
      </c>
      <c r="I1071" s="4">
        <f t="shared" si="81"/>
        <v>950</v>
      </c>
      <c r="J1071" s="6">
        <f t="shared" si="82"/>
        <v>550</v>
      </c>
      <c r="K1071" s="6">
        <f t="shared" si="83"/>
        <v>522500</v>
      </c>
      <c r="L1071" s="3" t="str">
        <f t="shared" si="84"/>
        <v>Premium</v>
      </c>
    </row>
    <row r="1072" spans="1:12">
      <c r="A1072" t="s">
        <v>1791</v>
      </c>
      <c r="B1072" t="s">
        <v>48</v>
      </c>
      <c r="C1072" s="4">
        <v>4.9000000000000004</v>
      </c>
      <c r="D1072" s="4">
        <v>420</v>
      </c>
      <c r="E1072" t="s">
        <v>850</v>
      </c>
      <c r="F1072" s="4">
        <v>19.0718611</v>
      </c>
      <c r="G1072">
        <v>72.876555600000003</v>
      </c>
      <c r="H1072">
        <f t="shared" si="80"/>
        <v>2058</v>
      </c>
      <c r="I1072" s="4">
        <f t="shared" si="81"/>
        <v>10500</v>
      </c>
      <c r="J1072" s="6">
        <f t="shared" si="82"/>
        <v>550</v>
      </c>
      <c r="K1072" s="6">
        <f t="shared" si="83"/>
        <v>5775000</v>
      </c>
      <c r="L1072" s="3" t="str">
        <f t="shared" si="84"/>
        <v>Premium</v>
      </c>
    </row>
    <row r="1073" spans="1:12">
      <c r="A1073" t="s">
        <v>1791</v>
      </c>
      <c r="B1073" t="s">
        <v>1872</v>
      </c>
      <c r="C1073" s="4">
        <v>4.2</v>
      </c>
      <c r="D1073" s="4">
        <v>1133</v>
      </c>
      <c r="E1073" t="s">
        <v>1873</v>
      </c>
      <c r="F1073" s="4">
        <v>19.0613323</v>
      </c>
      <c r="G1073">
        <v>72.900725800000004</v>
      </c>
      <c r="H1073">
        <f t="shared" si="80"/>
        <v>4758.6000000000004</v>
      </c>
      <c r="I1073" s="4">
        <f t="shared" si="81"/>
        <v>28325</v>
      </c>
      <c r="J1073" s="6">
        <f t="shared" si="82"/>
        <v>350</v>
      </c>
      <c r="K1073" s="6">
        <f t="shared" si="83"/>
        <v>9913750</v>
      </c>
      <c r="L1073" s="3" t="str">
        <f t="shared" si="84"/>
        <v>Popular</v>
      </c>
    </row>
    <row r="1074" spans="1:12">
      <c r="A1074" t="s">
        <v>1791</v>
      </c>
      <c r="B1074" t="s">
        <v>1874</v>
      </c>
      <c r="C1074" s="4">
        <v>5</v>
      </c>
      <c r="D1074" s="4">
        <v>369</v>
      </c>
      <c r="E1074" t="s">
        <v>1875</v>
      </c>
      <c r="F1074" s="4">
        <v>19.051908300000001</v>
      </c>
      <c r="G1074">
        <v>72.889997600000001</v>
      </c>
      <c r="H1074">
        <f t="shared" si="80"/>
        <v>1845</v>
      </c>
      <c r="I1074" s="4">
        <f t="shared" si="81"/>
        <v>9225</v>
      </c>
      <c r="J1074" s="6">
        <f t="shared" si="82"/>
        <v>550</v>
      </c>
      <c r="K1074" s="6">
        <f t="shared" si="83"/>
        <v>5073750</v>
      </c>
      <c r="L1074" s="3" t="str">
        <f t="shared" si="84"/>
        <v>Premium</v>
      </c>
    </row>
    <row r="1075" spans="1:12">
      <c r="A1075" t="s">
        <v>1791</v>
      </c>
      <c r="B1075" t="s">
        <v>1876</v>
      </c>
      <c r="C1075" s="4">
        <v>4.0999999999999996</v>
      </c>
      <c r="D1075" s="4">
        <v>1590</v>
      </c>
      <c r="E1075" t="s">
        <v>1877</v>
      </c>
      <c r="F1075" s="4">
        <v>19.059586199999998</v>
      </c>
      <c r="G1075">
        <v>72.9234115</v>
      </c>
      <c r="H1075">
        <f t="shared" si="80"/>
        <v>6518.9999999999991</v>
      </c>
      <c r="I1075" s="4">
        <f t="shared" si="81"/>
        <v>39750</v>
      </c>
      <c r="J1075" s="6">
        <f t="shared" si="82"/>
        <v>350</v>
      </c>
      <c r="K1075" s="6">
        <f t="shared" si="83"/>
        <v>13912500</v>
      </c>
      <c r="L1075" s="3" t="str">
        <f t="shared" si="84"/>
        <v>Popular</v>
      </c>
    </row>
    <row r="1076" spans="1:12">
      <c r="A1076" t="s">
        <v>1791</v>
      </c>
      <c r="B1076" t="s">
        <v>1878</v>
      </c>
      <c r="C1076" s="4">
        <v>5</v>
      </c>
      <c r="D1076" s="4">
        <v>16</v>
      </c>
      <c r="E1076" t="s">
        <v>1879</v>
      </c>
      <c r="F1076" s="4">
        <v>19.046165599999998</v>
      </c>
      <c r="G1076">
        <v>72.908248799999996</v>
      </c>
      <c r="H1076">
        <f t="shared" si="80"/>
        <v>80</v>
      </c>
      <c r="I1076" s="4">
        <f t="shared" si="81"/>
        <v>400</v>
      </c>
      <c r="J1076" s="6">
        <f t="shared" si="82"/>
        <v>550</v>
      </c>
      <c r="K1076" s="6">
        <f t="shared" si="83"/>
        <v>220000</v>
      </c>
      <c r="L1076" s="3" t="str">
        <f t="shared" si="84"/>
        <v>Premium</v>
      </c>
    </row>
    <row r="1077" spans="1:12">
      <c r="A1077" t="s">
        <v>1791</v>
      </c>
      <c r="B1077" t="s">
        <v>1880</v>
      </c>
      <c r="C1077" s="4">
        <v>5</v>
      </c>
      <c r="D1077" s="4">
        <v>4</v>
      </c>
      <c r="E1077" t="s">
        <v>1881</v>
      </c>
      <c r="F1077" s="4">
        <v>19.0451762</v>
      </c>
      <c r="G1077">
        <v>72.894623600000003</v>
      </c>
      <c r="H1077">
        <f t="shared" si="80"/>
        <v>20</v>
      </c>
      <c r="I1077" s="4">
        <f t="shared" si="81"/>
        <v>100</v>
      </c>
      <c r="J1077" s="6">
        <f t="shared" si="82"/>
        <v>550</v>
      </c>
      <c r="K1077" s="6">
        <f t="shared" si="83"/>
        <v>55000</v>
      </c>
      <c r="L1077" s="3" t="str">
        <f t="shared" si="84"/>
        <v>Premium</v>
      </c>
    </row>
    <row r="1078" spans="1:12">
      <c r="A1078" t="s">
        <v>1791</v>
      </c>
      <c r="B1078" t="s">
        <v>1882</v>
      </c>
      <c r="C1078" s="4">
        <v>4.0999999999999996</v>
      </c>
      <c r="D1078" s="4">
        <v>16</v>
      </c>
      <c r="E1078" t="s">
        <v>1883</v>
      </c>
      <c r="F1078" s="4">
        <v>19.0484507</v>
      </c>
      <c r="G1078">
        <v>72.887706100000003</v>
      </c>
      <c r="H1078">
        <f t="shared" si="80"/>
        <v>65.599999999999994</v>
      </c>
      <c r="I1078" s="4">
        <f t="shared" si="81"/>
        <v>400</v>
      </c>
      <c r="J1078" s="6">
        <f t="shared" si="82"/>
        <v>350</v>
      </c>
      <c r="K1078" s="6">
        <f t="shared" si="83"/>
        <v>140000</v>
      </c>
      <c r="L1078" s="3" t="str">
        <f t="shared" si="84"/>
        <v>Popular</v>
      </c>
    </row>
    <row r="1079" spans="1:12">
      <c r="A1079" t="s">
        <v>1791</v>
      </c>
      <c r="B1079" t="s">
        <v>1884</v>
      </c>
      <c r="C1079" s="4">
        <v>5</v>
      </c>
      <c r="D1079" s="4">
        <v>2</v>
      </c>
      <c r="E1079" t="s">
        <v>1885</v>
      </c>
      <c r="F1079" s="4">
        <v>19.046037599999998</v>
      </c>
      <c r="G1079">
        <v>72.9081513</v>
      </c>
      <c r="H1079">
        <f t="shared" si="80"/>
        <v>10</v>
      </c>
      <c r="I1079" s="4">
        <f t="shared" si="81"/>
        <v>50</v>
      </c>
      <c r="J1079" s="6">
        <f t="shared" si="82"/>
        <v>550</v>
      </c>
      <c r="K1079" s="6">
        <f t="shared" si="83"/>
        <v>27500</v>
      </c>
      <c r="L1079" s="3" t="str">
        <f t="shared" si="84"/>
        <v>Premium</v>
      </c>
    </row>
    <row r="1080" spans="1:12">
      <c r="A1080" t="s">
        <v>1791</v>
      </c>
      <c r="B1080" t="s">
        <v>976</v>
      </c>
      <c r="C1080" s="4">
        <v>4.4000000000000004</v>
      </c>
      <c r="D1080" s="4">
        <v>101</v>
      </c>
      <c r="E1080" t="s">
        <v>977</v>
      </c>
      <c r="F1080" s="4">
        <v>19.077449099999999</v>
      </c>
      <c r="G1080">
        <v>72.898932500000001</v>
      </c>
      <c r="H1080">
        <f t="shared" si="80"/>
        <v>444.40000000000003</v>
      </c>
      <c r="I1080" s="4">
        <f t="shared" si="81"/>
        <v>2525</v>
      </c>
      <c r="J1080" s="6">
        <f t="shared" si="82"/>
        <v>450</v>
      </c>
      <c r="K1080" s="6">
        <f t="shared" si="83"/>
        <v>1136250</v>
      </c>
      <c r="L1080" s="3" t="str">
        <f t="shared" si="84"/>
        <v>Popular</v>
      </c>
    </row>
    <row r="1081" spans="1:12">
      <c r="A1081" t="s">
        <v>1791</v>
      </c>
      <c r="B1081" t="s">
        <v>1886</v>
      </c>
      <c r="C1081" s="4">
        <v>4.9000000000000004</v>
      </c>
      <c r="D1081" s="4">
        <v>9</v>
      </c>
      <c r="E1081" t="s">
        <v>1887</v>
      </c>
      <c r="F1081" s="4">
        <v>19.0539019</v>
      </c>
      <c r="G1081">
        <v>72.896321499999999</v>
      </c>
      <c r="H1081">
        <f t="shared" si="80"/>
        <v>44.1</v>
      </c>
      <c r="I1081" s="4">
        <f t="shared" si="81"/>
        <v>225</v>
      </c>
      <c r="J1081" s="6">
        <f t="shared" si="82"/>
        <v>550</v>
      </c>
      <c r="K1081" s="6">
        <f t="shared" si="83"/>
        <v>123750</v>
      </c>
      <c r="L1081" s="3" t="str">
        <f t="shared" si="84"/>
        <v>Premium</v>
      </c>
    </row>
    <row r="1082" spans="1:12">
      <c r="A1082" t="s">
        <v>1888</v>
      </c>
      <c r="B1082" t="s">
        <v>1608</v>
      </c>
      <c r="C1082" s="4">
        <v>4.4000000000000004</v>
      </c>
      <c r="D1082" s="4">
        <v>3106</v>
      </c>
      <c r="E1082" t="s">
        <v>1609</v>
      </c>
      <c r="F1082" s="4">
        <v>19.041910000000001</v>
      </c>
      <c r="G1082">
        <v>72.861122799999904</v>
      </c>
      <c r="H1082">
        <f t="shared" si="80"/>
        <v>13666.400000000001</v>
      </c>
      <c r="I1082" s="4">
        <f t="shared" si="81"/>
        <v>77650</v>
      </c>
      <c r="J1082" s="6">
        <f t="shared" si="82"/>
        <v>450</v>
      </c>
      <c r="K1082" s="6">
        <f t="shared" si="83"/>
        <v>34942500</v>
      </c>
      <c r="L1082" s="3" t="str">
        <f t="shared" si="84"/>
        <v>Popular</v>
      </c>
    </row>
    <row r="1083" spans="1:12">
      <c r="A1083" t="s">
        <v>1888</v>
      </c>
      <c r="B1083" t="s">
        <v>1889</v>
      </c>
      <c r="C1083" s="4">
        <v>4.8</v>
      </c>
      <c r="D1083" s="4">
        <v>52</v>
      </c>
      <c r="E1083" t="s">
        <v>1890</v>
      </c>
      <c r="F1083" s="4">
        <v>19.0407774</v>
      </c>
      <c r="G1083">
        <v>72.860838599999994</v>
      </c>
      <c r="H1083">
        <f t="shared" si="80"/>
        <v>249.6</v>
      </c>
      <c r="I1083" s="4">
        <f t="shared" si="81"/>
        <v>1300</v>
      </c>
      <c r="J1083" s="6">
        <f t="shared" si="82"/>
        <v>550</v>
      </c>
      <c r="K1083" s="6">
        <f t="shared" si="83"/>
        <v>715000</v>
      </c>
      <c r="L1083" s="3" t="str">
        <f t="shared" si="84"/>
        <v>Premium</v>
      </c>
    </row>
    <row r="1084" spans="1:12">
      <c r="A1084" t="s">
        <v>1888</v>
      </c>
      <c r="B1084" t="s">
        <v>1676</v>
      </c>
      <c r="C1084" s="4">
        <v>4.3</v>
      </c>
      <c r="D1084" s="4">
        <v>35428</v>
      </c>
      <c r="E1084" t="s">
        <v>1677</v>
      </c>
      <c r="F1084" s="4">
        <v>19.0429043</v>
      </c>
      <c r="G1084">
        <v>72.861876499999994</v>
      </c>
      <c r="H1084">
        <f t="shared" si="80"/>
        <v>152340.4</v>
      </c>
      <c r="I1084" s="4">
        <f t="shared" si="81"/>
        <v>885700</v>
      </c>
      <c r="J1084" s="6">
        <f t="shared" si="82"/>
        <v>350</v>
      </c>
      <c r="K1084" s="6">
        <f t="shared" si="83"/>
        <v>309995000</v>
      </c>
      <c r="L1084" s="3" t="str">
        <f t="shared" si="84"/>
        <v>Popular</v>
      </c>
    </row>
    <row r="1085" spans="1:12">
      <c r="A1085" t="s">
        <v>1888</v>
      </c>
      <c r="B1085" t="s">
        <v>1891</v>
      </c>
      <c r="C1085" s="4">
        <v>4.3</v>
      </c>
      <c r="D1085" s="4">
        <v>1093</v>
      </c>
      <c r="E1085" t="s">
        <v>1892</v>
      </c>
      <c r="F1085" s="4">
        <v>19.040451900000001</v>
      </c>
      <c r="G1085">
        <v>72.865048000000002</v>
      </c>
      <c r="H1085">
        <f t="shared" si="80"/>
        <v>4699.8999999999996</v>
      </c>
      <c r="I1085" s="4">
        <f t="shared" si="81"/>
        <v>27325</v>
      </c>
      <c r="J1085" s="6">
        <f t="shared" si="82"/>
        <v>350</v>
      </c>
      <c r="K1085" s="6">
        <f t="shared" si="83"/>
        <v>9563750</v>
      </c>
      <c r="L1085" s="3" t="str">
        <f t="shared" si="84"/>
        <v>Popular</v>
      </c>
    </row>
    <row r="1086" spans="1:12">
      <c r="A1086" t="s">
        <v>1888</v>
      </c>
      <c r="B1086" t="s">
        <v>238</v>
      </c>
      <c r="C1086" s="4">
        <v>4.4000000000000004</v>
      </c>
      <c r="D1086" s="4">
        <v>24600</v>
      </c>
      <c r="E1086" t="s">
        <v>239</v>
      </c>
      <c r="F1086" s="4">
        <v>19.027620299999999</v>
      </c>
      <c r="G1086">
        <v>72.855041499999999</v>
      </c>
      <c r="H1086">
        <f t="shared" si="80"/>
        <v>108240.00000000001</v>
      </c>
      <c r="I1086" s="4">
        <f t="shared" si="81"/>
        <v>615000</v>
      </c>
      <c r="J1086" s="6">
        <f t="shared" si="82"/>
        <v>450</v>
      </c>
      <c r="K1086" s="6">
        <f t="shared" si="83"/>
        <v>276750000</v>
      </c>
      <c r="L1086" s="3" t="str">
        <f t="shared" si="84"/>
        <v>Popular</v>
      </c>
    </row>
    <row r="1087" spans="1:12">
      <c r="A1087" t="s">
        <v>1888</v>
      </c>
      <c r="B1087" t="s">
        <v>1893</v>
      </c>
      <c r="C1087" s="4">
        <v>4.2</v>
      </c>
      <c r="D1087" s="4">
        <v>5746</v>
      </c>
      <c r="E1087" t="s">
        <v>1894</v>
      </c>
      <c r="F1087" s="4">
        <v>19.034059299999999</v>
      </c>
      <c r="G1087">
        <v>72.863132499999907</v>
      </c>
      <c r="H1087">
        <f t="shared" si="80"/>
        <v>24133.200000000001</v>
      </c>
      <c r="I1087" s="4">
        <f t="shared" si="81"/>
        <v>143650</v>
      </c>
      <c r="J1087" s="6">
        <f t="shared" si="82"/>
        <v>350</v>
      </c>
      <c r="K1087" s="6">
        <f t="shared" si="83"/>
        <v>50277500</v>
      </c>
      <c r="L1087" s="3" t="str">
        <f t="shared" si="84"/>
        <v>Popular</v>
      </c>
    </row>
    <row r="1088" spans="1:12">
      <c r="A1088" t="s">
        <v>1888</v>
      </c>
      <c r="B1088" t="s">
        <v>1895</v>
      </c>
      <c r="C1088" s="4">
        <v>4</v>
      </c>
      <c r="D1088" s="4">
        <v>508</v>
      </c>
      <c r="E1088" t="s">
        <v>1896</v>
      </c>
      <c r="F1088" s="4">
        <v>19.0455495</v>
      </c>
      <c r="G1088">
        <v>72.864501599999997</v>
      </c>
      <c r="H1088">
        <f t="shared" si="80"/>
        <v>2032</v>
      </c>
      <c r="I1088" s="4">
        <f t="shared" si="81"/>
        <v>12700</v>
      </c>
      <c r="J1088" s="6">
        <f t="shared" si="82"/>
        <v>350</v>
      </c>
      <c r="K1088" s="6">
        <f t="shared" si="83"/>
        <v>4445000</v>
      </c>
      <c r="L1088" s="3" t="str">
        <f t="shared" si="84"/>
        <v>Popular</v>
      </c>
    </row>
    <row r="1089" spans="1:12">
      <c r="A1089" t="s">
        <v>1888</v>
      </c>
      <c r="B1089" t="s">
        <v>1897</v>
      </c>
      <c r="C1089" s="4">
        <v>4.0999999999999996</v>
      </c>
      <c r="D1089" s="4">
        <v>5013</v>
      </c>
      <c r="E1089" t="s">
        <v>1898</v>
      </c>
      <c r="F1089" s="4">
        <v>19.0452957</v>
      </c>
      <c r="G1089">
        <v>72.864223299999907</v>
      </c>
      <c r="H1089">
        <f t="shared" si="80"/>
        <v>20553.3</v>
      </c>
      <c r="I1089" s="4">
        <f t="shared" si="81"/>
        <v>125325</v>
      </c>
      <c r="J1089" s="6">
        <f t="shared" si="82"/>
        <v>350</v>
      </c>
      <c r="K1089" s="6">
        <f t="shared" si="83"/>
        <v>43863750</v>
      </c>
      <c r="L1089" s="3" t="str">
        <f t="shared" si="84"/>
        <v>Popular</v>
      </c>
    </row>
    <row r="1090" spans="1:12">
      <c r="A1090" t="s">
        <v>1888</v>
      </c>
      <c r="B1090" t="s">
        <v>1899</v>
      </c>
      <c r="C1090" s="4">
        <v>4.0999999999999996</v>
      </c>
      <c r="D1090" s="4">
        <v>228</v>
      </c>
      <c r="E1090" t="s">
        <v>1900</v>
      </c>
      <c r="F1090" s="4">
        <v>19.045309199999998</v>
      </c>
      <c r="G1090">
        <v>72.863601599999996</v>
      </c>
      <c r="H1090">
        <f t="shared" ref="H1090:H1153" si="85">C1090*D1090</f>
        <v>934.8</v>
      </c>
      <c r="I1090" s="4">
        <f t="shared" ref="I1090:I1153" si="86">D1090*25</f>
        <v>5700</v>
      </c>
      <c r="J1090" s="6">
        <f t="shared" ref="J1090:J1153" si="87">IF(C1090&gt;=4.7,550,IF(C1090&gt;=4.4,450,IF(C1090&gt;=O1092,350,250)))</f>
        <v>350</v>
      </c>
      <c r="K1090" s="6">
        <f t="shared" ref="K1090:K1153" si="88">I1090*J1090</f>
        <v>1995000</v>
      </c>
      <c r="L1090" s="3" t="str">
        <f t="shared" ref="L1090:L1153" si="89">IF(C1090&gt;=4.5,"Premium",IF(C1090&gt;=4,"Popular","Average"))</f>
        <v>Popular</v>
      </c>
    </row>
    <row r="1091" spans="1:12">
      <c r="A1091" t="s">
        <v>1888</v>
      </c>
      <c r="B1091" t="s">
        <v>313</v>
      </c>
      <c r="C1091" s="4">
        <v>4.2</v>
      </c>
      <c r="D1091" s="4">
        <v>5086</v>
      </c>
      <c r="E1091" t="s">
        <v>314</v>
      </c>
      <c r="F1091" s="4">
        <v>19.0276064</v>
      </c>
      <c r="G1091">
        <v>72.855504400000001</v>
      </c>
      <c r="H1091">
        <f t="shared" si="85"/>
        <v>21361.200000000001</v>
      </c>
      <c r="I1091" s="4">
        <f t="shared" si="86"/>
        <v>127150</v>
      </c>
      <c r="J1091" s="6">
        <f t="shared" si="87"/>
        <v>350</v>
      </c>
      <c r="K1091" s="6">
        <f t="shared" si="88"/>
        <v>44502500</v>
      </c>
      <c r="L1091" s="3" t="str">
        <f t="shared" si="89"/>
        <v>Popular</v>
      </c>
    </row>
    <row r="1092" spans="1:12">
      <c r="A1092" t="s">
        <v>1888</v>
      </c>
      <c r="B1092" t="s">
        <v>293</v>
      </c>
      <c r="C1092" s="4">
        <v>4.3</v>
      </c>
      <c r="D1092" s="4">
        <v>1817</v>
      </c>
      <c r="E1092" t="s">
        <v>294</v>
      </c>
      <c r="F1092" s="4">
        <v>19.0272942</v>
      </c>
      <c r="G1092">
        <v>72.854620299999993</v>
      </c>
      <c r="H1092">
        <f t="shared" si="85"/>
        <v>7813.0999999999995</v>
      </c>
      <c r="I1092" s="4">
        <f t="shared" si="86"/>
        <v>45425</v>
      </c>
      <c r="J1092" s="6">
        <f t="shared" si="87"/>
        <v>350</v>
      </c>
      <c r="K1092" s="6">
        <f t="shared" si="88"/>
        <v>15898750</v>
      </c>
      <c r="L1092" s="3" t="str">
        <f t="shared" si="89"/>
        <v>Popular</v>
      </c>
    </row>
    <row r="1093" spans="1:12">
      <c r="A1093" t="s">
        <v>1888</v>
      </c>
      <c r="B1093" t="s">
        <v>1684</v>
      </c>
      <c r="C1093" s="4">
        <v>4.2</v>
      </c>
      <c r="D1093" s="4">
        <v>25</v>
      </c>
      <c r="E1093" t="s">
        <v>1685</v>
      </c>
      <c r="F1093" s="4">
        <v>19.044892300000001</v>
      </c>
      <c r="G1093">
        <v>72.864584699999995</v>
      </c>
      <c r="H1093">
        <f t="shared" si="85"/>
        <v>105</v>
      </c>
      <c r="I1093" s="4">
        <f t="shared" si="86"/>
        <v>625</v>
      </c>
      <c r="J1093" s="6">
        <f t="shared" si="87"/>
        <v>350</v>
      </c>
      <c r="K1093" s="6">
        <f t="shared" si="88"/>
        <v>218750</v>
      </c>
      <c r="L1093" s="3" t="str">
        <f t="shared" si="89"/>
        <v>Popular</v>
      </c>
    </row>
    <row r="1094" spans="1:12">
      <c r="A1094" t="s">
        <v>1888</v>
      </c>
      <c r="B1094" t="s">
        <v>1901</v>
      </c>
      <c r="C1094" s="4">
        <v>4</v>
      </c>
      <c r="D1094" s="4">
        <v>256</v>
      </c>
      <c r="E1094" t="s">
        <v>1902</v>
      </c>
      <c r="F1094" s="4">
        <v>19.042041999999999</v>
      </c>
      <c r="G1094">
        <v>72.870870699999998</v>
      </c>
      <c r="H1094">
        <f t="shared" si="85"/>
        <v>1024</v>
      </c>
      <c r="I1094" s="4">
        <f t="shared" si="86"/>
        <v>6400</v>
      </c>
      <c r="J1094" s="6">
        <f t="shared" si="87"/>
        <v>350</v>
      </c>
      <c r="K1094" s="6">
        <f t="shared" si="88"/>
        <v>2240000</v>
      </c>
      <c r="L1094" s="3" t="str">
        <f t="shared" si="89"/>
        <v>Popular</v>
      </c>
    </row>
    <row r="1095" spans="1:12">
      <c r="A1095" t="s">
        <v>1888</v>
      </c>
      <c r="B1095" t="s">
        <v>48</v>
      </c>
      <c r="C1095" s="4">
        <v>4.7</v>
      </c>
      <c r="D1095" s="4">
        <v>1415</v>
      </c>
      <c r="E1095" t="s">
        <v>243</v>
      </c>
      <c r="F1095" s="4">
        <v>19.0408896</v>
      </c>
      <c r="G1095">
        <v>72.846201800000003</v>
      </c>
      <c r="H1095">
        <f t="shared" si="85"/>
        <v>6650.5</v>
      </c>
      <c r="I1095" s="4">
        <f t="shared" si="86"/>
        <v>35375</v>
      </c>
      <c r="J1095" s="6">
        <f t="shared" si="87"/>
        <v>550</v>
      </c>
      <c r="K1095" s="6">
        <f t="shared" si="88"/>
        <v>19456250</v>
      </c>
      <c r="L1095" s="3" t="str">
        <f t="shared" si="89"/>
        <v>Premium</v>
      </c>
    </row>
    <row r="1096" spans="1:12">
      <c r="A1096" t="s">
        <v>1888</v>
      </c>
      <c r="B1096" t="s">
        <v>397</v>
      </c>
      <c r="C1096" s="4">
        <v>4.2</v>
      </c>
      <c r="D1096" s="4">
        <v>1556</v>
      </c>
      <c r="E1096" t="s">
        <v>853</v>
      </c>
      <c r="F1096" s="4">
        <v>19.0592644</v>
      </c>
      <c r="G1096">
        <v>72.864664199999893</v>
      </c>
      <c r="H1096">
        <f t="shared" si="85"/>
        <v>6535.2000000000007</v>
      </c>
      <c r="I1096" s="4">
        <f t="shared" si="86"/>
        <v>38900</v>
      </c>
      <c r="J1096" s="6">
        <f t="shared" si="87"/>
        <v>350</v>
      </c>
      <c r="K1096" s="6">
        <f t="shared" si="88"/>
        <v>13615000</v>
      </c>
      <c r="L1096" s="3" t="str">
        <f t="shared" si="89"/>
        <v>Popular</v>
      </c>
    </row>
    <row r="1097" spans="1:12">
      <c r="A1097" t="s">
        <v>1888</v>
      </c>
      <c r="B1097" t="s">
        <v>1903</v>
      </c>
      <c r="C1097" s="4">
        <v>4</v>
      </c>
      <c r="D1097" s="4">
        <v>3037</v>
      </c>
      <c r="E1097" t="s">
        <v>1904</v>
      </c>
      <c r="F1097" s="4">
        <v>19.042752199999999</v>
      </c>
      <c r="G1097">
        <v>72.8644642</v>
      </c>
      <c r="H1097">
        <f t="shared" si="85"/>
        <v>12148</v>
      </c>
      <c r="I1097" s="4">
        <f t="shared" si="86"/>
        <v>75925</v>
      </c>
      <c r="J1097" s="6">
        <f t="shared" si="87"/>
        <v>350</v>
      </c>
      <c r="K1097" s="6">
        <f t="shared" si="88"/>
        <v>26573750</v>
      </c>
      <c r="L1097" s="3" t="str">
        <f t="shared" si="89"/>
        <v>Popular</v>
      </c>
    </row>
    <row r="1098" spans="1:12">
      <c r="A1098" t="s">
        <v>1888</v>
      </c>
      <c r="B1098" t="s">
        <v>1905</v>
      </c>
      <c r="C1098" s="4">
        <v>4.2</v>
      </c>
      <c r="D1098" s="4">
        <v>4073</v>
      </c>
      <c r="E1098" t="s">
        <v>1906</v>
      </c>
      <c r="F1098" s="4">
        <v>19.041842599999999</v>
      </c>
      <c r="G1098">
        <v>72.864761700000003</v>
      </c>
      <c r="H1098">
        <f t="shared" si="85"/>
        <v>17106.600000000002</v>
      </c>
      <c r="I1098" s="4">
        <f t="shared" si="86"/>
        <v>101825</v>
      </c>
      <c r="J1098" s="6">
        <f t="shared" si="87"/>
        <v>350</v>
      </c>
      <c r="K1098" s="6">
        <f t="shared" si="88"/>
        <v>35638750</v>
      </c>
      <c r="L1098" s="3" t="str">
        <f t="shared" si="89"/>
        <v>Popular</v>
      </c>
    </row>
    <row r="1099" spans="1:12">
      <c r="A1099" t="s">
        <v>1888</v>
      </c>
      <c r="B1099" t="s">
        <v>1907</v>
      </c>
      <c r="C1099" s="4">
        <v>3.9</v>
      </c>
      <c r="D1099" s="4">
        <v>4236</v>
      </c>
      <c r="E1099" t="s">
        <v>1908</v>
      </c>
      <c r="F1099" s="4">
        <v>19.042007399999999</v>
      </c>
      <c r="G1099">
        <v>72.864156499999893</v>
      </c>
      <c r="H1099">
        <f t="shared" si="85"/>
        <v>16520.399999999998</v>
      </c>
      <c r="I1099" s="4">
        <f t="shared" si="86"/>
        <v>105900</v>
      </c>
      <c r="J1099" s="6">
        <f t="shared" si="87"/>
        <v>350</v>
      </c>
      <c r="K1099" s="6">
        <f t="shared" si="88"/>
        <v>37065000</v>
      </c>
      <c r="L1099" s="3" t="str">
        <f t="shared" si="89"/>
        <v>Average</v>
      </c>
    </row>
    <row r="1100" spans="1:12">
      <c r="A1100" t="s">
        <v>1888</v>
      </c>
      <c r="B1100" t="s">
        <v>1909</v>
      </c>
      <c r="C1100" s="4">
        <v>4.4000000000000004</v>
      </c>
      <c r="D1100" s="4">
        <v>2281</v>
      </c>
      <c r="E1100" t="s">
        <v>1910</v>
      </c>
      <c r="F1100" s="4">
        <v>19.042818199999999</v>
      </c>
      <c r="G1100">
        <v>72.861564299999998</v>
      </c>
      <c r="H1100">
        <f t="shared" si="85"/>
        <v>10036.400000000001</v>
      </c>
      <c r="I1100" s="4">
        <f t="shared" si="86"/>
        <v>57025</v>
      </c>
      <c r="J1100" s="6">
        <f t="shared" si="87"/>
        <v>450</v>
      </c>
      <c r="K1100" s="6">
        <f t="shared" si="88"/>
        <v>25661250</v>
      </c>
      <c r="L1100" s="3" t="str">
        <f t="shared" si="89"/>
        <v>Popular</v>
      </c>
    </row>
    <row r="1101" spans="1:12">
      <c r="A1101" t="s">
        <v>1888</v>
      </c>
      <c r="B1101" t="s">
        <v>1911</v>
      </c>
      <c r="C1101" s="4">
        <v>4.0999999999999996</v>
      </c>
      <c r="D1101" s="4">
        <v>243</v>
      </c>
      <c r="E1101" t="s">
        <v>1912</v>
      </c>
      <c r="F1101" s="4">
        <v>19.0397462</v>
      </c>
      <c r="G1101">
        <v>72.879436599999906</v>
      </c>
      <c r="H1101">
        <f t="shared" si="85"/>
        <v>996.3</v>
      </c>
      <c r="I1101" s="4">
        <f t="shared" si="86"/>
        <v>6075</v>
      </c>
      <c r="J1101" s="6">
        <f t="shared" si="87"/>
        <v>350</v>
      </c>
      <c r="K1101" s="6">
        <f t="shared" si="88"/>
        <v>2126250</v>
      </c>
      <c r="L1101" s="3" t="str">
        <f t="shared" si="89"/>
        <v>Popular</v>
      </c>
    </row>
    <row r="1102" spans="1:12">
      <c r="A1102" t="s">
        <v>1888</v>
      </c>
      <c r="B1102" t="s">
        <v>1913</v>
      </c>
      <c r="C1102" s="4">
        <v>3.9</v>
      </c>
      <c r="D1102" s="4">
        <v>219</v>
      </c>
      <c r="E1102" t="s">
        <v>1914</v>
      </c>
      <c r="F1102" s="4">
        <v>19.0307861</v>
      </c>
      <c r="G1102">
        <v>72.867304000000004</v>
      </c>
      <c r="H1102">
        <f t="shared" si="85"/>
        <v>854.1</v>
      </c>
      <c r="I1102" s="4">
        <f t="shared" si="86"/>
        <v>5475</v>
      </c>
      <c r="J1102" s="6">
        <f t="shared" si="87"/>
        <v>350</v>
      </c>
      <c r="K1102" s="6">
        <f t="shared" si="88"/>
        <v>1916250</v>
      </c>
      <c r="L1102" s="3" t="str">
        <f t="shared" si="89"/>
        <v>Average</v>
      </c>
    </row>
    <row r="1103" spans="1:12">
      <c r="A1103" t="s">
        <v>1888</v>
      </c>
      <c r="B1103" t="s">
        <v>305</v>
      </c>
      <c r="C1103" s="4">
        <v>3.5</v>
      </c>
      <c r="D1103" s="4">
        <v>3943</v>
      </c>
      <c r="E1103" t="s">
        <v>306</v>
      </c>
      <c r="F1103" s="4">
        <v>19.026073400000001</v>
      </c>
      <c r="G1103">
        <v>72.854984599999995</v>
      </c>
      <c r="H1103">
        <f t="shared" si="85"/>
        <v>13800.5</v>
      </c>
      <c r="I1103" s="4">
        <f t="shared" si="86"/>
        <v>98575</v>
      </c>
      <c r="J1103" s="6">
        <f t="shared" si="87"/>
        <v>350</v>
      </c>
      <c r="K1103" s="6">
        <f t="shared" si="88"/>
        <v>34501250</v>
      </c>
      <c r="L1103" s="3" t="str">
        <f t="shared" si="89"/>
        <v>Average</v>
      </c>
    </row>
    <row r="1104" spans="1:12">
      <c r="A1104" t="s">
        <v>1888</v>
      </c>
      <c r="B1104" t="s">
        <v>1915</v>
      </c>
      <c r="C1104" s="4">
        <v>4</v>
      </c>
      <c r="D1104" s="4">
        <v>1424</v>
      </c>
      <c r="E1104" t="s">
        <v>1916</v>
      </c>
      <c r="F1104" s="4">
        <v>19.035329000000001</v>
      </c>
      <c r="G1104">
        <v>72.857272699999996</v>
      </c>
      <c r="H1104">
        <f t="shared" si="85"/>
        <v>5696</v>
      </c>
      <c r="I1104" s="4">
        <f t="shared" si="86"/>
        <v>35600</v>
      </c>
      <c r="J1104" s="6">
        <f t="shared" si="87"/>
        <v>350</v>
      </c>
      <c r="K1104" s="6">
        <f t="shared" si="88"/>
        <v>12460000</v>
      </c>
      <c r="L1104" s="3" t="str">
        <f t="shared" si="89"/>
        <v>Popular</v>
      </c>
    </row>
    <row r="1105" spans="1:12">
      <c r="A1105" t="s">
        <v>1888</v>
      </c>
      <c r="B1105" t="s">
        <v>246</v>
      </c>
      <c r="C1105" s="4">
        <v>4.4000000000000004</v>
      </c>
      <c r="D1105" s="4">
        <v>5790</v>
      </c>
      <c r="E1105" t="s">
        <v>247</v>
      </c>
      <c r="F1105" s="4">
        <v>19.0390084</v>
      </c>
      <c r="G1105">
        <v>72.842680099999995</v>
      </c>
      <c r="H1105">
        <f t="shared" si="85"/>
        <v>25476.000000000004</v>
      </c>
      <c r="I1105" s="4">
        <f t="shared" si="86"/>
        <v>144750</v>
      </c>
      <c r="J1105" s="6">
        <f t="shared" si="87"/>
        <v>450</v>
      </c>
      <c r="K1105" s="6">
        <f t="shared" si="88"/>
        <v>65137500</v>
      </c>
      <c r="L1105" s="3" t="str">
        <f t="shared" si="89"/>
        <v>Popular</v>
      </c>
    </row>
    <row r="1106" spans="1:12">
      <c r="A1106" t="s">
        <v>1888</v>
      </c>
      <c r="B1106" t="s">
        <v>208</v>
      </c>
      <c r="C1106" s="4">
        <v>4.0999999999999996</v>
      </c>
      <c r="D1106" s="4">
        <v>8457</v>
      </c>
      <c r="E1106" t="s">
        <v>209</v>
      </c>
      <c r="F1106" s="4">
        <v>19.0168049</v>
      </c>
      <c r="G1106">
        <v>72.846186899999907</v>
      </c>
      <c r="H1106">
        <f t="shared" si="85"/>
        <v>34673.699999999997</v>
      </c>
      <c r="I1106" s="4">
        <f t="shared" si="86"/>
        <v>211425</v>
      </c>
      <c r="J1106" s="6">
        <f t="shared" si="87"/>
        <v>350</v>
      </c>
      <c r="K1106" s="6">
        <f t="shared" si="88"/>
        <v>73998750</v>
      </c>
      <c r="L1106" s="3" t="str">
        <f t="shared" si="89"/>
        <v>Popular</v>
      </c>
    </row>
    <row r="1107" spans="1:12">
      <c r="A1107" t="s">
        <v>1888</v>
      </c>
      <c r="B1107" t="s">
        <v>1917</v>
      </c>
      <c r="C1107" s="4">
        <v>4</v>
      </c>
      <c r="D1107" s="4">
        <v>275</v>
      </c>
      <c r="E1107" t="s">
        <v>1918</v>
      </c>
      <c r="F1107" s="4">
        <v>19.035129000000001</v>
      </c>
      <c r="G1107">
        <v>72.8611547</v>
      </c>
      <c r="H1107">
        <f t="shared" si="85"/>
        <v>1100</v>
      </c>
      <c r="I1107" s="4">
        <f t="shared" si="86"/>
        <v>6875</v>
      </c>
      <c r="J1107" s="6">
        <f t="shared" si="87"/>
        <v>350</v>
      </c>
      <c r="K1107" s="6">
        <f t="shared" si="88"/>
        <v>2406250</v>
      </c>
      <c r="L1107" s="3" t="str">
        <f t="shared" si="89"/>
        <v>Popular</v>
      </c>
    </row>
    <row r="1108" spans="1:12">
      <c r="A1108" t="s">
        <v>1888</v>
      </c>
      <c r="B1108" t="s">
        <v>1919</v>
      </c>
      <c r="C1108" s="4">
        <v>4.4000000000000004</v>
      </c>
      <c r="D1108" s="4">
        <v>46</v>
      </c>
      <c r="E1108" t="s">
        <v>1920</v>
      </c>
      <c r="F1108" s="4">
        <v>19.052607999999999</v>
      </c>
      <c r="G1108">
        <v>72.871633199999906</v>
      </c>
      <c r="H1108">
        <f t="shared" si="85"/>
        <v>202.4</v>
      </c>
      <c r="I1108" s="4">
        <f t="shared" si="86"/>
        <v>1150</v>
      </c>
      <c r="J1108" s="6">
        <f t="shared" si="87"/>
        <v>450</v>
      </c>
      <c r="K1108" s="6">
        <f t="shared" si="88"/>
        <v>517500</v>
      </c>
      <c r="L1108" s="3" t="str">
        <f t="shared" si="89"/>
        <v>Popular</v>
      </c>
    </row>
    <row r="1109" spans="1:12">
      <c r="A1109" t="s">
        <v>1888</v>
      </c>
      <c r="B1109" t="s">
        <v>1921</v>
      </c>
      <c r="C1109" s="4">
        <v>4.3</v>
      </c>
      <c r="D1109" s="4">
        <v>1829</v>
      </c>
      <c r="E1109" t="s">
        <v>1922</v>
      </c>
      <c r="F1109" s="4">
        <v>19.034498500000002</v>
      </c>
      <c r="G1109">
        <v>72.863080100000005</v>
      </c>
      <c r="H1109">
        <f t="shared" si="85"/>
        <v>7864.7</v>
      </c>
      <c r="I1109" s="4">
        <f t="shared" si="86"/>
        <v>45725</v>
      </c>
      <c r="J1109" s="6">
        <f t="shared" si="87"/>
        <v>350</v>
      </c>
      <c r="K1109" s="6">
        <f t="shared" si="88"/>
        <v>16003750</v>
      </c>
      <c r="L1109" s="3" t="str">
        <f t="shared" si="89"/>
        <v>Popular</v>
      </c>
    </row>
    <row r="1110" spans="1:12">
      <c r="A1110" t="s">
        <v>1888</v>
      </c>
      <c r="B1110" t="s">
        <v>1923</v>
      </c>
      <c r="C1110" s="4">
        <v>3.8</v>
      </c>
      <c r="D1110" s="4">
        <v>70</v>
      </c>
      <c r="E1110" t="s">
        <v>1924</v>
      </c>
      <c r="F1110" s="4">
        <v>19.043691200000001</v>
      </c>
      <c r="G1110">
        <v>72.864030499999998</v>
      </c>
      <c r="H1110">
        <f t="shared" si="85"/>
        <v>266</v>
      </c>
      <c r="I1110" s="4">
        <f t="shared" si="86"/>
        <v>1750</v>
      </c>
      <c r="J1110" s="6">
        <f t="shared" si="87"/>
        <v>350</v>
      </c>
      <c r="K1110" s="6">
        <f t="shared" si="88"/>
        <v>612500</v>
      </c>
      <c r="L1110" s="3" t="str">
        <f t="shared" si="89"/>
        <v>Average</v>
      </c>
    </row>
    <row r="1111" spans="1:12">
      <c r="A1111" t="s">
        <v>1888</v>
      </c>
      <c r="B1111" t="s">
        <v>250</v>
      </c>
      <c r="C1111" s="4">
        <v>4.2</v>
      </c>
      <c r="D1111" s="4">
        <v>4162</v>
      </c>
      <c r="E1111" t="s">
        <v>251</v>
      </c>
      <c r="F1111" s="4">
        <v>19.031528699999999</v>
      </c>
      <c r="G1111">
        <v>72.838803900000002</v>
      </c>
      <c r="H1111">
        <f t="shared" si="85"/>
        <v>17480.400000000001</v>
      </c>
      <c r="I1111" s="4">
        <f t="shared" si="86"/>
        <v>104050</v>
      </c>
      <c r="J1111" s="6">
        <f t="shared" si="87"/>
        <v>350</v>
      </c>
      <c r="K1111" s="6">
        <f t="shared" si="88"/>
        <v>36417500</v>
      </c>
      <c r="L1111" s="3" t="str">
        <f t="shared" si="89"/>
        <v>Popular</v>
      </c>
    </row>
    <row r="1112" spans="1:12">
      <c r="A1112" t="s">
        <v>1888</v>
      </c>
      <c r="B1112" t="s">
        <v>1925</v>
      </c>
      <c r="C1112" s="4">
        <v>4.2</v>
      </c>
      <c r="D1112" s="4">
        <v>5234</v>
      </c>
      <c r="E1112" t="s">
        <v>1926</v>
      </c>
      <c r="F1112" s="4">
        <v>19.045632099999999</v>
      </c>
      <c r="G1112">
        <v>72.863506399999906</v>
      </c>
      <c r="H1112">
        <f t="shared" si="85"/>
        <v>21982.799999999999</v>
      </c>
      <c r="I1112" s="4">
        <f t="shared" si="86"/>
        <v>130850</v>
      </c>
      <c r="J1112" s="6">
        <f t="shared" si="87"/>
        <v>350</v>
      </c>
      <c r="K1112" s="6">
        <f t="shared" si="88"/>
        <v>45797500</v>
      </c>
      <c r="L1112" s="3" t="str">
        <f t="shared" si="89"/>
        <v>Popular</v>
      </c>
    </row>
    <row r="1113" spans="1:12">
      <c r="A1113" t="s">
        <v>1888</v>
      </c>
      <c r="B1113" t="s">
        <v>297</v>
      </c>
      <c r="C1113" s="4">
        <v>4.3</v>
      </c>
      <c r="D1113" s="4">
        <v>675</v>
      </c>
      <c r="E1113" t="s">
        <v>298</v>
      </c>
      <c r="F1113" s="4">
        <v>19.026518599999999</v>
      </c>
      <c r="G1113">
        <v>72.856184499999998</v>
      </c>
      <c r="H1113">
        <f t="shared" si="85"/>
        <v>2902.5</v>
      </c>
      <c r="I1113" s="4">
        <f t="shared" si="86"/>
        <v>16875</v>
      </c>
      <c r="J1113" s="6">
        <f t="shared" si="87"/>
        <v>350</v>
      </c>
      <c r="K1113" s="6">
        <f t="shared" si="88"/>
        <v>5906250</v>
      </c>
      <c r="L1113" s="3" t="str">
        <f t="shared" si="89"/>
        <v>Popular</v>
      </c>
    </row>
    <row r="1114" spans="1:12">
      <c r="A1114" t="s">
        <v>1888</v>
      </c>
      <c r="B1114" t="s">
        <v>1927</v>
      </c>
      <c r="C1114" s="4">
        <v>4.0999999999999996</v>
      </c>
      <c r="D1114" s="4">
        <v>946</v>
      </c>
      <c r="E1114" t="s">
        <v>1928</v>
      </c>
      <c r="F1114" s="4">
        <v>19.0428748</v>
      </c>
      <c r="G1114">
        <v>72.861902899999905</v>
      </c>
      <c r="H1114">
        <f t="shared" si="85"/>
        <v>3878.5999999999995</v>
      </c>
      <c r="I1114" s="4">
        <f t="shared" si="86"/>
        <v>23650</v>
      </c>
      <c r="J1114" s="6">
        <f t="shared" si="87"/>
        <v>350</v>
      </c>
      <c r="K1114" s="6">
        <f t="shared" si="88"/>
        <v>8277500</v>
      </c>
      <c r="L1114" s="3" t="str">
        <f t="shared" si="89"/>
        <v>Popular</v>
      </c>
    </row>
    <row r="1115" spans="1:12">
      <c r="A1115" t="s">
        <v>1888</v>
      </c>
      <c r="B1115" t="s">
        <v>1929</v>
      </c>
      <c r="C1115" s="4">
        <v>5</v>
      </c>
      <c r="D1115" s="4">
        <v>97</v>
      </c>
      <c r="E1115" t="s">
        <v>1930</v>
      </c>
      <c r="F1115" s="4">
        <v>19.0434029</v>
      </c>
      <c r="G1115">
        <v>72.861677599999993</v>
      </c>
      <c r="H1115">
        <f t="shared" si="85"/>
        <v>485</v>
      </c>
      <c r="I1115" s="4">
        <f t="shared" si="86"/>
        <v>2425</v>
      </c>
      <c r="J1115" s="6">
        <f t="shared" si="87"/>
        <v>550</v>
      </c>
      <c r="K1115" s="6">
        <f t="shared" si="88"/>
        <v>1333750</v>
      </c>
      <c r="L1115" s="3" t="str">
        <f t="shared" si="89"/>
        <v>Premium</v>
      </c>
    </row>
    <row r="1116" spans="1:12">
      <c r="A1116" t="s">
        <v>1888</v>
      </c>
      <c r="B1116" t="s">
        <v>1931</v>
      </c>
      <c r="C1116" s="4">
        <v>3.9</v>
      </c>
      <c r="D1116" s="4">
        <v>772</v>
      </c>
      <c r="E1116" t="s">
        <v>1932</v>
      </c>
      <c r="F1116" s="4">
        <v>19.039558400000001</v>
      </c>
      <c r="G1116">
        <v>72.861467099999999</v>
      </c>
      <c r="H1116">
        <f t="shared" si="85"/>
        <v>3010.7999999999997</v>
      </c>
      <c r="I1116" s="4">
        <f t="shared" si="86"/>
        <v>19300</v>
      </c>
      <c r="J1116" s="6">
        <f t="shared" si="87"/>
        <v>350</v>
      </c>
      <c r="K1116" s="6">
        <f t="shared" si="88"/>
        <v>6755000</v>
      </c>
      <c r="L1116" s="3" t="str">
        <f t="shared" si="89"/>
        <v>Average</v>
      </c>
    </row>
    <row r="1117" spans="1:12">
      <c r="A1117" t="s">
        <v>1888</v>
      </c>
      <c r="B1117" t="s">
        <v>1933</v>
      </c>
      <c r="C1117" s="4">
        <v>4.9000000000000004</v>
      </c>
      <c r="D1117" s="4">
        <v>20</v>
      </c>
      <c r="E1117" t="s">
        <v>1934</v>
      </c>
      <c r="F1117" s="4">
        <v>19.031037999999999</v>
      </c>
      <c r="G1117">
        <v>72.859948099999997</v>
      </c>
      <c r="H1117">
        <f t="shared" si="85"/>
        <v>98</v>
      </c>
      <c r="I1117" s="4">
        <f t="shared" si="86"/>
        <v>500</v>
      </c>
      <c r="J1117" s="6">
        <f t="shared" si="87"/>
        <v>550</v>
      </c>
      <c r="K1117" s="6">
        <f t="shared" si="88"/>
        <v>275000</v>
      </c>
      <c r="L1117" s="3" t="str">
        <f t="shared" si="89"/>
        <v>Premium</v>
      </c>
    </row>
    <row r="1118" spans="1:12">
      <c r="A1118" t="s">
        <v>1888</v>
      </c>
      <c r="B1118" t="s">
        <v>1935</v>
      </c>
      <c r="C1118" s="4">
        <v>3.8</v>
      </c>
      <c r="D1118" s="4">
        <v>758</v>
      </c>
      <c r="E1118" t="s">
        <v>1936</v>
      </c>
      <c r="F1118" s="4">
        <v>19.0344461</v>
      </c>
      <c r="G1118">
        <v>72.862913399999996</v>
      </c>
      <c r="H1118">
        <f t="shared" si="85"/>
        <v>2880.4</v>
      </c>
      <c r="I1118" s="4">
        <f t="shared" si="86"/>
        <v>18950</v>
      </c>
      <c r="J1118" s="6">
        <f t="shared" si="87"/>
        <v>350</v>
      </c>
      <c r="K1118" s="6">
        <f t="shared" si="88"/>
        <v>6632500</v>
      </c>
      <c r="L1118" s="3" t="str">
        <f t="shared" si="89"/>
        <v>Average</v>
      </c>
    </row>
    <row r="1119" spans="1:12">
      <c r="A1119" t="s">
        <v>1888</v>
      </c>
      <c r="B1119" t="s">
        <v>1937</v>
      </c>
      <c r="C1119" s="4">
        <v>5</v>
      </c>
      <c r="D1119" s="4">
        <v>5</v>
      </c>
      <c r="E1119" t="s">
        <v>1938</v>
      </c>
      <c r="F1119" s="4">
        <v>19.047563100000001</v>
      </c>
      <c r="G1119">
        <v>72.865520099999998</v>
      </c>
      <c r="H1119">
        <f t="shared" si="85"/>
        <v>25</v>
      </c>
      <c r="I1119" s="4">
        <f t="shared" si="86"/>
        <v>125</v>
      </c>
      <c r="J1119" s="6">
        <f t="shared" si="87"/>
        <v>550</v>
      </c>
      <c r="K1119" s="6">
        <f t="shared" si="88"/>
        <v>68750</v>
      </c>
      <c r="L1119" s="3" t="str">
        <f t="shared" si="89"/>
        <v>Premium</v>
      </c>
    </row>
    <row r="1120" spans="1:12">
      <c r="A1120" t="s">
        <v>1888</v>
      </c>
      <c r="B1120" t="s">
        <v>48</v>
      </c>
      <c r="C1120" s="4">
        <v>4.9000000000000004</v>
      </c>
      <c r="D1120" s="4">
        <v>420</v>
      </c>
      <c r="E1120" t="s">
        <v>850</v>
      </c>
      <c r="F1120" s="4">
        <v>19.0718611</v>
      </c>
      <c r="G1120">
        <v>72.876555600000003</v>
      </c>
      <c r="H1120">
        <f t="shared" si="85"/>
        <v>2058</v>
      </c>
      <c r="I1120" s="4">
        <f t="shared" si="86"/>
        <v>10500</v>
      </c>
      <c r="J1120" s="6">
        <f t="shared" si="87"/>
        <v>550</v>
      </c>
      <c r="K1120" s="6">
        <f t="shared" si="88"/>
        <v>5775000</v>
      </c>
      <c r="L1120" s="3" t="str">
        <f t="shared" si="89"/>
        <v>Premium</v>
      </c>
    </row>
    <row r="1121" spans="1:12">
      <c r="A1121" t="s">
        <v>1888</v>
      </c>
      <c r="B1121" t="s">
        <v>1939</v>
      </c>
      <c r="C1121" s="4">
        <v>4.5</v>
      </c>
      <c r="D1121" s="4">
        <v>51</v>
      </c>
      <c r="E1121" t="s">
        <v>1940</v>
      </c>
      <c r="F1121" s="4">
        <v>19.039823299999998</v>
      </c>
      <c r="G1121">
        <v>72.879319699999996</v>
      </c>
      <c r="H1121">
        <f t="shared" si="85"/>
        <v>229.5</v>
      </c>
      <c r="I1121" s="4">
        <f t="shared" si="86"/>
        <v>1275</v>
      </c>
      <c r="J1121" s="6">
        <f t="shared" si="87"/>
        <v>450</v>
      </c>
      <c r="K1121" s="6">
        <f t="shared" si="88"/>
        <v>573750</v>
      </c>
      <c r="L1121" s="3" t="str">
        <f t="shared" si="89"/>
        <v>Premium</v>
      </c>
    </row>
    <row r="1122" spans="1:12">
      <c r="A1122" t="s">
        <v>1888</v>
      </c>
      <c r="B1122" t="s">
        <v>315</v>
      </c>
      <c r="C1122" s="4">
        <v>4.0999999999999996</v>
      </c>
      <c r="D1122" s="4">
        <v>810</v>
      </c>
      <c r="E1122" t="s">
        <v>316</v>
      </c>
      <c r="F1122" s="4">
        <v>19.018442</v>
      </c>
      <c r="G1122">
        <v>72.856666899999993</v>
      </c>
      <c r="H1122">
        <f t="shared" si="85"/>
        <v>3320.9999999999995</v>
      </c>
      <c r="I1122" s="4">
        <f t="shared" si="86"/>
        <v>20250</v>
      </c>
      <c r="J1122" s="6">
        <f t="shared" si="87"/>
        <v>350</v>
      </c>
      <c r="K1122" s="6">
        <f t="shared" si="88"/>
        <v>7087500</v>
      </c>
      <c r="L1122" s="3" t="str">
        <f t="shared" si="89"/>
        <v>Popular</v>
      </c>
    </row>
    <row r="1123" spans="1:12">
      <c r="A1123" t="s">
        <v>1888</v>
      </c>
      <c r="B1123" t="s">
        <v>1941</v>
      </c>
      <c r="C1123" s="4">
        <v>4.3</v>
      </c>
      <c r="D1123" s="4">
        <v>553</v>
      </c>
      <c r="E1123" t="s">
        <v>1942</v>
      </c>
      <c r="F1123" s="4">
        <v>19.045266300000002</v>
      </c>
      <c r="G1123">
        <v>72.864417000000003</v>
      </c>
      <c r="H1123">
        <f t="shared" si="85"/>
        <v>2377.9</v>
      </c>
      <c r="I1123" s="4">
        <f t="shared" si="86"/>
        <v>13825</v>
      </c>
      <c r="J1123" s="6">
        <f t="shared" si="87"/>
        <v>350</v>
      </c>
      <c r="K1123" s="6">
        <f t="shared" si="88"/>
        <v>4838750</v>
      </c>
      <c r="L1123" s="3" t="str">
        <f t="shared" si="89"/>
        <v>Popular</v>
      </c>
    </row>
    <row r="1124" spans="1:12">
      <c r="A1124" t="s">
        <v>1888</v>
      </c>
      <c r="B1124" t="s">
        <v>1943</v>
      </c>
      <c r="C1124" s="4">
        <v>4</v>
      </c>
      <c r="D1124" s="4">
        <v>565</v>
      </c>
      <c r="E1124" t="s">
        <v>1944</v>
      </c>
      <c r="F1124" s="4">
        <v>19.032071299999998</v>
      </c>
      <c r="G1124">
        <v>72.858370699999995</v>
      </c>
      <c r="H1124">
        <f t="shared" si="85"/>
        <v>2260</v>
      </c>
      <c r="I1124" s="4">
        <f t="shared" si="86"/>
        <v>14125</v>
      </c>
      <c r="J1124" s="6">
        <f t="shared" si="87"/>
        <v>350</v>
      </c>
      <c r="K1124" s="6">
        <f t="shared" si="88"/>
        <v>4943750</v>
      </c>
      <c r="L1124" s="3" t="str">
        <f t="shared" si="89"/>
        <v>Popular</v>
      </c>
    </row>
    <row r="1125" spans="1:12">
      <c r="A1125" t="s">
        <v>1888</v>
      </c>
      <c r="B1125" t="s">
        <v>1945</v>
      </c>
      <c r="C1125" s="4">
        <v>4.5999999999999996</v>
      </c>
      <c r="D1125" s="4">
        <v>96</v>
      </c>
      <c r="E1125" t="s">
        <v>1946</v>
      </c>
      <c r="F1125" s="4">
        <v>19.022539099999999</v>
      </c>
      <c r="G1125">
        <v>72.857116699999906</v>
      </c>
      <c r="H1125">
        <f t="shared" si="85"/>
        <v>441.59999999999997</v>
      </c>
      <c r="I1125" s="4">
        <f t="shared" si="86"/>
        <v>2400</v>
      </c>
      <c r="J1125" s="6">
        <f t="shared" si="87"/>
        <v>450</v>
      </c>
      <c r="K1125" s="6">
        <f t="shared" si="88"/>
        <v>1080000</v>
      </c>
      <c r="L1125" s="3" t="str">
        <f t="shared" si="89"/>
        <v>Premium</v>
      </c>
    </row>
    <row r="1126" spans="1:12">
      <c r="A1126" t="s">
        <v>1888</v>
      </c>
      <c r="B1126" t="s">
        <v>1947</v>
      </c>
      <c r="C1126" s="4">
        <v>4.2</v>
      </c>
      <c r="D1126" s="4">
        <v>133</v>
      </c>
      <c r="E1126" t="s">
        <v>1948</v>
      </c>
      <c r="F1126" s="4">
        <v>19.033331</v>
      </c>
      <c r="G1126">
        <v>72.861379599999907</v>
      </c>
      <c r="H1126">
        <f t="shared" si="85"/>
        <v>558.6</v>
      </c>
      <c r="I1126" s="4">
        <f t="shared" si="86"/>
        <v>3325</v>
      </c>
      <c r="J1126" s="6">
        <f t="shared" si="87"/>
        <v>350</v>
      </c>
      <c r="K1126" s="6">
        <f t="shared" si="88"/>
        <v>1163750</v>
      </c>
      <c r="L1126" s="3" t="str">
        <f t="shared" si="89"/>
        <v>Popular</v>
      </c>
    </row>
    <row r="1127" spans="1:12">
      <c r="A1127" t="s">
        <v>1888</v>
      </c>
      <c r="B1127" t="s">
        <v>1949</v>
      </c>
      <c r="C1127" s="4">
        <v>4.4000000000000004</v>
      </c>
      <c r="D1127" s="4">
        <v>32304</v>
      </c>
      <c r="E1127" t="s">
        <v>1950</v>
      </c>
      <c r="F1127" s="4">
        <v>19.027998799999999</v>
      </c>
      <c r="G1127">
        <v>72.851720799999995</v>
      </c>
      <c r="H1127">
        <f t="shared" si="85"/>
        <v>142137.60000000001</v>
      </c>
      <c r="I1127" s="4">
        <f t="shared" si="86"/>
        <v>807600</v>
      </c>
      <c r="J1127" s="6">
        <f t="shared" si="87"/>
        <v>450</v>
      </c>
      <c r="K1127" s="6">
        <f t="shared" si="88"/>
        <v>363420000</v>
      </c>
      <c r="L1127" s="3" t="str">
        <f t="shared" si="89"/>
        <v>Popular</v>
      </c>
    </row>
    <row r="1128" spans="1:12">
      <c r="A1128" t="s">
        <v>1888</v>
      </c>
      <c r="B1128" t="s">
        <v>1951</v>
      </c>
      <c r="C1128" s="4">
        <v>4.9000000000000004</v>
      </c>
      <c r="D1128" s="4">
        <v>146</v>
      </c>
      <c r="E1128" t="s">
        <v>1952</v>
      </c>
      <c r="F1128" s="4">
        <v>19.036265700000001</v>
      </c>
      <c r="G1128">
        <v>72.846831199999997</v>
      </c>
      <c r="H1128">
        <f t="shared" si="85"/>
        <v>715.40000000000009</v>
      </c>
      <c r="I1128" s="4">
        <f t="shared" si="86"/>
        <v>3650</v>
      </c>
      <c r="J1128" s="6">
        <f t="shared" si="87"/>
        <v>550</v>
      </c>
      <c r="K1128" s="6">
        <f t="shared" si="88"/>
        <v>2007500</v>
      </c>
      <c r="L1128" s="3" t="str">
        <f t="shared" si="89"/>
        <v>Premium</v>
      </c>
    </row>
    <row r="1129" spans="1:12">
      <c r="A1129" t="s">
        <v>1888</v>
      </c>
      <c r="B1129" t="s">
        <v>1953</v>
      </c>
      <c r="C1129" s="4">
        <v>4.7</v>
      </c>
      <c r="D1129" s="4">
        <v>245</v>
      </c>
      <c r="E1129" t="s">
        <v>1954</v>
      </c>
      <c r="F1129" s="4">
        <v>19.0774717</v>
      </c>
      <c r="G1129">
        <v>72.849217799999906</v>
      </c>
      <c r="H1129">
        <f t="shared" si="85"/>
        <v>1151.5</v>
      </c>
      <c r="I1129" s="4">
        <f t="shared" si="86"/>
        <v>6125</v>
      </c>
      <c r="J1129" s="6">
        <f t="shared" si="87"/>
        <v>550</v>
      </c>
      <c r="K1129" s="6">
        <f t="shared" si="88"/>
        <v>3368750</v>
      </c>
      <c r="L1129" s="3" t="str">
        <f t="shared" si="89"/>
        <v>Premium</v>
      </c>
    </row>
    <row r="1130" spans="1:12">
      <c r="A1130" t="s">
        <v>1888</v>
      </c>
      <c r="B1130" t="s">
        <v>216</v>
      </c>
      <c r="C1130" s="4">
        <v>4.2</v>
      </c>
      <c r="D1130" s="4">
        <v>846</v>
      </c>
      <c r="E1130" t="s">
        <v>217</v>
      </c>
      <c r="F1130" s="4">
        <v>19.017466299999999</v>
      </c>
      <c r="G1130">
        <v>72.848709299999996</v>
      </c>
      <c r="H1130">
        <f t="shared" si="85"/>
        <v>3553.2000000000003</v>
      </c>
      <c r="I1130" s="4">
        <f t="shared" si="86"/>
        <v>21150</v>
      </c>
      <c r="J1130" s="6">
        <f t="shared" si="87"/>
        <v>350</v>
      </c>
      <c r="K1130" s="6">
        <f t="shared" si="88"/>
        <v>7402500</v>
      </c>
      <c r="L1130" s="3" t="str">
        <f t="shared" si="89"/>
        <v>Popular</v>
      </c>
    </row>
    <row r="1131" spans="1:12">
      <c r="A1131" t="s">
        <v>1888</v>
      </c>
      <c r="B1131" t="s">
        <v>889</v>
      </c>
      <c r="C1131" s="4">
        <v>3.9</v>
      </c>
      <c r="D1131" s="4">
        <v>1394</v>
      </c>
      <c r="E1131" t="s">
        <v>890</v>
      </c>
      <c r="F1131" s="4">
        <v>19.059376799999999</v>
      </c>
      <c r="G1131">
        <v>72.865386099999995</v>
      </c>
      <c r="H1131">
        <f t="shared" si="85"/>
        <v>5436.5999999999995</v>
      </c>
      <c r="I1131" s="4">
        <f t="shared" si="86"/>
        <v>34850</v>
      </c>
      <c r="J1131" s="6">
        <f t="shared" si="87"/>
        <v>350</v>
      </c>
      <c r="K1131" s="6">
        <f t="shared" si="88"/>
        <v>12197500</v>
      </c>
      <c r="L1131" s="3" t="str">
        <f t="shared" si="89"/>
        <v>Average</v>
      </c>
    </row>
    <row r="1132" spans="1:12">
      <c r="A1132" t="s">
        <v>1888</v>
      </c>
      <c r="B1132" t="s">
        <v>504</v>
      </c>
      <c r="C1132" s="4">
        <v>4.2</v>
      </c>
      <c r="D1132" s="4">
        <v>3653</v>
      </c>
      <c r="E1132" t="s">
        <v>505</v>
      </c>
      <c r="F1132" s="4">
        <v>19.0669696</v>
      </c>
      <c r="G1132">
        <v>72.832881999999998</v>
      </c>
      <c r="H1132">
        <f t="shared" si="85"/>
        <v>15342.6</v>
      </c>
      <c r="I1132" s="4">
        <f t="shared" si="86"/>
        <v>91325</v>
      </c>
      <c r="J1132" s="6">
        <f t="shared" si="87"/>
        <v>350</v>
      </c>
      <c r="K1132" s="6">
        <f t="shared" si="88"/>
        <v>31963750</v>
      </c>
      <c r="L1132" s="3" t="str">
        <f t="shared" si="89"/>
        <v>Popular</v>
      </c>
    </row>
    <row r="1133" spans="1:12">
      <c r="A1133" t="s">
        <v>1888</v>
      </c>
      <c r="B1133" t="s">
        <v>1955</v>
      </c>
      <c r="C1133" s="4">
        <v>3.4</v>
      </c>
      <c r="D1133" s="4">
        <v>436</v>
      </c>
      <c r="E1133" t="s">
        <v>1956</v>
      </c>
      <c r="F1133" s="4">
        <v>19.039430400000001</v>
      </c>
      <c r="G1133">
        <v>72.867253099999999</v>
      </c>
      <c r="H1133">
        <f t="shared" si="85"/>
        <v>1482.3999999999999</v>
      </c>
      <c r="I1133" s="4">
        <f t="shared" si="86"/>
        <v>10900</v>
      </c>
      <c r="J1133" s="6">
        <f t="shared" si="87"/>
        <v>350</v>
      </c>
      <c r="K1133" s="6">
        <f t="shared" si="88"/>
        <v>3815000</v>
      </c>
      <c r="L1133" s="3" t="str">
        <f t="shared" si="89"/>
        <v>Average</v>
      </c>
    </row>
    <row r="1134" spans="1:12">
      <c r="A1134" t="s">
        <v>1888</v>
      </c>
      <c r="B1134" t="s">
        <v>1134</v>
      </c>
      <c r="C1134" s="4">
        <v>4.2</v>
      </c>
      <c r="D1134" s="4">
        <v>1546</v>
      </c>
      <c r="E1134" t="s">
        <v>1957</v>
      </c>
      <c r="F1134" s="4">
        <v>19.0273173</v>
      </c>
      <c r="G1134">
        <v>72.854574900000003</v>
      </c>
      <c r="H1134">
        <f t="shared" si="85"/>
        <v>6493.2000000000007</v>
      </c>
      <c r="I1134" s="4">
        <f t="shared" si="86"/>
        <v>38650</v>
      </c>
      <c r="J1134" s="6">
        <f t="shared" si="87"/>
        <v>350</v>
      </c>
      <c r="K1134" s="6">
        <f t="shared" si="88"/>
        <v>13527500</v>
      </c>
      <c r="L1134" s="3" t="str">
        <f t="shared" si="89"/>
        <v>Popular</v>
      </c>
    </row>
    <row r="1135" spans="1:12">
      <c r="A1135" t="s">
        <v>1888</v>
      </c>
      <c r="B1135" t="s">
        <v>434</v>
      </c>
      <c r="C1135" s="4">
        <v>4.5</v>
      </c>
      <c r="D1135" s="4">
        <v>543</v>
      </c>
      <c r="E1135" t="s">
        <v>435</v>
      </c>
      <c r="F1135" s="4">
        <v>19.0524466</v>
      </c>
      <c r="G1135">
        <v>72.828589800000003</v>
      </c>
      <c r="H1135">
        <f t="shared" si="85"/>
        <v>2443.5</v>
      </c>
      <c r="I1135" s="4">
        <f t="shared" si="86"/>
        <v>13575</v>
      </c>
      <c r="J1135" s="6">
        <f t="shared" si="87"/>
        <v>450</v>
      </c>
      <c r="K1135" s="6">
        <f t="shared" si="88"/>
        <v>6108750</v>
      </c>
      <c r="L1135" s="3" t="str">
        <f t="shared" si="89"/>
        <v>Premium</v>
      </c>
    </row>
    <row r="1136" spans="1:12">
      <c r="A1136" t="s">
        <v>1888</v>
      </c>
      <c r="B1136" t="s">
        <v>1958</v>
      </c>
      <c r="C1136" s="4">
        <v>4.3</v>
      </c>
      <c r="D1136" s="4">
        <v>1237</v>
      </c>
      <c r="E1136" t="s">
        <v>1959</v>
      </c>
      <c r="F1136" s="4">
        <v>19.026062499999998</v>
      </c>
      <c r="G1136">
        <v>72.855417899999907</v>
      </c>
      <c r="H1136">
        <f t="shared" si="85"/>
        <v>5319.0999999999995</v>
      </c>
      <c r="I1136" s="4">
        <f t="shared" si="86"/>
        <v>30925</v>
      </c>
      <c r="J1136" s="6">
        <f t="shared" si="87"/>
        <v>350</v>
      </c>
      <c r="K1136" s="6">
        <f t="shared" si="88"/>
        <v>10823750</v>
      </c>
      <c r="L1136" s="3" t="str">
        <f t="shared" si="89"/>
        <v>Popular</v>
      </c>
    </row>
    <row r="1137" spans="1:12">
      <c r="A1137" t="s">
        <v>1888</v>
      </c>
      <c r="B1137" t="s">
        <v>1960</v>
      </c>
      <c r="C1137" s="4">
        <v>4</v>
      </c>
      <c r="D1137" s="4">
        <v>58</v>
      </c>
      <c r="E1137" t="s">
        <v>1961</v>
      </c>
      <c r="F1137" s="4">
        <v>19.0433807</v>
      </c>
      <c r="G1137">
        <v>72.872026199999993</v>
      </c>
      <c r="H1137">
        <f t="shared" si="85"/>
        <v>232</v>
      </c>
      <c r="I1137" s="4">
        <f t="shared" si="86"/>
        <v>1450</v>
      </c>
      <c r="J1137" s="6">
        <f t="shared" si="87"/>
        <v>350</v>
      </c>
      <c r="K1137" s="6">
        <f t="shared" si="88"/>
        <v>507500</v>
      </c>
      <c r="L1137" s="3" t="str">
        <f t="shared" si="89"/>
        <v>Popular</v>
      </c>
    </row>
    <row r="1138" spans="1:12">
      <c r="A1138" t="s">
        <v>1888</v>
      </c>
      <c r="B1138" t="s">
        <v>1962</v>
      </c>
      <c r="C1138" s="4">
        <v>3.8</v>
      </c>
      <c r="D1138" s="4">
        <v>206</v>
      </c>
      <c r="E1138" t="s">
        <v>1963</v>
      </c>
      <c r="F1138" s="4">
        <v>19.0436497</v>
      </c>
      <c r="G1138">
        <v>72.864081400000003</v>
      </c>
      <c r="H1138">
        <f t="shared" si="85"/>
        <v>782.8</v>
      </c>
      <c r="I1138" s="4">
        <f t="shared" si="86"/>
        <v>5150</v>
      </c>
      <c r="J1138" s="6">
        <f t="shared" si="87"/>
        <v>350</v>
      </c>
      <c r="K1138" s="6">
        <f t="shared" si="88"/>
        <v>1802500</v>
      </c>
      <c r="L1138" s="3" t="str">
        <f t="shared" si="89"/>
        <v>Average</v>
      </c>
    </row>
    <row r="1139" spans="1:12">
      <c r="A1139" t="s">
        <v>1888</v>
      </c>
      <c r="B1139" t="s">
        <v>1964</v>
      </c>
      <c r="C1139" s="4">
        <v>3.8</v>
      </c>
      <c r="D1139" s="4">
        <v>1540</v>
      </c>
      <c r="E1139" t="s">
        <v>1965</v>
      </c>
      <c r="F1139" s="4">
        <v>19.045499899999999</v>
      </c>
      <c r="G1139">
        <v>72.863466500000001</v>
      </c>
      <c r="H1139">
        <f t="shared" si="85"/>
        <v>5852</v>
      </c>
      <c r="I1139" s="4">
        <f t="shared" si="86"/>
        <v>38500</v>
      </c>
      <c r="J1139" s="6">
        <f t="shared" si="87"/>
        <v>350</v>
      </c>
      <c r="K1139" s="6">
        <f t="shared" si="88"/>
        <v>13475000</v>
      </c>
      <c r="L1139" s="3" t="str">
        <f t="shared" si="89"/>
        <v>Average</v>
      </c>
    </row>
    <row r="1140" spans="1:12">
      <c r="A1140" t="s">
        <v>1888</v>
      </c>
      <c r="B1140" t="s">
        <v>1966</v>
      </c>
      <c r="C1140" s="4">
        <v>4.0999999999999996</v>
      </c>
      <c r="D1140" s="4">
        <v>887</v>
      </c>
      <c r="E1140" t="s">
        <v>1967</v>
      </c>
      <c r="F1140" s="4">
        <v>19.032011099999998</v>
      </c>
      <c r="G1140">
        <v>72.860050299999997</v>
      </c>
      <c r="H1140">
        <f t="shared" si="85"/>
        <v>3636.7</v>
      </c>
      <c r="I1140" s="4">
        <f t="shared" si="86"/>
        <v>22175</v>
      </c>
      <c r="J1140" s="6">
        <f t="shared" si="87"/>
        <v>350</v>
      </c>
      <c r="K1140" s="6">
        <f t="shared" si="88"/>
        <v>7761250</v>
      </c>
      <c r="L1140" s="3" t="str">
        <f t="shared" si="89"/>
        <v>Popular</v>
      </c>
    </row>
    <row r="1141" spans="1:12">
      <c r="A1141" t="s">
        <v>1888</v>
      </c>
      <c r="B1141" t="s">
        <v>1968</v>
      </c>
      <c r="C1141" s="4">
        <v>4.0999999999999996</v>
      </c>
      <c r="D1141" s="4">
        <v>143</v>
      </c>
      <c r="E1141" t="s">
        <v>1969</v>
      </c>
      <c r="F1141" s="4">
        <v>19.0341123</v>
      </c>
      <c r="G1141">
        <v>72.862191699999997</v>
      </c>
      <c r="H1141">
        <f t="shared" si="85"/>
        <v>586.29999999999995</v>
      </c>
      <c r="I1141" s="4">
        <f t="shared" si="86"/>
        <v>3575</v>
      </c>
      <c r="J1141" s="6">
        <f t="shared" si="87"/>
        <v>350</v>
      </c>
      <c r="K1141" s="6">
        <f t="shared" si="88"/>
        <v>1251250</v>
      </c>
      <c r="L1141" s="3" t="str">
        <f t="shared" si="89"/>
        <v>Popular</v>
      </c>
    </row>
    <row r="1142" spans="1:12">
      <c r="A1142" t="s">
        <v>1970</v>
      </c>
      <c r="B1142" t="s">
        <v>1971</v>
      </c>
      <c r="C1142" s="4">
        <v>4.7</v>
      </c>
      <c r="D1142" s="4">
        <v>341</v>
      </c>
      <c r="E1142" t="s">
        <v>1972</v>
      </c>
      <c r="F1142" s="4">
        <v>19.236003</v>
      </c>
      <c r="G1142">
        <v>72.970084</v>
      </c>
      <c r="H1142">
        <f t="shared" si="85"/>
        <v>1602.7</v>
      </c>
      <c r="I1142" s="4">
        <f t="shared" si="86"/>
        <v>8525</v>
      </c>
      <c r="J1142" s="6">
        <f t="shared" si="87"/>
        <v>550</v>
      </c>
      <c r="K1142" s="6">
        <f t="shared" si="88"/>
        <v>4688750</v>
      </c>
      <c r="L1142" s="3" t="str">
        <f t="shared" si="89"/>
        <v>Premium</v>
      </c>
    </row>
    <row r="1143" spans="1:12">
      <c r="A1143" t="s">
        <v>1970</v>
      </c>
      <c r="B1143" t="s">
        <v>1973</v>
      </c>
      <c r="C1143" s="4">
        <v>4.3</v>
      </c>
      <c r="D1143" s="4">
        <v>3283</v>
      </c>
      <c r="E1143" t="s">
        <v>1974</v>
      </c>
      <c r="F1143" s="4">
        <v>19.2271027</v>
      </c>
      <c r="G1143">
        <v>72.973938199999907</v>
      </c>
      <c r="H1143">
        <f t="shared" si="85"/>
        <v>14116.9</v>
      </c>
      <c r="I1143" s="4">
        <f t="shared" si="86"/>
        <v>82075</v>
      </c>
      <c r="J1143" s="6">
        <f t="shared" si="87"/>
        <v>350</v>
      </c>
      <c r="K1143" s="6">
        <f t="shared" si="88"/>
        <v>28726250</v>
      </c>
      <c r="L1143" s="3" t="str">
        <f t="shared" si="89"/>
        <v>Popular</v>
      </c>
    </row>
    <row r="1144" spans="1:12">
      <c r="A1144" t="s">
        <v>1970</v>
      </c>
      <c r="B1144" t="s">
        <v>1975</v>
      </c>
      <c r="C1144" s="4">
        <v>3.7</v>
      </c>
      <c r="D1144" s="4">
        <v>995</v>
      </c>
      <c r="E1144" t="s">
        <v>1976</v>
      </c>
      <c r="F1144" s="4">
        <v>19.187657600000001</v>
      </c>
      <c r="G1144">
        <v>72.960639799999996</v>
      </c>
      <c r="H1144">
        <f t="shared" si="85"/>
        <v>3681.5</v>
      </c>
      <c r="I1144" s="4">
        <f t="shared" si="86"/>
        <v>24875</v>
      </c>
      <c r="J1144" s="6">
        <f t="shared" si="87"/>
        <v>350</v>
      </c>
      <c r="K1144" s="6">
        <f t="shared" si="88"/>
        <v>8706250</v>
      </c>
      <c r="L1144" s="3" t="str">
        <f t="shared" si="89"/>
        <v>Average</v>
      </c>
    </row>
    <row r="1145" spans="1:12">
      <c r="A1145" t="s">
        <v>1970</v>
      </c>
      <c r="B1145" t="s">
        <v>1977</v>
      </c>
      <c r="C1145" s="4">
        <v>4</v>
      </c>
      <c r="D1145" s="4">
        <v>2132</v>
      </c>
      <c r="E1145" t="s">
        <v>1978</v>
      </c>
      <c r="F1145" s="4">
        <v>19.189621299999999</v>
      </c>
      <c r="G1145">
        <v>72.965772799999996</v>
      </c>
      <c r="H1145">
        <f t="shared" si="85"/>
        <v>8528</v>
      </c>
      <c r="I1145" s="4">
        <f t="shared" si="86"/>
        <v>53300</v>
      </c>
      <c r="J1145" s="6">
        <f t="shared" si="87"/>
        <v>350</v>
      </c>
      <c r="K1145" s="6">
        <f t="shared" si="88"/>
        <v>18655000</v>
      </c>
      <c r="L1145" s="3" t="str">
        <f t="shared" si="89"/>
        <v>Popular</v>
      </c>
    </row>
    <row r="1146" spans="1:12">
      <c r="A1146" t="s">
        <v>1970</v>
      </c>
      <c r="B1146" t="s">
        <v>1979</v>
      </c>
      <c r="C1146" s="4">
        <v>4.0999999999999996</v>
      </c>
      <c r="D1146" s="4">
        <v>942</v>
      </c>
      <c r="E1146" t="s">
        <v>1980</v>
      </c>
      <c r="F1146" s="4">
        <v>19.240100600000002</v>
      </c>
      <c r="G1146">
        <v>72.969297799999893</v>
      </c>
      <c r="H1146">
        <f t="shared" si="85"/>
        <v>3862.2</v>
      </c>
      <c r="I1146" s="4">
        <f t="shared" si="86"/>
        <v>23550</v>
      </c>
      <c r="J1146" s="6">
        <f t="shared" si="87"/>
        <v>350</v>
      </c>
      <c r="K1146" s="6">
        <f t="shared" si="88"/>
        <v>8242500</v>
      </c>
      <c r="L1146" s="3" t="str">
        <f t="shared" si="89"/>
        <v>Popular</v>
      </c>
    </row>
    <row r="1147" spans="1:12">
      <c r="A1147" t="s">
        <v>1970</v>
      </c>
      <c r="B1147" t="s">
        <v>1981</v>
      </c>
      <c r="C1147" s="4">
        <v>4.5</v>
      </c>
      <c r="D1147" s="4">
        <v>463</v>
      </c>
      <c r="E1147" t="s">
        <v>1982</v>
      </c>
      <c r="F1147" s="4">
        <v>19.253601700000001</v>
      </c>
      <c r="G1147">
        <v>72.973418499999994</v>
      </c>
      <c r="H1147">
        <f t="shared" si="85"/>
        <v>2083.5</v>
      </c>
      <c r="I1147" s="4">
        <f t="shared" si="86"/>
        <v>11575</v>
      </c>
      <c r="J1147" s="6">
        <f t="shared" si="87"/>
        <v>450</v>
      </c>
      <c r="K1147" s="6">
        <f t="shared" si="88"/>
        <v>5208750</v>
      </c>
      <c r="L1147" s="3" t="str">
        <f t="shared" si="89"/>
        <v>Premium</v>
      </c>
    </row>
    <row r="1148" spans="1:12">
      <c r="A1148" t="s">
        <v>1970</v>
      </c>
      <c r="B1148" t="s">
        <v>1983</v>
      </c>
      <c r="C1148" s="4">
        <v>4.2</v>
      </c>
      <c r="D1148" s="4">
        <v>10672</v>
      </c>
      <c r="E1148" t="s">
        <v>1984</v>
      </c>
      <c r="F1148" s="4">
        <v>19.1949817</v>
      </c>
      <c r="G1148">
        <v>72.976551799999996</v>
      </c>
      <c r="H1148">
        <f t="shared" si="85"/>
        <v>44822.400000000001</v>
      </c>
      <c r="I1148" s="4">
        <f t="shared" si="86"/>
        <v>266800</v>
      </c>
      <c r="J1148" s="6">
        <f t="shared" si="87"/>
        <v>350</v>
      </c>
      <c r="K1148" s="6">
        <f t="shared" si="88"/>
        <v>93380000</v>
      </c>
      <c r="L1148" s="3" t="str">
        <f t="shared" si="89"/>
        <v>Popular</v>
      </c>
    </row>
    <row r="1149" spans="1:12">
      <c r="A1149" t="s">
        <v>1970</v>
      </c>
      <c r="B1149" t="s">
        <v>1985</v>
      </c>
      <c r="C1149" s="4">
        <v>4.4000000000000004</v>
      </c>
      <c r="D1149" s="4">
        <v>698</v>
      </c>
      <c r="E1149" t="s">
        <v>1986</v>
      </c>
      <c r="F1149" s="4">
        <v>19.244108700000002</v>
      </c>
      <c r="G1149">
        <v>72.995818999999997</v>
      </c>
      <c r="H1149">
        <f t="shared" si="85"/>
        <v>3071.2000000000003</v>
      </c>
      <c r="I1149" s="4">
        <f t="shared" si="86"/>
        <v>17450</v>
      </c>
      <c r="J1149" s="6">
        <f t="shared" si="87"/>
        <v>450</v>
      </c>
      <c r="K1149" s="6">
        <f t="shared" si="88"/>
        <v>7852500</v>
      </c>
      <c r="L1149" s="3" t="str">
        <f t="shared" si="89"/>
        <v>Popular</v>
      </c>
    </row>
    <row r="1150" spans="1:12">
      <c r="A1150" t="s">
        <v>1970</v>
      </c>
      <c r="B1150" t="s">
        <v>1987</v>
      </c>
      <c r="C1150" s="4">
        <v>3.9</v>
      </c>
      <c r="D1150" s="4">
        <v>288</v>
      </c>
      <c r="E1150" t="s">
        <v>1988</v>
      </c>
      <c r="F1150" s="4">
        <v>19.192506099999999</v>
      </c>
      <c r="G1150">
        <v>72.976871299999999</v>
      </c>
      <c r="H1150">
        <f t="shared" si="85"/>
        <v>1123.2</v>
      </c>
      <c r="I1150" s="4">
        <f t="shared" si="86"/>
        <v>7200</v>
      </c>
      <c r="J1150" s="6">
        <f t="shared" si="87"/>
        <v>350</v>
      </c>
      <c r="K1150" s="6">
        <f t="shared" si="88"/>
        <v>2520000</v>
      </c>
      <c r="L1150" s="3" t="str">
        <f t="shared" si="89"/>
        <v>Average</v>
      </c>
    </row>
    <row r="1151" spans="1:12">
      <c r="A1151" t="s">
        <v>1970</v>
      </c>
      <c r="B1151" t="s">
        <v>1989</v>
      </c>
      <c r="C1151" s="4">
        <v>4.3</v>
      </c>
      <c r="D1151" s="4">
        <v>520</v>
      </c>
      <c r="E1151" t="s">
        <v>1990</v>
      </c>
      <c r="F1151" s="4">
        <v>19.2162462</v>
      </c>
      <c r="G1151">
        <v>72.972896800000001</v>
      </c>
      <c r="H1151">
        <f t="shared" si="85"/>
        <v>2236</v>
      </c>
      <c r="I1151" s="4">
        <f t="shared" si="86"/>
        <v>13000</v>
      </c>
      <c r="J1151" s="6">
        <f t="shared" si="87"/>
        <v>350</v>
      </c>
      <c r="K1151" s="6">
        <f t="shared" si="88"/>
        <v>4550000</v>
      </c>
      <c r="L1151" s="3" t="str">
        <f t="shared" si="89"/>
        <v>Popular</v>
      </c>
    </row>
    <row r="1152" spans="1:12">
      <c r="A1152" t="s">
        <v>1970</v>
      </c>
      <c r="B1152" t="s">
        <v>1991</v>
      </c>
      <c r="C1152" s="4">
        <v>4.3</v>
      </c>
      <c r="D1152" s="4">
        <v>1444</v>
      </c>
      <c r="E1152" t="s">
        <v>1992</v>
      </c>
      <c r="F1152" s="4">
        <v>19.1930549</v>
      </c>
      <c r="G1152">
        <v>72.967446100000004</v>
      </c>
      <c r="H1152">
        <f t="shared" si="85"/>
        <v>6209.2</v>
      </c>
      <c r="I1152" s="4">
        <f t="shared" si="86"/>
        <v>36100</v>
      </c>
      <c r="J1152" s="6">
        <f t="shared" si="87"/>
        <v>350</v>
      </c>
      <c r="K1152" s="6">
        <f t="shared" si="88"/>
        <v>12635000</v>
      </c>
      <c r="L1152" s="3" t="str">
        <f t="shared" si="89"/>
        <v>Popular</v>
      </c>
    </row>
    <row r="1153" spans="1:12">
      <c r="A1153" t="s">
        <v>1970</v>
      </c>
      <c r="B1153" t="s">
        <v>1993</v>
      </c>
      <c r="C1153" s="4">
        <v>4.8</v>
      </c>
      <c r="D1153" s="4">
        <v>104</v>
      </c>
      <c r="E1153" t="s">
        <v>1994</v>
      </c>
      <c r="F1153" s="4">
        <v>19.227010100000001</v>
      </c>
      <c r="G1153">
        <v>72.973902499999994</v>
      </c>
      <c r="H1153">
        <f t="shared" si="85"/>
        <v>499.2</v>
      </c>
      <c r="I1153" s="4">
        <f t="shared" si="86"/>
        <v>2600</v>
      </c>
      <c r="J1153" s="6">
        <f t="shared" si="87"/>
        <v>550</v>
      </c>
      <c r="K1153" s="6">
        <f t="shared" si="88"/>
        <v>1430000</v>
      </c>
      <c r="L1153" s="3" t="str">
        <f t="shared" si="89"/>
        <v>Premium</v>
      </c>
    </row>
    <row r="1154" spans="1:12">
      <c r="A1154" t="s">
        <v>1970</v>
      </c>
      <c r="B1154" t="s">
        <v>1995</v>
      </c>
      <c r="C1154" s="4">
        <v>4</v>
      </c>
      <c r="D1154" s="4">
        <v>86</v>
      </c>
      <c r="E1154" t="s">
        <v>1996</v>
      </c>
      <c r="F1154" s="4">
        <v>19.1886945</v>
      </c>
      <c r="G1154">
        <v>72.954631800000001</v>
      </c>
      <c r="H1154">
        <f t="shared" ref="H1154:H1201" si="90">C1154*D1154</f>
        <v>344</v>
      </c>
      <c r="I1154" s="4">
        <f t="shared" ref="I1154:I1201" si="91">D1154*25</f>
        <v>2150</v>
      </c>
      <c r="J1154" s="6">
        <f t="shared" ref="J1154:J1201" si="92">IF(C1154&gt;=4.7,550,IF(C1154&gt;=4.4,450,IF(C1154&gt;=O1156,350,250)))</f>
        <v>350</v>
      </c>
      <c r="K1154" s="6">
        <f t="shared" ref="K1154:K1201" si="93">I1154*J1154</f>
        <v>752500</v>
      </c>
      <c r="L1154" s="3" t="str">
        <f t="shared" ref="L1154:L1201" si="94">IF(C1154&gt;=4.5,"Premium",IF(C1154&gt;=4,"Popular","Average"))</f>
        <v>Popular</v>
      </c>
    </row>
    <row r="1155" spans="1:12">
      <c r="A1155" t="s">
        <v>1970</v>
      </c>
      <c r="B1155" t="s">
        <v>1997</v>
      </c>
      <c r="C1155" s="4">
        <v>4.4000000000000004</v>
      </c>
      <c r="D1155" s="4">
        <v>260</v>
      </c>
      <c r="E1155" t="s">
        <v>1998</v>
      </c>
      <c r="F1155" s="4">
        <v>19.250929599999999</v>
      </c>
      <c r="G1155">
        <v>72.981668099999993</v>
      </c>
      <c r="H1155">
        <f t="shared" si="90"/>
        <v>1144</v>
      </c>
      <c r="I1155" s="4">
        <f t="shared" si="91"/>
        <v>6500</v>
      </c>
      <c r="J1155" s="6">
        <f t="shared" si="92"/>
        <v>450</v>
      </c>
      <c r="K1155" s="6">
        <f t="shared" si="93"/>
        <v>2925000</v>
      </c>
      <c r="L1155" s="3" t="str">
        <f t="shared" si="94"/>
        <v>Popular</v>
      </c>
    </row>
    <row r="1156" spans="1:12">
      <c r="A1156" t="s">
        <v>1970</v>
      </c>
      <c r="B1156" t="s">
        <v>1999</v>
      </c>
      <c r="C1156" s="4">
        <v>4.5999999999999996</v>
      </c>
      <c r="D1156" s="4">
        <v>318</v>
      </c>
      <c r="E1156" t="s">
        <v>2000</v>
      </c>
      <c r="F1156" s="4">
        <v>19.204369499999999</v>
      </c>
      <c r="G1156">
        <v>72.969797299999996</v>
      </c>
      <c r="H1156">
        <f t="shared" si="90"/>
        <v>1462.8</v>
      </c>
      <c r="I1156" s="4">
        <f t="shared" si="91"/>
        <v>7950</v>
      </c>
      <c r="J1156" s="6">
        <f t="shared" si="92"/>
        <v>450</v>
      </c>
      <c r="K1156" s="6">
        <f t="shared" si="93"/>
        <v>3577500</v>
      </c>
      <c r="L1156" s="3" t="str">
        <f t="shared" si="94"/>
        <v>Premium</v>
      </c>
    </row>
    <row r="1157" spans="1:12">
      <c r="A1157" t="s">
        <v>1970</v>
      </c>
      <c r="B1157" t="s">
        <v>1161</v>
      </c>
      <c r="C1157" s="4">
        <v>4.5</v>
      </c>
      <c r="D1157" s="4">
        <v>514</v>
      </c>
      <c r="E1157" t="s">
        <v>1162</v>
      </c>
      <c r="F1157" s="4">
        <v>19.191727199999999</v>
      </c>
      <c r="G1157">
        <v>72.954816600000001</v>
      </c>
      <c r="H1157">
        <f t="shared" si="90"/>
        <v>2313</v>
      </c>
      <c r="I1157" s="4">
        <f t="shared" si="91"/>
        <v>12850</v>
      </c>
      <c r="J1157" s="6">
        <f t="shared" si="92"/>
        <v>450</v>
      </c>
      <c r="K1157" s="6">
        <f t="shared" si="93"/>
        <v>5782500</v>
      </c>
      <c r="L1157" s="3" t="str">
        <f t="shared" si="94"/>
        <v>Premium</v>
      </c>
    </row>
    <row r="1158" spans="1:12">
      <c r="A1158" t="s">
        <v>1970</v>
      </c>
      <c r="B1158" t="s">
        <v>2001</v>
      </c>
      <c r="C1158" s="4">
        <v>4.8</v>
      </c>
      <c r="D1158" s="4">
        <v>433</v>
      </c>
      <c r="E1158" t="s">
        <v>2002</v>
      </c>
      <c r="F1158" s="4">
        <v>19.227101000000001</v>
      </c>
      <c r="G1158">
        <v>72.9705479</v>
      </c>
      <c r="H1158">
        <f t="shared" si="90"/>
        <v>2078.4</v>
      </c>
      <c r="I1158" s="4">
        <f t="shared" si="91"/>
        <v>10825</v>
      </c>
      <c r="J1158" s="6">
        <f t="shared" si="92"/>
        <v>550</v>
      </c>
      <c r="K1158" s="6">
        <f t="shared" si="93"/>
        <v>5953750</v>
      </c>
      <c r="L1158" s="3" t="str">
        <f t="shared" si="94"/>
        <v>Premium</v>
      </c>
    </row>
    <row r="1159" spans="1:12">
      <c r="A1159" t="s">
        <v>1970</v>
      </c>
      <c r="B1159" t="s">
        <v>2003</v>
      </c>
      <c r="C1159" s="4">
        <v>4</v>
      </c>
      <c r="D1159" s="4">
        <v>1842</v>
      </c>
      <c r="E1159" t="s">
        <v>2004</v>
      </c>
      <c r="F1159" s="4">
        <v>19.192499300000001</v>
      </c>
      <c r="G1159">
        <v>72.971007999999998</v>
      </c>
      <c r="H1159">
        <f t="shared" si="90"/>
        <v>7368</v>
      </c>
      <c r="I1159" s="4">
        <f t="shared" si="91"/>
        <v>46050</v>
      </c>
      <c r="J1159" s="6">
        <f t="shared" si="92"/>
        <v>350</v>
      </c>
      <c r="K1159" s="6">
        <f t="shared" si="93"/>
        <v>16117500</v>
      </c>
      <c r="L1159" s="3" t="str">
        <f t="shared" si="94"/>
        <v>Popular</v>
      </c>
    </row>
    <row r="1160" spans="1:12">
      <c r="A1160" t="s">
        <v>1970</v>
      </c>
      <c r="B1160" t="s">
        <v>2005</v>
      </c>
      <c r="C1160" s="4">
        <v>4.3</v>
      </c>
      <c r="D1160" s="4">
        <v>1158</v>
      </c>
      <c r="E1160" t="s">
        <v>2006</v>
      </c>
      <c r="F1160" s="4">
        <v>19.255773699999999</v>
      </c>
      <c r="G1160">
        <v>72.983936200000002</v>
      </c>
      <c r="H1160">
        <f t="shared" si="90"/>
        <v>4979.3999999999996</v>
      </c>
      <c r="I1160" s="4">
        <f t="shared" si="91"/>
        <v>28950</v>
      </c>
      <c r="J1160" s="6">
        <f t="shared" si="92"/>
        <v>350</v>
      </c>
      <c r="K1160" s="6">
        <f t="shared" si="93"/>
        <v>10132500</v>
      </c>
      <c r="L1160" s="3" t="str">
        <f t="shared" si="94"/>
        <v>Popular</v>
      </c>
    </row>
    <row r="1161" spans="1:12">
      <c r="A1161" t="s">
        <v>1970</v>
      </c>
      <c r="B1161" t="s">
        <v>2007</v>
      </c>
      <c r="C1161" s="4">
        <v>4.5999999999999996</v>
      </c>
      <c r="D1161" s="4">
        <v>840</v>
      </c>
      <c r="E1161" t="s">
        <v>2008</v>
      </c>
      <c r="F1161" s="4">
        <v>19.197184199999999</v>
      </c>
      <c r="G1161">
        <v>72.955520899999996</v>
      </c>
      <c r="H1161">
        <f t="shared" si="90"/>
        <v>3863.9999999999995</v>
      </c>
      <c r="I1161" s="4">
        <f t="shared" si="91"/>
        <v>21000</v>
      </c>
      <c r="J1161" s="6">
        <f t="shared" si="92"/>
        <v>450</v>
      </c>
      <c r="K1161" s="6">
        <f t="shared" si="93"/>
        <v>9450000</v>
      </c>
      <c r="L1161" s="3" t="str">
        <f t="shared" si="94"/>
        <v>Premium</v>
      </c>
    </row>
    <row r="1162" spans="1:12">
      <c r="A1162" t="s">
        <v>1970</v>
      </c>
      <c r="B1162" t="s">
        <v>2009</v>
      </c>
      <c r="C1162" s="4">
        <v>4.0999999999999996</v>
      </c>
      <c r="D1162" s="4">
        <v>742</v>
      </c>
      <c r="E1162" t="s">
        <v>2010</v>
      </c>
      <c r="F1162" s="4">
        <v>19.187557000000002</v>
      </c>
      <c r="G1162">
        <v>72.969451699999993</v>
      </c>
      <c r="H1162">
        <f t="shared" si="90"/>
        <v>3042.2</v>
      </c>
      <c r="I1162" s="4">
        <f t="shared" si="91"/>
        <v>18550</v>
      </c>
      <c r="J1162" s="6">
        <f t="shared" si="92"/>
        <v>350</v>
      </c>
      <c r="K1162" s="6">
        <f t="shared" si="93"/>
        <v>6492500</v>
      </c>
      <c r="L1162" s="3" t="str">
        <f t="shared" si="94"/>
        <v>Popular</v>
      </c>
    </row>
    <row r="1163" spans="1:12">
      <c r="A1163" t="s">
        <v>1970</v>
      </c>
      <c r="B1163" t="s">
        <v>2011</v>
      </c>
      <c r="C1163" s="4">
        <v>4.5999999999999996</v>
      </c>
      <c r="D1163" s="4">
        <v>175</v>
      </c>
      <c r="E1163" t="s">
        <v>2012</v>
      </c>
      <c r="F1163" s="4">
        <v>19.189751300000001</v>
      </c>
      <c r="G1163">
        <v>72.965825299999906</v>
      </c>
      <c r="H1163">
        <f t="shared" si="90"/>
        <v>804.99999999999989</v>
      </c>
      <c r="I1163" s="4">
        <f t="shared" si="91"/>
        <v>4375</v>
      </c>
      <c r="J1163" s="6">
        <f t="shared" si="92"/>
        <v>450</v>
      </c>
      <c r="K1163" s="6">
        <f t="shared" si="93"/>
        <v>1968750</v>
      </c>
      <c r="L1163" s="3" t="str">
        <f t="shared" si="94"/>
        <v>Premium</v>
      </c>
    </row>
    <row r="1164" spans="1:12">
      <c r="A1164" t="s">
        <v>1970</v>
      </c>
      <c r="B1164" t="s">
        <v>48</v>
      </c>
      <c r="C1164" s="4">
        <v>4.8</v>
      </c>
      <c r="D1164" s="4">
        <v>714</v>
      </c>
      <c r="E1164" t="s">
        <v>2013</v>
      </c>
      <c r="F1164" s="4">
        <v>19.2086994</v>
      </c>
      <c r="G1164">
        <v>72.971461599999998</v>
      </c>
      <c r="H1164">
        <f t="shared" si="90"/>
        <v>3427.2</v>
      </c>
      <c r="I1164" s="4">
        <f t="shared" si="91"/>
        <v>17850</v>
      </c>
      <c r="J1164" s="6">
        <f t="shared" si="92"/>
        <v>550</v>
      </c>
      <c r="K1164" s="6">
        <f t="shared" si="93"/>
        <v>9817500</v>
      </c>
      <c r="L1164" s="3" t="str">
        <f t="shared" si="94"/>
        <v>Premium</v>
      </c>
    </row>
    <row r="1165" spans="1:12">
      <c r="A1165" t="s">
        <v>1970</v>
      </c>
      <c r="B1165" t="s">
        <v>2014</v>
      </c>
      <c r="C1165" s="4">
        <v>4.5</v>
      </c>
      <c r="D1165" s="4">
        <v>559</v>
      </c>
      <c r="E1165" t="s">
        <v>2015</v>
      </c>
      <c r="F1165" s="4">
        <v>19.2056881</v>
      </c>
      <c r="G1165">
        <v>72.977210499999998</v>
      </c>
      <c r="H1165">
        <f t="shared" si="90"/>
        <v>2515.5</v>
      </c>
      <c r="I1165" s="4">
        <f t="shared" si="91"/>
        <v>13975</v>
      </c>
      <c r="J1165" s="6">
        <f t="shared" si="92"/>
        <v>450</v>
      </c>
      <c r="K1165" s="6">
        <f t="shared" si="93"/>
        <v>6288750</v>
      </c>
      <c r="L1165" s="3" t="str">
        <f t="shared" si="94"/>
        <v>Premium</v>
      </c>
    </row>
    <row r="1166" spans="1:12">
      <c r="A1166" t="s">
        <v>1970</v>
      </c>
      <c r="B1166" t="s">
        <v>2016</v>
      </c>
      <c r="C1166" s="4">
        <v>4.4000000000000004</v>
      </c>
      <c r="D1166" s="4">
        <v>795</v>
      </c>
      <c r="E1166" t="s">
        <v>2017</v>
      </c>
      <c r="F1166" s="4">
        <v>19.231204000000002</v>
      </c>
      <c r="G1166">
        <v>72.977219199999993</v>
      </c>
      <c r="H1166">
        <f t="shared" si="90"/>
        <v>3498.0000000000005</v>
      </c>
      <c r="I1166" s="4">
        <f t="shared" si="91"/>
        <v>19875</v>
      </c>
      <c r="J1166" s="6">
        <f t="shared" si="92"/>
        <v>450</v>
      </c>
      <c r="K1166" s="6">
        <f t="shared" si="93"/>
        <v>8943750</v>
      </c>
      <c r="L1166" s="3" t="str">
        <f t="shared" si="94"/>
        <v>Popular</v>
      </c>
    </row>
    <row r="1167" spans="1:12">
      <c r="A1167" t="s">
        <v>1970</v>
      </c>
      <c r="B1167" t="s">
        <v>2018</v>
      </c>
      <c r="C1167" s="4">
        <v>4.7</v>
      </c>
      <c r="D1167" s="4">
        <v>170</v>
      </c>
      <c r="E1167" t="s">
        <v>2019</v>
      </c>
      <c r="F1167" s="4">
        <v>19.232445299999998</v>
      </c>
      <c r="G1167">
        <v>72.971576299999995</v>
      </c>
      <c r="H1167">
        <f t="shared" si="90"/>
        <v>799</v>
      </c>
      <c r="I1167" s="4">
        <f t="shared" si="91"/>
        <v>4250</v>
      </c>
      <c r="J1167" s="6">
        <f t="shared" si="92"/>
        <v>550</v>
      </c>
      <c r="K1167" s="6">
        <f t="shared" si="93"/>
        <v>2337500</v>
      </c>
      <c r="L1167" s="3" t="str">
        <f t="shared" si="94"/>
        <v>Premium</v>
      </c>
    </row>
    <row r="1168" spans="1:12">
      <c r="A1168" t="s">
        <v>1970</v>
      </c>
      <c r="B1168" t="s">
        <v>2020</v>
      </c>
      <c r="C1168" s="4">
        <v>4.8</v>
      </c>
      <c r="D1168" s="4">
        <v>27</v>
      </c>
      <c r="E1168" t="s">
        <v>2021</v>
      </c>
      <c r="F1168" s="4">
        <v>19.226470500000001</v>
      </c>
      <c r="G1168">
        <v>72.970475199999996</v>
      </c>
      <c r="H1168">
        <f t="shared" si="90"/>
        <v>129.6</v>
      </c>
      <c r="I1168" s="4">
        <f t="shared" si="91"/>
        <v>675</v>
      </c>
      <c r="J1168" s="6">
        <f t="shared" si="92"/>
        <v>550</v>
      </c>
      <c r="K1168" s="6">
        <f t="shared" si="93"/>
        <v>371250</v>
      </c>
      <c r="L1168" s="3" t="str">
        <f t="shared" si="94"/>
        <v>Premium</v>
      </c>
    </row>
    <row r="1169" spans="1:12">
      <c r="A1169" t="s">
        <v>1970</v>
      </c>
      <c r="B1169" t="s">
        <v>2022</v>
      </c>
      <c r="C1169" s="4">
        <v>4.4000000000000004</v>
      </c>
      <c r="D1169" s="4">
        <v>1095</v>
      </c>
      <c r="E1169" t="s">
        <v>2023</v>
      </c>
      <c r="F1169" s="4">
        <v>19.255536800000002</v>
      </c>
      <c r="G1169">
        <v>72.983393800000002</v>
      </c>
      <c r="H1169">
        <f t="shared" si="90"/>
        <v>4818</v>
      </c>
      <c r="I1169" s="4">
        <f t="shared" si="91"/>
        <v>27375</v>
      </c>
      <c r="J1169" s="6">
        <f t="shared" si="92"/>
        <v>450</v>
      </c>
      <c r="K1169" s="6">
        <f t="shared" si="93"/>
        <v>12318750</v>
      </c>
      <c r="L1169" s="3" t="str">
        <f t="shared" si="94"/>
        <v>Popular</v>
      </c>
    </row>
    <row r="1170" spans="1:12">
      <c r="A1170" t="s">
        <v>1970</v>
      </c>
      <c r="B1170" t="s">
        <v>2024</v>
      </c>
      <c r="C1170" s="4">
        <v>4.3</v>
      </c>
      <c r="D1170" s="4">
        <v>164</v>
      </c>
      <c r="E1170" t="s">
        <v>2025</v>
      </c>
      <c r="F1170" s="4">
        <v>19.228470999999999</v>
      </c>
      <c r="G1170">
        <v>72.972144099999994</v>
      </c>
      <c r="H1170">
        <f t="shared" si="90"/>
        <v>705.19999999999993</v>
      </c>
      <c r="I1170" s="4">
        <f t="shared" si="91"/>
        <v>4100</v>
      </c>
      <c r="J1170" s="6">
        <f t="shared" si="92"/>
        <v>350</v>
      </c>
      <c r="K1170" s="6">
        <f t="shared" si="93"/>
        <v>1435000</v>
      </c>
      <c r="L1170" s="3" t="str">
        <f t="shared" si="94"/>
        <v>Popular</v>
      </c>
    </row>
    <row r="1171" spans="1:12">
      <c r="A1171" t="s">
        <v>1970</v>
      </c>
      <c r="B1171" t="s">
        <v>1071</v>
      </c>
      <c r="C1171" s="4">
        <v>4.4000000000000004</v>
      </c>
      <c r="D1171" s="4">
        <v>3200</v>
      </c>
      <c r="E1171" t="s">
        <v>2026</v>
      </c>
      <c r="F1171" s="4">
        <v>19.226272900000001</v>
      </c>
      <c r="G1171">
        <v>72.970444499999999</v>
      </c>
      <c r="H1171">
        <f t="shared" si="90"/>
        <v>14080.000000000002</v>
      </c>
      <c r="I1171" s="4">
        <f t="shared" si="91"/>
        <v>80000</v>
      </c>
      <c r="J1171" s="6">
        <f t="shared" si="92"/>
        <v>450</v>
      </c>
      <c r="K1171" s="6">
        <f t="shared" si="93"/>
        <v>36000000</v>
      </c>
      <c r="L1171" s="3" t="str">
        <f t="shared" si="94"/>
        <v>Popular</v>
      </c>
    </row>
    <row r="1172" spans="1:12">
      <c r="A1172" t="s">
        <v>1970</v>
      </c>
      <c r="B1172" t="s">
        <v>2027</v>
      </c>
      <c r="C1172" s="4">
        <v>4.7</v>
      </c>
      <c r="D1172" s="4">
        <v>196</v>
      </c>
      <c r="E1172" t="s">
        <v>2028</v>
      </c>
      <c r="F1172" s="4">
        <v>19.2674612</v>
      </c>
      <c r="G1172">
        <v>72.967325500000001</v>
      </c>
      <c r="H1172">
        <f t="shared" si="90"/>
        <v>921.2</v>
      </c>
      <c r="I1172" s="4">
        <f t="shared" si="91"/>
        <v>4900</v>
      </c>
      <c r="J1172" s="6">
        <f t="shared" si="92"/>
        <v>550</v>
      </c>
      <c r="K1172" s="6">
        <f t="shared" si="93"/>
        <v>2695000</v>
      </c>
      <c r="L1172" s="3" t="str">
        <f t="shared" si="94"/>
        <v>Premium</v>
      </c>
    </row>
    <row r="1173" spans="1:12">
      <c r="A1173" t="s">
        <v>1970</v>
      </c>
      <c r="B1173" t="s">
        <v>2029</v>
      </c>
      <c r="C1173" s="4">
        <v>4.4000000000000004</v>
      </c>
      <c r="D1173" s="4">
        <v>314</v>
      </c>
      <c r="E1173" t="s">
        <v>2030</v>
      </c>
      <c r="F1173" s="4">
        <v>19.260932499999999</v>
      </c>
      <c r="G1173">
        <v>72.985196199999905</v>
      </c>
      <c r="H1173">
        <f t="shared" si="90"/>
        <v>1381.6000000000001</v>
      </c>
      <c r="I1173" s="4">
        <f t="shared" si="91"/>
        <v>7850</v>
      </c>
      <c r="J1173" s="6">
        <f t="shared" si="92"/>
        <v>450</v>
      </c>
      <c r="K1173" s="6">
        <f t="shared" si="93"/>
        <v>3532500</v>
      </c>
      <c r="L1173" s="3" t="str">
        <f t="shared" si="94"/>
        <v>Popular</v>
      </c>
    </row>
    <row r="1174" spans="1:12">
      <c r="A1174" t="s">
        <v>1970</v>
      </c>
      <c r="B1174" t="s">
        <v>2031</v>
      </c>
      <c r="C1174" s="4">
        <v>4.5</v>
      </c>
      <c r="D1174" s="4">
        <v>124</v>
      </c>
      <c r="E1174" t="s">
        <v>2032</v>
      </c>
      <c r="F1174" s="4">
        <v>19.224918800000001</v>
      </c>
      <c r="G1174">
        <v>72.975511599999905</v>
      </c>
      <c r="H1174">
        <f t="shared" si="90"/>
        <v>558</v>
      </c>
      <c r="I1174" s="4">
        <f t="shared" si="91"/>
        <v>3100</v>
      </c>
      <c r="J1174" s="6">
        <f t="shared" si="92"/>
        <v>450</v>
      </c>
      <c r="K1174" s="6">
        <f t="shared" si="93"/>
        <v>1395000</v>
      </c>
      <c r="L1174" s="3" t="str">
        <f t="shared" si="94"/>
        <v>Premium</v>
      </c>
    </row>
    <row r="1175" spans="1:12">
      <c r="A1175" t="s">
        <v>1970</v>
      </c>
      <c r="B1175" t="s">
        <v>2033</v>
      </c>
      <c r="C1175" s="4">
        <v>4.5999999999999996</v>
      </c>
      <c r="D1175" s="4">
        <v>163</v>
      </c>
      <c r="E1175" t="s">
        <v>2034</v>
      </c>
      <c r="F1175" s="4">
        <v>19.189713300000001</v>
      </c>
      <c r="G1175">
        <v>72.976278899999997</v>
      </c>
      <c r="H1175">
        <f t="shared" si="90"/>
        <v>749.8</v>
      </c>
      <c r="I1175" s="4">
        <f t="shared" si="91"/>
        <v>4075</v>
      </c>
      <c r="J1175" s="6">
        <f t="shared" si="92"/>
        <v>450</v>
      </c>
      <c r="K1175" s="6">
        <f t="shared" si="93"/>
        <v>1833750</v>
      </c>
      <c r="L1175" s="3" t="str">
        <f t="shared" si="94"/>
        <v>Premium</v>
      </c>
    </row>
    <row r="1176" spans="1:12">
      <c r="A1176" t="s">
        <v>1970</v>
      </c>
      <c r="B1176" t="s">
        <v>123</v>
      </c>
      <c r="C1176" s="4">
        <v>4.4000000000000004</v>
      </c>
      <c r="D1176" s="4">
        <v>2740</v>
      </c>
      <c r="E1176" t="s">
        <v>2035</v>
      </c>
      <c r="F1176" s="4">
        <v>19.255120000000002</v>
      </c>
      <c r="G1176">
        <v>72.984193300000001</v>
      </c>
      <c r="H1176">
        <f t="shared" si="90"/>
        <v>12056.000000000002</v>
      </c>
      <c r="I1176" s="4">
        <f t="shared" si="91"/>
        <v>68500</v>
      </c>
      <c r="J1176" s="6">
        <f t="shared" si="92"/>
        <v>450</v>
      </c>
      <c r="K1176" s="6">
        <f t="shared" si="93"/>
        <v>30825000</v>
      </c>
      <c r="L1176" s="3" t="str">
        <f t="shared" si="94"/>
        <v>Popular</v>
      </c>
    </row>
    <row r="1177" spans="1:12">
      <c r="A1177" t="s">
        <v>1970</v>
      </c>
      <c r="B1177" t="s">
        <v>2036</v>
      </c>
      <c r="C1177" s="4">
        <v>4.5999999999999996</v>
      </c>
      <c r="D1177" s="4">
        <v>128</v>
      </c>
      <c r="E1177" t="s">
        <v>2037</v>
      </c>
      <c r="F1177" s="4">
        <v>19.2272322</v>
      </c>
      <c r="G1177">
        <v>72.970379199999996</v>
      </c>
      <c r="H1177">
        <f t="shared" si="90"/>
        <v>588.79999999999995</v>
      </c>
      <c r="I1177" s="4">
        <f t="shared" si="91"/>
        <v>3200</v>
      </c>
      <c r="J1177" s="6">
        <f t="shared" si="92"/>
        <v>450</v>
      </c>
      <c r="K1177" s="6">
        <f t="shared" si="93"/>
        <v>1440000</v>
      </c>
      <c r="L1177" s="3" t="str">
        <f t="shared" si="94"/>
        <v>Premium</v>
      </c>
    </row>
    <row r="1178" spans="1:12">
      <c r="A1178" t="s">
        <v>1970</v>
      </c>
      <c r="B1178" t="s">
        <v>2038</v>
      </c>
      <c r="C1178" s="4">
        <v>4.4000000000000004</v>
      </c>
      <c r="D1178" s="4">
        <v>251</v>
      </c>
      <c r="E1178" t="s">
        <v>2039</v>
      </c>
      <c r="F1178" s="4">
        <v>19.233571999999999</v>
      </c>
      <c r="G1178">
        <v>72.969427499999995</v>
      </c>
      <c r="H1178">
        <f t="shared" si="90"/>
        <v>1104.4000000000001</v>
      </c>
      <c r="I1178" s="4">
        <f t="shared" si="91"/>
        <v>6275</v>
      </c>
      <c r="J1178" s="6">
        <f t="shared" si="92"/>
        <v>450</v>
      </c>
      <c r="K1178" s="6">
        <f t="shared" si="93"/>
        <v>2823750</v>
      </c>
      <c r="L1178" s="3" t="str">
        <f t="shared" si="94"/>
        <v>Popular</v>
      </c>
    </row>
    <row r="1179" spans="1:12">
      <c r="A1179" t="s">
        <v>1970</v>
      </c>
      <c r="B1179" t="s">
        <v>428</v>
      </c>
      <c r="C1179" s="4">
        <v>3.8</v>
      </c>
      <c r="D1179" s="4">
        <v>640</v>
      </c>
      <c r="E1179" t="s">
        <v>2040</v>
      </c>
      <c r="F1179" s="4">
        <v>19.2087407</v>
      </c>
      <c r="G1179">
        <v>72.971464900000001</v>
      </c>
      <c r="H1179">
        <f t="shared" si="90"/>
        <v>2432</v>
      </c>
      <c r="I1179" s="4">
        <f t="shared" si="91"/>
        <v>16000</v>
      </c>
      <c r="J1179" s="6">
        <f t="shared" si="92"/>
        <v>350</v>
      </c>
      <c r="K1179" s="6">
        <f t="shared" si="93"/>
        <v>5600000</v>
      </c>
      <c r="L1179" s="3" t="str">
        <f t="shared" si="94"/>
        <v>Average</v>
      </c>
    </row>
    <row r="1180" spans="1:12">
      <c r="A1180" t="s">
        <v>1970</v>
      </c>
      <c r="B1180" t="s">
        <v>2041</v>
      </c>
      <c r="C1180" s="4">
        <v>4.3</v>
      </c>
      <c r="D1180" s="4">
        <v>153</v>
      </c>
      <c r="E1180" t="s">
        <v>2042</v>
      </c>
      <c r="F1180" s="4">
        <v>19.240196900000001</v>
      </c>
      <c r="G1180">
        <v>72.969308099999907</v>
      </c>
      <c r="H1180">
        <f t="shared" si="90"/>
        <v>657.9</v>
      </c>
      <c r="I1180" s="4">
        <f t="shared" si="91"/>
        <v>3825</v>
      </c>
      <c r="J1180" s="6">
        <f t="shared" si="92"/>
        <v>350</v>
      </c>
      <c r="K1180" s="6">
        <f t="shared" si="93"/>
        <v>1338750</v>
      </c>
      <c r="L1180" s="3" t="str">
        <f t="shared" si="94"/>
        <v>Popular</v>
      </c>
    </row>
    <row r="1181" spans="1:12">
      <c r="A1181" t="s">
        <v>1970</v>
      </c>
      <c r="B1181" t="s">
        <v>2043</v>
      </c>
      <c r="C1181" s="4">
        <v>4.3</v>
      </c>
      <c r="D1181" s="4">
        <v>49</v>
      </c>
      <c r="E1181" t="s">
        <v>2044</v>
      </c>
      <c r="F1181" s="4">
        <v>19.223208</v>
      </c>
      <c r="G1181">
        <v>72.978978900000001</v>
      </c>
      <c r="H1181">
        <f t="shared" si="90"/>
        <v>210.7</v>
      </c>
      <c r="I1181" s="4">
        <f t="shared" si="91"/>
        <v>1225</v>
      </c>
      <c r="J1181" s="6">
        <f t="shared" si="92"/>
        <v>350</v>
      </c>
      <c r="K1181" s="6">
        <f t="shared" si="93"/>
        <v>428750</v>
      </c>
      <c r="L1181" s="3" t="str">
        <f t="shared" si="94"/>
        <v>Popular</v>
      </c>
    </row>
    <row r="1182" spans="1:12">
      <c r="A1182" t="s">
        <v>1970</v>
      </c>
      <c r="B1182" t="s">
        <v>2045</v>
      </c>
      <c r="C1182" s="4">
        <v>5</v>
      </c>
      <c r="D1182" s="4">
        <v>50</v>
      </c>
      <c r="E1182" t="s">
        <v>2046</v>
      </c>
      <c r="F1182" s="4">
        <v>19.220536200000002</v>
      </c>
      <c r="G1182">
        <v>72.953458999999995</v>
      </c>
      <c r="H1182">
        <f t="shared" si="90"/>
        <v>250</v>
      </c>
      <c r="I1182" s="4">
        <f t="shared" si="91"/>
        <v>1250</v>
      </c>
      <c r="J1182" s="6">
        <f t="shared" si="92"/>
        <v>550</v>
      </c>
      <c r="K1182" s="6">
        <f t="shared" si="93"/>
        <v>687500</v>
      </c>
      <c r="L1182" s="3" t="str">
        <f t="shared" si="94"/>
        <v>Premium</v>
      </c>
    </row>
    <row r="1183" spans="1:12">
      <c r="A1183" t="s">
        <v>1970</v>
      </c>
      <c r="B1183" t="s">
        <v>2047</v>
      </c>
      <c r="C1183" s="4">
        <v>4.5999999999999996</v>
      </c>
      <c r="D1183" s="4">
        <v>45</v>
      </c>
      <c r="E1183" t="s">
        <v>2048</v>
      </c>
      <c r="F1183" s="4">
        <v>19.191551199999999</v>
      </c>
      <c r="G1183">
        <v>72.968378299999998</v>
      </c>
      <c r="H1183">
        <f t="shared" si="90"/>
        <v>206.99999999999997</v>
      </c>
      <c r="I1183" s="4">
        <f t="shared" si="91"/>
        <v>1125</v>
      </c>
      <c r="J1183" s="6">
        <f t="shared" si="92"/>
        <v>450</v>
      </c>
      <c r="K1183" s="6">
        <f t="shared" si="93"/>
        <v>506250</v>
      </c>
      <c r="L1183" s="3" t="str">
        <f t="shared" si="94"/>
        <v>Premium</v>
      </c>
    </row>
    <row r="1184" spans="1:12">
      <c r="A1184" t="s">
        <v>1970</v>
      </c>
      <c r="B1184" t="s">
        <v>2049</v>
      </c>
      <c r="C1184" s="4">
        <v>4.5999999999999996</v>
      </c>
      <c r="D1184" s="4">
        <v>12</v>
      </c>
      <c r="E1184" t="s">
        <v>2050</v>
      </c>
      <c r="F1184" s="4">
        <v>19.2153043</v>
      </c>
      <c r="G1184">
        <v>72.957339399999995</v>
      </c>
      <c r="H1184">
        <f t="shared" si="90"/>
        <v>55.199999999999996</v>
      </c>
      <c r="I1184" s="4">
        <f t="shared" si="91"/>
        <v>300</v>
      </c>
      <c r="J1184" s="6">
        <f t="shared" si="92"/>
        <v>450</v>
      </c>
      <c r="K1184" s="6">
        <f t="shared" si="93"/>
        <v>135000</v>
      </c>
      <c r="L1184" s="3" t="str">
        <f t="shared" si="94"/>
        <v>Premium</v>
      </c>
    </row>
    <row r="1185" spans="1:12">
      <c r="A1185" t="s">
        <v>1970</v>
      </c>
      <c r="B1185" t="s">
        <v>2051</v>
      </c>
      <c r="C1185" s="4">
        <v>4.5</v>
      </c>
      <c r="D1185" s="4">
        <v>171</v>
      </c>
      <c r="E1185" t="s">
        <v>2052</v>
      </c>
      <c r="F1185" s="4">
        <v>19.222900299999999</v>
      </c>
      <c r="G1185">
        <v>72.966675899999998</v>
      </c>
      <c r="H1185">
        <f t="shared" si="90"/>
        <v>769.5</v>
      </c>
      <c r="I1185" s="4">
        <f t="shared" si="91"/>
        <v>4275</v>
      </c>
      <c r="J1185" s="6">
        <f t="shared" si="92"/>
        <v>450</v>
      </c>
      <c r="K1185" s="6">
        <f t="shared" si="93"/>
        <v>1923750</v>
      </c>
      <c r="L1185" s="3" t="str">
        <f t="shared" si="94"/>
        <v>Premium</v>
      </c>
    </row>
    <row r="1186" spans="1:12">
      <c r="A1186" t="s">
        <v>1970</v>
      </c>
      <c r="B1186" t="s">
        <v>2053</v>
      </c>
      <c r="C1186" s="4">
        <v>4.5999999999999996</v>
      </c>
      <c r="D1186" s="4">
        <v>57</v>
      </c>
      <c r="E1186" t="s">
        <v>2054</v>
      </c>
      <c r="F1186" s="4">
        <v>19.190577900000001</v>
      </c>
      <c r="G1186">
        <v>72.944148999999996</v>
      </c>
      <c r="H1186">
        <f t="shared" si="90"/>
        <v>262.2</v>
      </c>
      <c r="I1186" s="4">
        <f t="shared" si="91"/>
        <v>1425</v>
      </c>
      <c r="J1186" s="6">
        <f t="shared" si="92"/>
        <v>450</v>
      </c>
      <c r="K1186" s="6">
        <f t="shared" si="93"/>
        <v>641250</v>
      </c>
      <c r="L1186" s="3" t="str">
        <f t="shared" si="94"/>
        <v>Premium</v>
      </c>
    </row>
    <row r="1187" spans="1:12">
      <c r="A1187" t="s">
        <v>1970</v>
      </c>
      <c r="B1187" t="s">
        <v>2055</v>
      </c>
      <c r="C1187" s="4">
        <v>4.0999999999999996</v>
      </c>
      <c r="D1187" s="4">
        <v>1780</v>
      </c>
      <c r="E1187" t="s">
        <v>2056</v>
      </c>
      <c r="F1187" s="4">
        <v>19.206500900000002</v>
      </c>
      <c r="G1187">
        <v>72.977805500000002</v>
      </c>
      <c r="H1187">
        <f t="shared" si="90"/>
        <v>7297.9999999999991</v>
      </c>
      <c r="I1187" s="4">
        <f t="shared" si="91"/>
        <v>44500</v>
      </c>
      <c r="J1187" s="6">
        <f t="shared" si="92"/>
        <v>350</v>
      </c>
      <c r="K1187" s="6">
        <f t="shared" si="93"/>
        <v>15575000</v>
      </c>
      <c r="L1187" s="3" t="str">
        <f t="shared" si="94"/>
        <v>Popular</v>
      </c>
    </row>
    <row r="1188" spans="1:12">
      <c r="A1188" t="s">
        <v>1970</v>
      </c>
      <c r="B1188" t="s">
        <v>140</v>
      </c>
      <c r="C1188" s="4">
        <v>4</v>
      </c>
      <c r="D1188" s="4">
        <v>1073</v>
      </c>
      <c r="E1188" t="s">
        <v>2057</v>
      </c>
      <c r="F1188" s="4">
        <v>19.227807299999998</v>
      </c>
      <c r="G1188">
        <v>72.970236</v>
      </c>
      <c r="H1188">
        <f t="shared" si="90"/>
        <v>4292</v>
      </c>
      <c r="I1188" s="4">
        <f t="shared" si="91"/>
        <v>26825</v>
      </c>
      <c r="J1188" s="6">
        <f t="shared" si="92"/>
        <v>350</v>
      </c>
      <c r="K1188" s="6">
        <f t="shared" si="93"/>
        <v>9388750</v>
      </c>
      <c r="L1188" s="3" t="str">
        <f t="shared" si="94"/>
        <v>Popular</v>
      </c>
    </row>
    <row r="1189" spans="1:12">
      <c r="A1189" t="s">
        <v>1970</v>
      </c>
      <c r="B1189" t="s">
        <v>48</v>
      </c>
      <c r="C1189" s="4">
        <v>4.9000000000000004</v>
      </c>
      <c r="D1189" s="4">
        <v>161</v>
      </c>
      <c r="E1189" t="s">
        <v>2058</v>
      </c>
      <c r="F1189" s="4">
        <v>19.255913199999998</v>
      </c>
      <c r="G1189">
        <v>72.983690199999998</v>
      </c>
      <c r="H1189">
        <f t="shared" si="90"/>
        <v>788.90000000000009</v>
      </c>
      <c r="I1189" s="4">
        <f t="shared" si="91"/>
        <v>4025</v>
      </c>
      <c r="J1189" s="6">
        <f t="shared" si="92"/>
        <v>550</v>
      </c>
      <c r="K1189" s="6">
        <f t="shared" si="93"/>
        <v>2213750</v>
      </c>
      <c r="L1189" s="3" t="str">
        <f t="shared" si="94"/>
        <v>Premium</v>
      </c>
    </row>
    <row r="1190" spans="1:12">
      <c r="A1190" t="s">
        <v>1970</v>
      </c>
      <c r="B1190" t="s">
        <v>2059</v>
      </c>
      <c r="C1190" s="4">
        <v>3.8</v>
      </c>
      <c r="D1190" s="4">
        <v>1430</v>
      </c>
      <c r="E1190" t="s">
        <v>2060</v>
      </c>
      <c r="F1190" s="4">
        <v>19.208813899999999</v>
      </c>
      <c r="G1190">
        <v>72.971338699999905</v>
      </c>
      <c r="H1190">
        <f t="shared" si="90"/>
        <v>5434</v>
      </c>
      <c r="I1190" s="4">
        <f t="shared" si="91"/>
        <v>35750</v>
      </c>
      <c r="J1190" s="6">
        <f t="shared" si="92"/>
        <v>350</v>
      </c>
      <c r="K1190" s="6">
        <f t="shared" si="93"/>
        <v>12512500</v>
      </c>
      <c r="L1190" s="3" t="str">
        <f t="shared" si="94"/>
        <v>Average</v>
      </c>
    </row>
    <row r="1191" spans="1:12">
      <c r="A1191" t="s">
        <v>1970</v>
      </c>
      <c r="B1191" t="s">
        <v>2061</v>
      </c>
      <c r="C1191" s="4">
        <v>4.0999999999999996</v>
      </c>
      <c r="D1191" s="4">
        <v>302</v>
      </c>
      <c r="E1191" t="s">
        <v>2062</v>
      </c>
      <c r="F1191" s="4">
        <v>19.201384000000001</v>
      </c>
      <c r="G1191">
        <v>72.977657399999998</v>
      </c>
      <c r="H1191">
        <f t="shared" si="90"/>
        <v>1238.1999999999998</v>
      </c>
      <c r="I1191" s="4">
        <f t="shared" si="91"/>
        <v>7550</v>
      </c>
      <c r="J1191" s="6">
        <f t="shared" si="92"/>
        <v>350</v>
      </c>
      <c r="K1191" s="6">
        <f t="shared" si="93"/>
        <v>2642500</v>
      </c>
      <c r="L1191" s="3" t="str">
        <f t="shared" si="94"/>
        <v>Popular</v>
      </c>
    </row>
    <row r="1192" spans="1:12">
      <c r="A1192" t="s">
        <v>1970</v>
      </c>
      <c r="B1192" t="s">
        <v>2063</v>
      </c>
      <c r="C1192" s="4">
        <v>4.2</v>
      </c>
      <c r="D1192" s="4">
        <v>1215</v>
      </c>
      <c r="E1192" t="s">
        <v>2064</v>
      </c>
      <c r="F1192" s="4">
        <v>19.255545900000001</v>
      </c>
      <c r="G1192">
        <v>72.984277300000002</v>
      </c>
      <c r="H1192">
        <f t="shared" si="90"/>
        <v>5103</v>
      </c>
      <c r="I1192" s="4">
        <f t="shared" si="91"/>
        <v>30375</v>
      </c>
      <c r="J1192" s="6">
        <f t="shared" si="92"/>
        <v>350</v>
      </c>
      <c r="K1192" s="6">
        <f t="shared" si="93"/>
        <v>10631250</v>
      </c>
      <c r="L1192" s="3" t="str">
        <f t="shared" si="94"/>
        <v>Popular</v>
      </c>
    </row>
    <row r="1193" spans="1:12">
      <c r="A1193" t="s">
        <v>1970</v>
      </c>
      <c r="B1193" t="s">
        <v>2065</v>
      </c>
      <c r="C1193" s="4">
        <v>4.7</v>
      </c>
      <c r="D1193" s="4">
        <v>40</v>
      </c>
      <c r="E1193" t="s">
        <v>2066</v>
      </c>
      <c r="F1193" s="4">
        <v>19.234888600000001</v>
      </c>
      <c r="G1193">
        <v>72.975804499999995</v>
      </c>
      <c r="H1193">
        <f t="shared" si="90"/>
        <v>188</v>
      </c>
      <c r="I1193" s="4">
        <f t="shared" si="91"/>
        <v>1000</v>
      </c>
      <c r="J1193" s="6">
        <f t="shared" si="92"/>
        <v>550</v>
      </c>
      <c r="K1193" s="6">
        <f t="shared" si="93"/>
        <v>550000</v>
      </c>
      <c r="L1193" s="3" t="str">
        <f t="shared" si="94"/>
        <v>Premium</v>
      </c>
    </row>
    <row r="1194" spans="1:12">
      <c r="A1194" t="s">
        <v>1970</v>
      </c>
      <c r="B1194" t="s">
        <v>2067</v>
      </c>
      <c r="C1194" s="4">
        <v>4.2</v>
      </c>
      <c r="D1194" s="4">
        <v>122</v>
      </c>
      <c r="E1194" t="s">
        <v>2068</v>
      </c>
      <c r="F1194" s="4">
        <v>19.207293400000001</v>
      </c>
      <c r="G1194">
        <v>72.955878900000002</v>
      </c>
      <c r="H1194">
        <f t="shared" si="90"/>
        <v>512.4</v>
      </c>
      <c r="I1194" s="4">
        <f t="shared" si="91"/>
        <v>3050</v>
      </c>
      <c r="J1194" s="6">
        <f t="shared" si="92"/>
        <v>350</v>
      </c>
      <c r="K1194" s="6">
        <f t="shared" si="93"/>
        <v>1067500</v>
      </c>
      <c r="L1194" s="3" t="str">
        <f t="shared" si="94"/>
        <v>Popular</v>
      </c>
    </row>
    <row r="1195" spans="1:12">
      <c r="A1195" t="s">
        <v>1970</v>
      </c>
      <c r="B1195" t="s">
        <v>2069</v>
      </c>
      <c r="C1195" s="4">
        <v>4.2</v>
      </c>
      <c r="D1195" s="4">
        <v>101</v>
      </c>
      <c r="E1195" t="s">
        <v>2070</v>
      </c>
      <c r="F1195" s="4">
        <v>19.226998500000001</v>
      </c>
      <c r="G1195">
        <v>72.970484599999907</v>
      </c>
      <c r="H1195">
        <f t="shared" si="90"/>
        <v>424.20000000000005</v>
      </c>
      <c r="I1195" s="4">
        <f t="shared" si="91"/>
        <v>2525</v>
      </c>
      <c r="J1195" s="6">
        <f t="shared" si="92"/>
        <v>350</v>
      </c>
      <c r="K1195" s="6">
        <f t="shared" si="93"/>
        <v>883750</v>
      </c>
      <c r="L1195" s="3" t="str">
        <f t="shared" si="94"/>
        <v>Popular</v>
      </c>
    </row>
    <row r="1196" spans="1:12">
      <c r="A1196" t="s">
        <v>1970</v>
      </c>
      <c r="B1196" t="s">
        <v>2071</v>
      </c>
      <c r="C1196" s="4">
        <v>4.0999999999999996</v>
      </c>
      <c r="D1196" s="4">
        <v>508</v>
      </c>
      <c r="E1196" t="s">
        <v>2072</v>
      </c>
      <c r="F1196" s="4">
        <v>19.208517000000001</v>
      </c>
      <c r="G1196">
        <v>72.971673499999994</v>
      </c>
      <c r="H1196">
        <f t="shared" si="90"/>
        <v>2082.7999999999997</v>
      </c>
      <c r="I1196" s="4">
        <f t="shared" si="91"/>
        <v>12700</v>
      </c>
      <c r="J1196" s="6">
        <f t="shared" si="92"/>
        <v>350</v>
      </c>
      <c r="K1196" s="6">
        <f t="shared" si="93"/>
        <v>4445000</v>
      </c>
      <c r="L1196" s="3" t="str">
        <f t="shared" si="94"/>
        <v>Popular</v>
      </c>
    </row>
    <row r="1197" spans="1:12">
      <c r="A1197" t="s">
        <v>1970</v>
      </c>
      <c r="B1197" t="s">
        <v>2073</v>
      </c>
      <c r="C1197" s="4">
        <v>4.9000000000000004</v>
      </c>
      <c r="D1197" s="4">
        <v>66</v>
      </c>
      <c r="E1197" t="s">
        <v>2074</v>
      </c>
      <c r="F1197" s="4">
        <v>19.2224699</v>
      </c>
      <c r="G1197">
        <v>72.977074599999995</v>
      </c>
      <c r="H1197">
        <f t="shared" si="90"/>
        <v>323.40000000000003</v>
      </c>
      <c r="I1197" s="4">
        <f t="shared" si="91"/>
        <v>1650</v>
      </c>
      <c r="J1197" s="6">
        <f t="shared" si="92"/>
        <v>550</v>
      </c>
      <c r="K1197" s="6">
        <f t="shared" si="93"/>
        <v>907500</v>
      </c>
      <c r="L1197" s="3" t="str">
        <f t="shared" si="94"/>
        <v>Premium</v>
      </c>
    </row>
    <row r="1198" spans="1:12">
      <c r="A1198" t="s">
        <v>1970</v>
      </c>
      <c r="B1198" t="s">
        <v>1958</v>
      </c>
      <c r="C1198" s="4">
        <v>4</v>
      </c>
      <c r="D1198" s="4">
        <v>484</v>
      </c>
      <c r="E1198" t="s">
        <v>2075</v>
      </c>
      <c r="F1198" s="4">
        <v>19.1915315</v>
      </c>
      <c r="G1198">
        <v>72.975070500000001</v>
      </c>
      <c r="H1198">
        <f t="shared" si="90"/>
        <v>1936</v>
      </c>
      <c r="I1198" s="4">
        <f t="shared" si="91"/>
        <v>12100</v>
      </c>
      <c r="J1198" s="6">
        <f t="shared" si="92"/>
        <v>350</v>
      </c>
      <c r="K1198" s="6">
        <f t="shared" si="93"/>
        <v>4235000</v>
      </c>
      <c r="L1198" s="3" t="str">
        <f t="shared" si="94"/>
        <v>Popular</v>
      </c>
    </row>
    <row r="1199" spans="1:12">
      <c r="A1199" t="s">
        <v>1970</v>
      </c>
      <c r="B1199" t="s">
        <v>2076</v>
      </c>
      <c r="C1199" s="4">
        <v>4</v>
      </c>
      <c r="D1199" s="4">
        <v>43</v>
      </c>
      <c r="E1199" t="s">
        <v>2077</v>
      </c>
      <c r="F1199" s="4">
        <v>19.186715700000001</v>
      </c>
      <c r="G1199">
        <v>72.973918599999905</v>
      </c>
      <c r="H1199">
        <f t="shared" si="90"/>
        <v>172</v>
      </c>
      <c r="I1199" s="4">
        <f t="shared" si="91"/>
        <v>1075</v>
      </c>
      <c r="J1199" s="6">
        <f t="shared" si="92"/>
        <v>350</v>
      </c>
      <c r="K1199" s="6">
        <f t="shared" si="93"/>
        <v>376250</v>
      </c>
      <c r="L1199" s="3" t="str">
        <f t="shared" si="94"/>
        <v>Popular</v>
      </c>
    </row>
    <row r="1200" spans="1:12">
      <c r="A1200" t="s">
        <v>1970</v>
      </c>
      <c r="B1200" t="s">
        <v>2078</v>
      </c>
      <c r="C1200" s="4">
        <v>4.8</v>
      </c>
      <c r="D1200" s="4">
        <v>29</v>
      </c>
      <c r="E1200" t="s">
        <v>2079</v>
      </c>
      <c r="F1200" s="4">
        <v>19.257775200000001</v>
      </c>
      <c r="G1200">
        <v>72.977321000000003</v>
      </c>
      <c r="H1200">
        <f t="shared" si="90"/>
        <v>139.19999999999999</v>
      </c>
      <c r="I1200" s="4">
        <f t="shared" si="91"/>
        <v>725</v>
      </c>
      <c r="J1200" s="6">
        <f t="shared" si="92"/>
        <v>550</v>
      </c>
      <c r="K1200" s="6">
        <f t="shared" si="93"/>
        <v>398750</v>
      </c>
      <c r="L1200" s="3" t="str">
        <f t="shared" si="94"/>
        <v>Premium</v>
      </c>
    </row>
    <row r="1201" spans="1:12">
      <c r="A1201" t="s">
        <v>1970</v>
      </c>
      <c r="B1201" t="s">
        <v>2080</v>
      </c>
      <c r="C1201" s="4">
        <v>4.7</v>
      </c>
      <c r="D1201" s="4">
        <v>14</v>
      </c>
      <c r="E1201" t="s">
        <v>2081</v>
      </c>
      <c r="F1201" s="4">
        <v>19.1840543</v>
      </c>
      <c r="G1201">
        <v>72.974393199999994</v>
      </c>
      <c r="H1201">
        <f t="shared" si="90"/>
        <v>65.8</v>
      </c>
      <c r="I1201" s="4">
        <f t="shared" si="91"/>
        <v>350</v>
      </c>
      <c r="J1201" s="6">
        <f t="shared" si="92"/>
        <v>550</v>
      </c>
      <c r="K1201" s="6">
        <f t="shared" si="93"/>
        <v>192500</v>
      </c>
      <c r="L1201" s="3" t="str">
        <f t="shared" si="94"/>
        <v>Premium</v>
      </c>
    </row>
  </sheetData>
  <conditionalFormatting sqref="L1:L1048576">
    <cfRule type="iconSet" priority="2">
      <iconSet iconSet="4TrafficLights">
        <cfvo type="percent" val="0"/>
        <cfvo type="percent" val="25"/>
        <cfvo type="percent" val="50"/>
        <cfvo type="percent" val="75"/>
      </iconSet>
    </cfRule>
    <cfRule type="colorScale" priority="3">
      <colorScale>
        <cfvo type="min"/>
        <cfvo type="percentile" val="50"/>
        <cfvo type="max"/>
        <color rgb="FFF8696B"/>
        <color rgb="FFFFEB84"/>
        <color rgb="FF63BE7B"/>
      </colorScale>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1" id="{2E7A7BEE-D479-4236-8926-350112C841A4}">
            <x14:iconSet iconSet="3Stars">
              <x14:cfvo type="percent">
                <xm:f>0</xm:f>
              </x14:cfvo>
              <x14:cfvo type="percent">
                <xm:f>33</xm:f>
              </x14:cfvo>
              <x14:cfvo type="percent">
                <xm:f>67</xm:f>
              </x14:cfvo>
            </x14:iconSet>
          </x14:cfRule>
          <xm:sqref>L1:L1048576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C059E-4ADD-4C80-8BFA-36E96B3A8B72}">
  <dimension ref="A1:J78"/>
  <sheetViews>
    <sheetView zoomScale="61" zoomScaleNormal="107" workbookViewId="0">
      <selection activeCell="E51" sqref="E51"/>
    </sheetView>
  </sheetViews>
  <sheetFormatPr defaultRowHeight="14.4"/>
  <cols>
    <col min="1" max="1" width="12.5546875" bestFit="1" customWidth="1"/>
    <col min="2" max="2" width="12.44140625" bestFit="1" customWidth="1"/>
    <col min="3" max="3" width="12.77734375" bestFit="1" customWidth="1"/>
    <col min="4" max="4" width="10.44140625" bestFit="1" customWidth="1"/>
    <col min="5" max="5" width="14.109375" bestFit="1" customWidth="1"/>
    <col min="6" max="6" width="11.109375" bestFit="1" customWidth="1"/>
    <col min="7" max="7" width="20.6640625" bestFit="1" customWidth="1"/>
    <col min="8" max="8" width="9.21875" bestFit="1" customWidth="1"/>
    <col min="9" max="9" width="32.33203125" bestFit="1" customWidth="1"/>
    <col min="10" max="10" width="26.88671875" bestFit="1" customWidth="1"/>
    <col min="11" max="11" width="8" bestFit="1" customWidth="1"/>
    <col min="12" max="12" width="20.33203125" bestFit="1" customWidth="1"/>
    <col min="13" max="13" width="14.77734375" bestFit="1" customWidth="1"/>
    <col min="14" max="14" width="17.6640625" bestFit="1" customWidth="1"/>
    <col min="15" max="15" width="10.21875" bestFit="1" customWidth="1"/>
    <col min="16" max="16" width="32.21875" bestFit="1" customWidth="1"/>
    <col min="17" max="17" width="21.5546875" bestFit="1" customWidth="1"/>
    <col min="18" max="18" width="17" bestFit="1" customWidth="1"/>
    <col min="19" max="19" width="16.88671875" bestFit="1" customWidth="1"/>
    <col min="20" max="20" width="14.33203125" bestFit="1" customWidth="1"/>
    <col min="21" max="21" width="21.33203125" bestFit="1" customWidth="1"/>
    <col min="22" max="22" width="31.21875" bestFit="1" customWidth="1"/>
    <col min="23" max="23" width="6.21875" bestFit="1" customWidth="1"/>
    <col min="24" max="24" width="13.44140625" bestFit="1" customWidth="1"/>
    <col min="25" max="25" width="12.5546875" bestFit="1" customWidth="1"/>
    <col min="26" max="26" width="4.33203125" bestFit="1" customWidth="1"/>
    <col min="27" max="28" width="9.33203125" bestFit="1" customWidth="1"/>
    <col min="29" max="29" width="23.33203125" bestFit="1" customWidth="1"/>
    <col min="30" max="30" width="23.109375" bestFit="1" customWidth="1"/>
    <col min="31" max="31" width="20.44140625" bestFit="1" customWidth="1"/>
    <col min="32" max="32" width="16.109375" bestFit="1" customWidth="1"/>
    <col min="33" max="33" width="13.109375" bestFit="1" customWidth="1"/>
    <col min="34" max="34" width="30.44140625" bestFit="1" customWidth="1"/>
    <col min="35" max="35" width="16.88671875" bestFit="1" customWidth="1"/>
    <col min="36" max="36" width="10.21875" bestFit="1" customWidth="1"/>
    <col min="37" max="37" width="32.44140625" bestFit="1" customWidth="1"/>
    <col min="38" max="38" width="39" bestFit="1" customWidth="1"/>
    <col min="39" max="39" width="32.77734375" bestFit="1" customWidth="1"/>
    <col min="40" max="40" width="30.6640625" bestFit="1" customWidth="1"/>
    <col min="41" max="41" width="34.77734375" bestFit="1" customWidth="1"/>
    <col min="42" max="42" width="20.88671875" bestFit="1" customWidth="1"/>
    <col min="43" max="43" width="11.44140625" bestFit="1" customWidth="1"/>
    <col min="44" max="44" width="19" bestFit="1" customWidth="1"/>
    <col min="45" max="45" width="7.77734375" bestFit="1" customWidth="1"/>
    <col min="46" max="46" width="11.109375" bestFit="1" customWidth="1"/>
    <col min="47" max="47" width="13.5546875" bestFit="1" customWidth="1"/>
    <col min="48" max="48" width="9.21875" bestFit="1" customWidth="1"/>
    <col min="49" max="49" width="20.88671875" bestFit="1" customWidth="1"/>
    <col min="50" max="50" width="9.33203125" bestFit="1" customWidth="1"/>
    <col min="51" max="51" width="17.5546875" bestFit="1" customWidth="1"/>
    <col min="52" max="52" width="33.21875" bestFit="1" customWidth="1"/>
    <col min="53" max="53" width="16.109375" bestFit="1" customWidth="1"/>
    <col min="54" max="54" width="15.109375" bestFit="1" customWidth="1"/>
    <col min="55" max="55" width="22.44140625" bestFit="1" customWidth="1"/>
    <col min="56" max="56" width="23.33203125" bestFit="1" customWidth="1"/>
    <col min="57" max="57" width="33.21875" bestFit="1" customWidth="1"/>
    <col min="58" max="58" width="28" bestFit="1" customWidth="1"/>
    <col min="59" max="59" width="15.77734375" bestFit="1" customWidth="1"/>
    <col min="60" max="60" width="31.6640625" bestFit="1" customWidth="1"/>
    <col min="61" max="61" width="28" bestFit="1" customWidth="1"/>
    <col min="62" max="62" width="6.6640625" bestFit="1" customWidth="1"/>
    <col min="63" max="63" width="14.5546875" bestFit="1" customWidth="1"/>
    <col min="64" max="64" width="17.33203125" bestFit="1" customWidth="1"/>
    <col min="65" max="65" width="16" bestFit="1" customWidth="1"/>
    <col min="66" max="66" width="19.21875" bestFit="1" customWidth="1"/>
    <col min="67" max="68" width="12.6640625" bestFit="1" customWidth="1"/>
    <col min="69" max="69" width="8.6640625" bestFit="1" customWidth="1"/>
    <col min="70" max="70" width="14.33203125" bestFit="1" customWidth="1"/>
    <col min="71" max="71" width="11.109375" bestFit="1" customWidth="1"/>
    <col min="72" max="72" width="17.77734375" bestFit="1" customWidth="1"/>
    <col min="73" max="73" width="14.77734375" bestFit="1" customWidth="1"/>
    <col min="74" max="74" width="17.77734375" bestFit="1" customWidth="1"/>
    <col min="75" max="75" width="23.109375" bestFit="1" customWidth="1"/>
    <col min="76" max="76" width="18.6640625" bestFit="1" customWidth="1"/>
    <col min="77" max="77" width="10.77734375" bestFit="1" customWidth="1"/>
    <col min="78" max="78" width="18.44140625" bestFit="1" customWidth="1"/>
    <col min="79" max="79" width="43" bestFit="1" customWidth="1"/>
    <col min="80" max="80" width="11.33203125" bestFit="1" customWidth="1"/>
    <col min="81" max="81" width="24.33203125" bestFit="1" customWidth="1"/>
    <col min="82" max="82" width="20" bestFit="1" customWidth="1"/>
    <col min="83" max="83" width="23.33203125" bestFit="1" customWidth="1"/>
    <col min="84" max="84" width="18.21875" bestFit="1" customWidth="1"/>
    <col min="85" max="85" width="27.5546875" bestFit="1" customWidth="1"/>
    <col min="86" max="86" width="13.77734375" bestFit="1" customWidth="1"/>
    <col min="87" max="87" width="5.33203125" bestFit="1" customWidth="1"/>
    <col min="88" max="88" width="12.21875" bestFit="1" customWidth="1"/>
    <col min="89" max="89" width="10.6640625" bestFit="1" customWidth="1"/>
    <col min="90" max="90" width="22.109375" bestFit="1" customWidth="1"/>
    <col min="91" max="91" width="32" bestFit="1" customWidth="1"/>
    <col min="92" max="93" width="36.33203125" bestFit="1" customWidth="1"/>
    <col min="94" max="94" width="31.6640625" bestFit="1" customWidth="1"/>
    <col min="95" max="95" width="36.6640625" bestFit="1" customWidth="1"/>
    <col min="96" max="96" width="33.44140625" bestFit="1" customWidth="1"/>
    <col min="97" max="97" width="38" bestFit="1" customWidth="1"/>
    <col min="98" max="98" width="38.77734375" bestFit="1" customWidth="1"/>
    <col min="99" max="99" width="41.6640625" bestFit="1" customWidth="1"/>
    <col min="100" max="100" width="41.109375" bestFit="1" customWidth="1"/>
    <col min="101" max="101" width="45.5546875" bestFit="1" customWidth="1"/>
    <col min="102" max="102" width="35.77734375" bestFit="1" customWidth="1"/>
    <col min="103" max="103" width="30.77734375" bestFit="1" customWidth="1"/>
    <col min="104" max="104" width="38" bestFit="1" customWidth="1"/>
    <col min="105" max="105" width="47.21875" bestFit="1" customWidth="1"/>
    <col min="106" max="106" width="30.77734375" bestFit="1" customWidth="1"/>
    <col min="107" max="107" width="39.44140625" bestFit="1" customWidth="1"/>
    <col min="108" max="108" width="32.44140625" bestFit="1" customWidth="1"/>
    <col min="109" max="109" width="24.6640625" bestFit="1" customWidth="1"/>
    <col min="110" max="110" width="18.77734375" bestFit="1" customWidth="1"/>
    <col min="111" max="111" width="12.21875" bestFit="1" customWidth="1"/>
    <col min="112" max="112" width="22.44140625" bestFit="1" customWidth="1"/>
    <col min="113" max="113" width="19.88671875" bestFit="1" customWidth="1"/>
    <col min="114" max="114" width="23.77734375" bestFit="1" customWidth="1"/>
    <col min="115" max="115" width="17.33203125" bestFit="1" customWidth="1"/>
    <col min="116" max="116" width="13.88671875" bestFit="1" customWidth="1"/>
    <col min="117" max="117" width="37" bestFit="1" customWidth="1"/>
    <col min="118" max="118" width="30.33203125" bestFit="1" customWidth="1"/>
    <col min="119" max="119" width="11.109375" bestFit="1" customWidth="1"/>
    <col min="120" max="120" width="37.44140625" bestFit="1" customWidth="1"/>
    <col min="121" max="121" width="31.33203125" bestFit="1" customWidth="1"/>
    <col min="122" max="122" width="11" bestFit="1" customWidth="1"/>
    <col min="123" max="123" width="13.44140625" bestFit="1" customWidth="1"/>
    <col min="124" max="124" width="25.109375" bestFit="1" customWidth="1"/>
    <col min="125" max="125" width="6.5546875" bestFit="1" customWidth="1"/>
    <col min="126" max="126" width="10" bestFit="1" customWidth="1"/>
    <col min="127" max="127" width="14.109375" bestFit="1" customWidth="1"/>
    <col min="128" max="128" width="15.21875" bestFit="1" customWidth="1"/>
    <col min="129" max="129" width="11.21875" bestFit="1" customWidth="1"/>
    <col min="130" max="131" width="15.6640625" bestFit="1" customWidth="1"/>
    <col min="132" max="132" width="30.33203125" bestFit="1" customWidth="1"/>
    <col min="133" max="133" width="21.33203125" bestFit="1" customWidth="1"/>
    <col min="134" max="134" width="14.5546875" bestFit="1" customWidth="1"/>
    <col min="135" max="135" width="61.21875" bestFit="1" customWidth="1"/>
    <col min="136" max="136" width="13.109375" bestFit="1" customWidth="1"/>
    <col min="137" max="137" width="11.21875" bestFit="1" customWidth="1"/>
    <col min="138" max="138" width="29.21875" bestFit="1" customWidth="1"/>
    <col min="139" max="139" width="19.88671875" bestFit="1" customWidth="1"/>
    <col min="140" max="140" width="22.109375" bestFit="1" customWidth="1"/>
    <col min="141" max="141" width="12.5546875" bestFit="1" customWidth="1"/>
    <col min="142" max="142" width="13.77734375" bestFit="1" customWidth="1"/>
    <col min="143" max="143" width="10.109375" bestFit="1" customWidth="1"/>
    <col min="144" max="144" width="13.44140625" bestFit="1" customWidth="1"/>
    <col min="145" max="145" width="14.109375" bestFit="1" customWidth="1"/>
    <col min="146" max="146" width="16.44140625" bestFit="1" customWidth="1"/>
    <col min="147" max="147" width="13.6640625" bestFit="1" customWidth="1"/>
    <col min="148" max="148" width="15.44140625" bestFit="1" customWidth="1"/>
    <col min="149" max="149" width="20.5546875" bestFit="1" customWidth="1"/>
    <col min="150" max="150" width="10.88671875" bestFit="1" customWidth="1"/>
    <col min="151" max="151" width="15.21875" bestFit="1" customWidth="1"/>
    <col min="152" max="152" width="19.88671875" bestFit="1" customWidth="1"/>
    <col min="153" max="153" width="8.21875" bestFit="1" customWidth="1"/>
    <col min="154" max="154" width="7.21875" bestFit="1" customWidth="1"/>
    <col min="155" max="155" width="7.44140625" bestFit="1" customWidth="1"/>
    <col min="156" max="156" width="9.6640625" bestFit="1" customWidth="1"/>
    <col min="157" max="157" width="30.33203125" bestFit="1" customWidth="1"/>
    <col min="158" max="158" width="7.21875" bestFit="1" customWidth="1"/>
    <col min="159" max="159" width="9.5546875" bestFit="1" customWidth="1"/>
    <col min="160" max="160" width="9.77734375" bestFit="1" customWidth="1"/>
    <col min="161" max="161" width="10.88671875" bestFit="1" customWidth="1"/>
    <col min="162" max="162" width="11.44140625" bestFit="1" customWidth="1"/>
    <col min="163" max="163" width="13.44140625" bestFit="1" customWidth="1"/>
    <col min="164" max="164" width="9.6640625" bestFit="1" customWidth="1"/>
    <col min="165" max="165" width="13.77734375" bestFit="1" customWidth="1"/>
    <col min="166" max="166" width="10" bestFit="1" customWidth="1"/>
    <col min="167" max="167" width="8.33203125" bestFit="1" customWidth="1"/>
    <col min="168" max="168" width="12.44140625" bestFit="1" customWidth="1"/>
    <col min="169" max="169" width="19" bestFit="1" customWidth="1"/>
    <col min="170" max="170" width="10.77734375" bestFit="1" customWidth="1"/>
    <col min="171" max="171" width="10" bestFit="1" customWidth="1"/>
    <col min="172" max="172" width="11" bestFit="1" customWidth="1"/>
    <col min="173" max="173" width="15.6640625" bestFit="1" customWidth="1"/>
    <col min="174" max="174" width="39.88671875" bestFit="1" customWidth="1"/>
    <col min="175" max="175" width="11.5546875" bestFit="1" customWidth="1"/>
    <col min="176" max="176" width="10.33203125" bestFit="1" customWidth="1"/>
    <col min="177" max="177" width="17.33203125" bestFit="1" customWidth="1"/>
    <col min="178" max="178" width="15.77734375" bestFit="1" customWidth="1"/>
    <col min="179" max="179" width="14.33203125" bestFit="1" customWidth="1"/>
    <col min="180" max="180" width="12.5546875" bestFit="1" customWidth="1"/>
    <col min="181" max="181" width="19.5546875" bestFit="1" customWidth="1"/>
    <col min="182" max="182" width="28.6640625" bestFit="1" customWidth="1"/>
    <col min="183" max="183" width="20.5546875" bestFit="1" customWidth="1"/>
    <col min="184" max="184" width="12.6640625" bestFit="1" customWidth="1"/>
    <col min="185" max="185" width="10.6640625" bestFit="1" customWidth="1"/>
    <col min="186" max="186" width="19.88671875" bestFit="1" customWidth="1"/>
    <col min="187" max="187" width="19" bestFit="1" customWidth="1"/>
    <col min="188" max="188" width="15.5546875" bestFit="1" customWidth="1"/>
    <col min="189" max="189" width="21.33203125" bestFit="1" customWidth="1"/>
    <col min="190" max="190" width="18.44140625" bestFit="1" customWidth="1"/>
    <col min="191" max="191" width="15.33203125" bestFit="1" customWidth="1"/>
    <col min="192" max="192" width="9.44140625" bestFit="1" customWidth="1"/>
    <col min="193" max="193" width="11.5546875" bestFit="1" customWidth="1"/>
    <col min="194" max="194" width="11.6640625" bestFit="1" customWidth="1"/>
    <col min="195" max="195" width="16.21875" bestFit="1" customWidth="1"/>
    <col min="196" max="196" width="33.88671875" bestFit="1" customWidth="1"/>
    <col min="197" max="197" width="17" bestFit="1" customWidth="1"/>
    <col min="198" max="198" width="39.21875" bestFit="1" customWidth="1"/>
    <col min="199" max="199" width="11.5546875" bestFit="1" customWidth="1"/>
    <col min="200" max="200" width="9" bestFit="1" customWidth="1"/>
    <col min="201" max="201" width="16" bestFit="1" customWidth="1"/>
    <col min="202" max="202" width="9.5546875" bestFit="1" customWidth="1"/>
    <col min="203" max="203" width="23.6640625" bestFit="1" customWidth="1"/>
    <col min="204" max="204" width="12.44140625" bestFit="1" customWidth="1"/>
    <col min="205" max="205" width="12.21875" bestFit="1" customWidth="1"/>
    <col min="206" max="206" width="16" bestFit="1" customWidth="1"/>
    <col min="207" max="207" width="13.5546875" bestFit="1" customWidth="1"/>
    <col min="208" max="208" width="12.6640625" bestFit="1" customWidth="1"/>
    <col min="209" max="209" width="28.77734375" bestFit="1" customWidth="1"/>
    <col min="210" max="210" width="12" bestFit="1" customWidth="1"/>
    <col min="211" max="211" width="15.6640625" bestFit="1" customWidth="1"/>
    <col min="212" max="212" width="17.44140625" bestFit="1" customWidth="1"/>
    <col min="213" max="213" width="19" bestFit="1" customWidth="1"/>
    <col min="214" max="214" width="9.33203125" bestFit="1" customWidth="1"/>
    <col min="215" max="215" width="10.5546875" bestFit="1" customWidth="1"/>
    <col min="216" max="216" width="19.21875" bestFit="1" customWidth="1"/>
    <col min="217" max="217" width="13.6640625" bestFit="1" customWidth="1"/>
    <col min="218" max="218" width="9.21875" bestFit="1" customWidth="1"/>
    <col min="219" max="219" width="27.33203125" bestFit="1" customWidth="1"/>
    <col min="220" max="220" width="16.5546875" bestFit="1" customWidth="1"/>
    <col min="221" max="221" width="9.88671875" bestFit="1" customWidth="1"/>
    <col min="222" max="222" width="12.33203125" bestFit="1" customWidth="1"/>
    <col min="223" max="223" width="7.33203125" bestFit="1" customWidth="1"/>
    <col min="224" max="224" width="31.5546875" bestFit="1" customWidth="1"/>
    <col min="225" max="225" width="11.6640625" bestFit="1" customWidth="1"/>
    <col min="226" max="226" width="19.109375" bestFit="1" customWidth="1"/>
    <col min="227" max="227" width="14.88671875" bestFit="1" customWidth="1"/>
    <col min="228" max="228" width="16.109375" bestFit="1" customWidth="1"/>
    <col min="229" max="230" width="11.21875" bestFit="1" customWidth="1"/>
    <col min="231" max="231" width="12.33203125" bestFit="1" customWidth="1"/>
    <col min="232" max="232" width="12" bestFit="1" customWidth="1"/>
    <col min="233" max="233" width="14.77734375" bestFit="1" customWidth="1"/>
    <col min="234" max="234" width="26.21875" bestFit="1" customWidth="1"/>
    <col min="235" max="235" width="16.33203125" bestFit="1" customWidth="1"/>
    <col min="236" max="236" width="15" bestFit="1" customWidth="1"/>
    <col min="237" max="237" width="19.77734375" bestFit="1" customWidth="1"/>
    <col min="238" max="238" width="11.6640625" bestFit="1" customWidth="1"/>
    <col min="239" max="239" width="14.109375" bestFit="1" customWidth="1"/>
    <col min="240" max="240" width="11" bestFit="1" customWidth="1"/>
    <col min="241" max="241" width="16.21875" bestFit="1" customWidth="1"/>
    <col min="242" max="242" width="11.5546875" bestFit="1" customWidth="1"/>
    <col min="243" max="243" width="12.44140625" bestFit="1" customWidth="1"/>
    <col min="244" max="244" width="19.109375" bestFit="1" customWidth="1"/>
    <col min="245" max="245" width="9.109375" bestFit="1" customWidth="1"/>
    <col min="246" max="246" width="8.77734375" bestFit="1" customWidth="1"/>
    <col min="247" max="247" width="6.5546875" bestFit="1" customWidth="1"/>
    <col min="248" max="248" width="14.6640625" bestFit="1" customWidth="1"/>
    <col min="249" max="249" width="19.44140625" bestFit="1" customWidth="1"/>
    <col min="250" max="250" width="9" bestFit="1" customWidth="1"/>
    <col min="251" max="251" width="12.109375" bestFit="1" customWidth="1"/>
    <col min="252" max="252" width="9.21875" bestFit="1" customWidth="1"/>
    <col min="253" max="253" width="11" bestFit="1" customWidth="1"/>
    <col min="254" max="254" width="21.109375" bestFit="1" customWidth="1"/>
    <col min="255" max="255" width="9.6640625" bestFit="1" customWidth="1"/>
    <col min="256" max="256" width="9.33203125" bestFit="1" customWidth="1"/>
    <col min="257" max="257" width="10.109375" bestFit="1" customWidth="1"/>
    <col min="258" max="258" width="20.33203125" bestFit="1" customWidth="1"/>
    <col min="259" max="259" width="10.77734375" bestFit="1" customWidth="1"/>
    <col min="260" max="260" width="17.21875" bestFit="1" customWidth="1"/>
    <col min="261" max="261" width="19" bestFit="1" customWidth="1"/>
    <col min="262" max="262" width="12.33203125" bestFit="1" customWidth="1"/>
    <col min="263" max="263" width="9.21875" bestFit="1" customWidth="1"/>
    <col min="264" max="264" width="10.6640625" bestFit="1" customWidth="1"/>
    <col min="265" max="265" width="14.6640625" bestFit="1" customWidth="1"/>
    <col min="266" max="266" width="27.33203125" bestFit="1" customWidth="1"/>
    <col min="267" max="267" width="17.6640625" bestFit="1" customWidth="1"/>
    <col min="268" max="268" width="14.88671875" bestFit="1" customWidth="1"/>
    <col min="269" max="269" width="11.6640625" bestFit="1" customWidth="1"/>
    <col min="270" max="270" width="15.44140625" bestFit="1" customWidth="1"/>
    <col min="271" max="271" width="11.77734375" bestFit="1" customWidth="1"/>
    <col min="272" max="272" width="9.6640625" bestFit="1" customWidth="1"/>
    <col min="273" max="273" width="30.6640625" bestFit="1" customWidth="1"/>
    <col min="274" max="274" width="11.77734375" bestFit="1" customWidth="1"/>
    <col min="275" max="275" width="34.5546875" bestFit="1" customWidth="1"/>
    <col min="276" max="276" width="10.44140625" bestFit="1" customWidth="1"/>
    <col min="277" max="277" width="11.5546875" bestFit="1" customWidth="1"/>
    <col min="278" max="278" width="9.6640625" bestFit="1" customWidth="1"/>
    <col min="279" max="279" width="14" bestFit="1" customWidth="1"/>
    <col min="280" max="280" width="31.21875" bestFit="1" customWidth="1"/>
    <col min="281" max="281" width="15.77734375" bestFit="1" customWidth="1"/>
    <col min="282" max="282" width="13.109375" bestFit="1" customWidth="1"/>
    <col min="283" max="283" width="9.6640625" bestFit="1" customWidth="1"/>
    <col min="284" max="284" width="18.88671875" bestFit="1" customWidth="1"/>
    <col min="285" max="285" width="12.77734375" bestFit="1" customWidth="1"/>
    <col min="286" max="286" width="25.77734375" bestFit="1" customWidth="1"/>
    <col min="287" max="287" width="25.6640625" bestFit="1" customWidth="1"/>
    <col min="288" max="288" width="12.6640625" bestFit="1" customWidth="1"/>
    <col min="289" max="289" width="12.77734375" bestFit="1" customWidth="1"/>
    <col min="290" max="290" width="38.77734375" bestFit="1" customWidth="1"/>
    <col min="291" max="291" width="7.5546875" bestFit="1" customWidth="1"/>
    <col min="292" max="292" width="27.44140625" bestFit="1" customWidth="1"/>
    <col min="293" max="293" width="11.6640625" bestFit="1" customWidth="1"/>
    <col min="294" max="294" width="17.6640625" bestFit="1" customWidth="1"/>
    <col min="295" max="295" width="21.44140625" bestFit="1" customWidth="1"/>
    <col min="296" max="296" width="15.6640625" bestFit="1" customWidth="1"/>
    <col min="297" max="297" width="30.33203125" bestFit="1" customWidth="1"/>
    <col min="298" max="298" width="10.109375" bestFit="1" customWidth="1"/>
    <col min="299" max="299" width="30.77734375" bestFit="1" customWidth="1"/>
    <col min="300" max="300" width="36.21875" bestFit="1" customWidth="1"/>
    <col min="301" max="301" width="31" bestFit="1" customWidth="1"/>
    <col min="302" max="302" width="21.44140625" bestFit="1" customWidth="1"/>
    <col min="303" max="303" width="37.88671875" bestFit="1" customWidth="1"/>
    <col min="304" max="304" width="24.88671875" bestFit="1" customWidth="1"/>
    <col min="305" max="305" width="24.77734375" bestFit="1" customWidth="1"/>
    <col min="306" max="306" width="20.77734375" bestFit="1" customWidth="1"/>
    <col min="307" max="307" width="22.88671875" bestFit="1" customWidth="1"/>
    <col min="308" max="308" width="27.33203125" bestFit="1" customWidth="1"/>
    <col min="309" max="309" width="22.44140625" bestFit="1" customWidth="1"/>
    <col min="310" max="310" width="27.77734375" bestFit="1" customWidth="1"/>
    <col min="311" max="311" width="40.33203125" bestFit="1" customWidth="1"/>
    <col min="312" max="312" width="23" bestFit="1" customWidth="1"/>
    <col min="313" max="313" width="33.44140625" bestFit="1" customWidth="1"/>
    <col min="314" max="314" width="14" bestFit="1" customWidth="1"/>
    <col min="315" max="315" width="14.6640625" bestFit="1" customWidth="1"/>
    <col min="316" max="316" width="12.77734375" bestFit="1" customWidth="1"/>
    <col min="317" max="317" width="9.21875" bestFit="1" customWidth="1"/>
    <col min="318" max="318" width="32" bestFit="1" customWidth="1"/>
    <col min="319" max="319" width="19.33203125" bestFit="1" customWidth="1"/>
    <col min="320" max="320" width="17.21875" bestFit="1" customWidth="1"/>
    <col min="321" max="321" width="8.6640625" bestFit="1" customWidth="1"/>
    <col min="322" max="322" width="12.6640625" bestFit="1" customWidth="1"/>
    <col min="323" max="323" width="12.77734375" bestFit="1" customWidth="1"/>
    <col min="324" max="324" width="19.77734375" bestFit="1" customWidth="1"/>
    <col min="325" max="325" width="15.44140625" bestFit="1" customWidth="1"/>
    <col min="326" max="326" width="7.44140625" bestFit="1" customWidth="1"/>
    <col min="327" max="327" width="11" bestFit="1" customWidth="1"/>
    <col min="328" max="328" width="23.33203125" bestFit="1" customWidth="1"/>
    <col min="329" max="329" width="22.5546875" bestFit="1" customWidth="1"/>
    <col min="330" max="330" width="21.6640625" bestFit="1" customWidth="1"/>
    <col min="331" max="331" width="15" bestFit="1" customWidth="1"/>
    <col min="332" max="332" width="14.44140625" bestFit="1" customWidth="1"/>
    <col min="333" max="333" width="15.77734375" bestFit="1" customWidth="1"/>
    <col min="334" max="334" width="9.33203125" bestFit="1" customWidth="1"/>
    <col min="335" max="335" width="38" bestFit="1" customWidth="1"/>
    <col min="336" max="336" width="8.109375" bestFit="1" customWidth="1"/>
    <col min="337" max="337" width="11.5546875" bestFit="1" customWidth="1"/>
    <col min="338" max="338" width="10.88671875" bestFit="1" customWidth="1"/>
    <col min="339" max="339" width="33" bestFit="1" customWidth="1"/>
    <col min="340" max="341" width="26.5546875" bestFit="1" customWidth="1"/>
    <col min="342" max="342" width="28.5546875" bestFit="1" customWidth="1"/>
    <col min="343" max="343" width="24.77734375" bestFit="1" customWidth="1"/>
    <col min="344" max="344" width="15.77734375" bestFit="1" customWidth="1"/>
    <col min="345" max="345" width="22.88671875" bestFit="1" customWidth="1"/>
    <col min="346" max="346" width="26.44140625" bestFit="1" customWidth="1"/>
    <col min="347" max="347" width="26.21875" bestFit="1" customWidth="1"/>
    <col min="348" max="348" width="30" bestFit="1" customWidth="1"/>
    <col min="349" max="349" width="27.77734375" bestFit="1" customWidth="1"/>
    <col min="350" max="350" width="22.44140625" bestFit="1" customWidth="1"/>
    <col min="351" max="351" width="23.21875" bestFit="1" customWidth="1"/>
    <col min="352" max="352" width="28.77734375" bestFit="1" customWidth="1"/>
    <col min="353" max="353" width="12.77734375" bestFit="1" customWidth="1"/>
    <col min="354" max="354" width="25.44140625" bestFit="1" customWidth="1"/>
    <col min="355" max="355" width="26" bestFit="1" customWidth="1"/>
    <col min="356" max="356" width="11.109375" bestFit="1" customWidth="1"/>
    <col min="357" max="357" width="13.21875" bestFit="1" customWidth="1"/>
    <col min="358" max="358" width="40.88671875" bestFit="1" customWidth="1"/>
    <col min="359" max="359" width="10.6640625" bestFit="1" customWidth="1"/>
    <col min="360" max="360" width="15.77734375" bestFit="1" customWidth="1"/>
    <col min="361" max="361" width="12.44140625" bestFit="1" customWidth="1"/>
    <col min="362" max="362" width="13.44140625" bestFit="1" customWidth="1"/>
    <col min="363" max="363" width="37.109375" bestFit="1" customWidth="1"/>
    <col min="364" max="364" width="39.77734375" bestFit="1" customWidth="1"/>
    <col min="365" max="365" width="51.6640625" bestFit="1" customWidth="1"/>
    <col min="366" max="366" width="11.77734375" bestFit="1" customWidth="1"/>
    <col min="367" max="367" width="51.77734375" bestFit="1" customWidth="1"/>
    <col min="368" max="368" width="17.44140625" bestFit="1" customWidth="1"/>
    <col min="369" max="369" width="50.6640625" bestFit="1" customWidth="1"/>
    <col min="370" max="370" width="11.6640625" bestFit="1" customWidth="1"/>
    <col min="371" max="371" width="16.6640625" bestFit="1" customWidth="1"/>
    <col min="372" max="372" width="12.44140625" bestFit="1" customWidth="1"/>
    <col min="373" max="373" width="62.44140625" bestFit="1" customWidth="1"/>
    <col min="374" max="374" width="12.44140625" bestFit="1" customWidth="1"/>
    <col min="375" max="375" width="13.21875" bestFit="1" customWidth="1"/>
    <col min="376" max="376" width="18.5546875" bestFit="1" customWidth="1"/>
    <col min="377" max="377" width="15" bestFit="1" customWidth="1"/>
    <col min="378" max="378" width="11" bestFit="1" customWidth="1"/>
    <col min="379" max="379" width="28.5546875" bestFit="1" customWidth="1"/>
    <col min="380" max="380" width="25" bestFit="1" customWidth="1"/>
    <col min="381" max="381" width="13.44140625" bestFit="1" customWidth="1"/>
    <col min="382" max="382" width="16.6640625" bestFit="1" customWidth="1"/>
    <col min="383" max="383" width="11.33203125" bestFit="1" customWidth="1"/>
    <col min="384" max="384" width="14.88671875" bestFit="1" customWidth="1"/>
    <col min="385" max="385" width="13.77734375" bestFit="1" customWidth="1"/>
    <col min="386" max="386" width="10.5546875" bestFit="1" customWidth="1"/>
    <col min="387" max="387" width="9.109375" bestFit="1" customWidth="1"/>
    <col min="388" max="388" width="16" bestFit="1" customWidth="1"/>
    <col min="389" max="389" width="35.6640625" bestFit="1" customWidth="1"/>
    <col min="390" max="390" width="16.6640625" bestFit="1" customWidth="1"/>
    <col min="391" max="391" width="28.88671875" bestFit="1" customWidth="1"/>
    <col min="392" max="392" width="12.44140625" bestFit="1" customWidth="1"/>
    <col min="393" max="393" width="21.6640625" bestFit="1" customWidth="1"/>
    <col min="394" max="394" width="11" bestFit="1" customWidth="1"/>
    <col min="395" max="395" width="21.44140625" bestFit="1" customWidth="1"/>
    <col min="396" max="396" width="21.109375" bestFit="1" customWidth="1"/>
    <col min="397" max="397" width="17.21875" bestFit="1" customWidth="1"/>
    <col min="398" max="398" width="14" bestFit="1" customWidth="1"/>
    <col min="399" max="399" width="22.77734375" bestFit="1" customWidth="1"/>
    <col min="400" max="400" width="36.77734375" bestFit="1" customWidth="1"/>
    <col min="401" max="401" width="16.88671875" bestFit="1" customWidth="1"/>
    <col min="402" max="402" width="8.77734375" bestFit="1" customWidth="1"/>
    <col min="403" max="403" width="10.77734375" bestFit="1" customWidth="1"/>
    <col min="404" max="404" width="12.77734375" bestFit="1" customWidth="1"/>
    <col min="405" max="405" width="22.33203125" bestFit="1" customWidth="1"/>
    <col min="406" max="406" width="16.44140625" bestFit="1" customWidth="1"/>
    <col min="407" max="407" width="21.44140625" bestFit="1" customWidth="1"/>
    <col min="408" max="408" width="13.88671875" bestFit="1" customWidth="1"/>
    <col min="409" max="409" width="20" bestFit="1" customWidth="1"/>
    <col min="410" max="410" width="10.21875" bestFit="1" customWidth="1"/>
    <col min="411" max="411" width="15.109375" bestFit="1" customWidth="1"/>
    <col min="412" max="412" width="19" bestFit="1" customWidth="1"/>
    <col min="413" max="413" width="10.6640625" bestFit="1" customWidth="1"/>
    <col min="414" max="414" width="21.77734375" bestFit="1" customWidth="1"/>
    <col min="415" max="415" width="12.6640625" bestFit="1" customWidth="1"/>
    <col min="416" max="416" width="15.33203125" bestFit="1" customWidth="1"/>
    <col min="417" max="417" width="23.44140625" bestFit="1" customWidth="1"/>
    <col min="418" max="418" width="20" bestFit="1" customWidth="1"/>
    <col min="419" max="419" width="4" bestFit="1" customWidth="1"/>
    <col min="420" max="420" width="11.109375" bestFit="1" customWidth="1"/>
    <col min="421" max="421" width="22" bestFit="1" customWidth="1"/>
    <col min="422" max="422" width="29" bestFit="1" customWidth="1"/>
    <col min="423" max="423" width="9" bestFit="1" customWidth="1"/>
    <col min="424" max="424" width="20.44140625" bestFit="1" customWidth="1"/>
    <col min="425" max="425" width="16.21875" bestFit="1" customWidth="1"/>
    <col min="426" max="426" width="28.109375" bestFit="1" customWidth="1"/>
    <col min="427" max="427" width="22.77734375" bestFit="1" customWidth="1"/>
    <col min="428" max="428" width="37.77734375" bestFit="1" customWidth="1"/>
    <col min="429" max="429" width="9.6640625" bestFit="1" customWidth="1"/>
    <col min="430" max="430" width="5.21875" bestFit="1" customWidth="1"/>
    <col min="431" max="431" width="9.33203125" bestFit="1" customWidth="1"/>
    <col min="432" max="432" width="12.109375" bestFit="1" customWidth="1"/>
    <col min="433" max="433" width="18.21875" bestFit="1" customWidth="1"/>
    <col min="434" max="434" width="8.5546875" bestFit="1" customWidth="1"/>
    <col min="435" max="435" width="11" bestFit="1" customWidth="1"/>
    <col min="436" max="436" width="10.109375" bestFit="1" customWidth="1"/>
    <col min="437" max="437" width="22.109375" bestFit="1" customWidth="1"/>
    <col min="438" max="438" width="11.5546875" bestFit="1" customWidth="1"/>
    <col min="439" max="439" width="12.44140625" bestFit="1" customWidth="1"/>
    <col min="440" max="440" width="11.33203125" bestFit="1" customWidth="1"/>
    <col min="441" max="441" width="10.77734375" bestFit="1" customWidth="1"/>
    <col min="442" max="442" width="14.44140625" bestFit="1" customWidth="1"/>
    <col min="443" max="443" width="17.33203125" bestFit="1" customWidth="1"/>
    <col min="444" max="444" width="10.21875" bestFit="1" customWidth="1"/>
    <col min="445" max="445" width="9.5546875" bestFit="1" customWidth="1"/>
    <col min="446" max="446" width="15.33203125" bestFit="1" customWidth="1"/>
    <col min="447" max="447" width="34.44140625" bestFit="1" customWidth="1"/>
    <col min="448" max="448" width="17.88671875" bestFit="1" customWidth="1"/>
    <col min="449" max="449" width="6.109375" bestFit="1" customWidth="1"/>
    <col min="450" max="450" width="15.88671875" bestFit="1" customWidth="1"/>
    <col min="451" max="451" width="13.44140625" bestFit="1" customWidth="1"/>
    <col min="452" max="452" width="27.77734375" bestFit="1" customWidth="1"/>
    <col min="453" max="453" width="23.77734375" bestFit="1" customWidth="1"/>
    <col min="454" max="454" width="30.33203125" bestFit="1" customWidth="1"/>
    <col min="455" max="455" width="23.44140625" bestFit="1" customWidth="1"/>
    <col min="456" max="456" width="27.77734375" bestFit="1" customWidth="1"/>
    <col min="457" max="457" width="27.21875" bestFit="1" customWidth="1"/>
    <col min="458" max="458" width="25.6640625" bestFit="1" customWidth="1"/>
    <col min="459" max="459" width="16.109375" bestFit="1" customWidth="1"/>
    <col min="460" max="460" width="10.88671875" bestFit="1" customWidth="1"/>
    <col min="461" max="461" width="13.44140625" bestFit="1" customWidth="1"/>
    <col min="462" max="462" width="35.6640625" bestFit="1" customWidth="1"/>
    <col min="463" max="463" width="13.77734375" bestFit="1" customWidth="1"/>
    <col min="464" max="464" width="20.21875" bestFit="1" customWidth="1"/>
    <col min="465" max="465" width="14.77734375" bestFit="1" customWidth="1"/>
    <col min="466" max="466" width="9.33203125" bestFit="1" customWidth="1"/>
    <col min="467" max="467" width="18.77734375" bestFit="1" customWidth="1"/>
    <col min="468" max="468" width="29.21875" bestFit="1" customWidth="1"/>
    <col min="469" max="469" width="22.77734375" bestFit="1" customWidth="1"/>
    <col min="470" max="470" width="28.5546875" bestFit="1" customWidth="1"/>
    <col min="471" max="471" width="14.21875" bestFit="1" customWidth="1"/>
    <col min="472" max="472" width="21.6640625" bestFit="1" customWidth="1"/>
    <col min="473" max="473" width="14.5546875" bestFit="1" customWidth="1"/>
    <col min="474" max="474" width="35.44140625" bestFit="1" customWidth="1"/>
    <col min="475" max="475" width="6.88671875" bestFit="1" customWidth="1"/>
    <col min="476" max="476" width="18.5546875" bestFit="1" customWidth="1"/>
    <col min="477" max="477" width="12.33203125" bestFit="1" customWidth="1"/>
    <col min="478" max="478" width="11" bestFit="1" customWidth="1"/>
    <col min="479" max="479" width="11.33203125" bestFit="1" customWidth="1"/>
    <col min="480" max="480" width="13.88671875" bestFit="1" customWidth="1"/>
    <col min="481" max="481" width="20.44140625" bestFit="1" customWidth="1"/>
    <col min="482" max="482" width="12.77734375" bestFit="1" customWidth="1"/>
    <col min="483" max="483" width="19.21875" bestFit="1" customWidth="1"/>
    <col min="484" max="484" width="27.5546875" bestFit="1" customWidth="1"/>
    <col min="485" max="485" width="13.77734375" bestFit="1" customWidth="1"/>
    <col min="486" max="486" width="14.109375" bestFit="1" customWidth="1"/>
    <col min="487" max="487" width="14.21875" bestFit="1" customWidth="1"/>
    <col min="488" max="488" width="14.33203125" bestFit="1" customWidth="1"/>
    <col min="489" max="489" width="32" bestFit="1" customWidth="1"/>
    <col min="490" max="490" width="10.77734375" bestFit="1" customWidth="1"/>
    <col min="491" max="491" width="18.88671875" bestFit="1" customWidth="1"/>
    <col min="492" max="492" width="19.6640625" bestFit="1" customWidth="1"/>
    <col min="493" max="493" width="8.44140625" bestFit="1" customWidth="1"/>
    <col min="494" max="494" width="33" bestFit="1" customWidth="1"/>
    <col min="495" max="495" width="30" bestFit="1" customWidth="1"/>
    <col min="496" max="496" width="20.5546875" bestFit="1" customWidth="1"/>
    <col min="497" max="497" width="36.21875" bestFit="1" customWidth="1"/>
    <col min="498" max="498" width="13.77734375" bestFit="1" customWidth="1"/>
    <col min="499" max="499" width="12.21875" bestFit="1" customWidth="1"/>
    <col min="500" max="500" width="12.33203125" bestFit="1" customWidth="1"/>
    <col min="501" max="501" width="27.44140625" bestFit="1" customWidth="1"/>
    <col min="502" max="502" width="18.88671875" bestFit="1" customWidth="1"/>
    <col min="503" max="503" width="17.44140625" bestFit="1" customWidth="1"/>
    <col min="504" max="504" width="22.33203125" bestFit="1" customWidth="1"/>
    <col min="505" max="505" width="22" bestFit="1" customWidth="1"/>
    <col min="506" max="506" width="35.109375" bestFit="1" customWidth="1"/>
    <col min="507" max="507" width="7.6640625" bestFit="1" customWidth="1"/>
    <col min="508" max="508" width="31.109375" bestFit="1" customWidth="1"/>
    <col min="509" max="509" width="11.77734375" bestFit="1" customWidth="1"/>
    <col min="510" max="510" width="12.33203125" bestFit="1" customWidth="1"/>
    <col min="511" max="511" width="21.77734375" bestFit="1" customWidth="1"/>
    <col min="512" max="512" width="14.88671875" bestFit="1" customWidth="1"/>
    <col min="513" max="513" width="11" bestFit="1" customWidth="1"/>
    <col min="514" max="514" width="17.6640625" bestFit="1" customWidth="1"/>
    <col min="515" max="515" width="36.5546875" bestFit="1" customWidth="1"/>
    <col min="516" max="516" width="17.33203125" bestFit="1" customWidth="1"/>
    <col min="517" max="517" width="22.77734375" bestFit="1" customWidth="1"/>
    <col min="518" max="518" width="16.5546875" bestFit="1" customWidth="1"/>
    <col min="519" max="519" width="10.44140625" bestFit="1" customWidth="1"/>
    <col min="520" max="520" width="11.88671875" bestFit="1" customWidth="1"/>
    <col min="521" max="521" width="28" bestFit="1" customWidth="1"/>
    <col min="522" max="522" width="19.44140625" bestFit="1" customWidth="1"/>
    <col min="523" max="523" width="9.5546875" bestFit="1" customWidth="1"/>
    <col min="524" max="524" width="12.5546875" bestFit="1" customWidth="1"/>
    <col min="525" max="525" width="19" bestFit="1" customWidth="1"/>
    <col min="526" max="526" width="12.6640625" bestFit="1" customWidth="1"/>
    <col min="527" max="527" width="14" bestFit="1" customWidth="1"/>
    <col min="528" max="528" width="34" bestFit="1" customWidth="1"/>
    <col min="529" max="529" width="11" bestFit="1" customWidth="1"/>
    <col min="530" max="530" width="19.109375" bestFit="1" customWidth="1"/>
    <col min="531" max="531" width="11.44140625" bestFit="1" customWidth="1"/>
    <col min="532" max="532" width="12.6640625" bestFit="1" customWidth="1"/>
    <col min="533" max="533" width="19.44140625" bestFit="1" customWidth="1"/>
    <col min="534" max="534" width="23.44140625" bestFit="1" customWidth="1"/>
    <col min="535" max="535" width="13.88671875" bestFit="1" customWidth="1"/>
    <col min="536" max="536" width="9.88671875" bestFit="1" customWidth="1"/>
    <col min="537" max="537" width="18.33203125" bestFit="1" customWidth="1"/>
    <col min="538" max="538" width="32.109375" bestFit="1" customWidth="1"/>
    <col min="539" max="539" width="8" bestFit="1" customWidth="1"/>
    <col min="540" max="540" width="8.6640625" bestFit="1" customWidth="1"/>
    <col min="541" max="541" width="25" bestFit="1" customWidth="1"/>
    <col min="542" max="542" width="11.21875" bestFit="1" customWidth="1"/>
    <col min="543" max="543" width="26.44140625" bestFit="1" customWidth="1"/>
    <col min="544" max="544" width="22.21875" bestFit="1" customWidth="1"/>
    <col min="545" max="545" width="13.77734375" bestFit="1" customWidth="1"/>
    <col min="546" max="546" width="105.109375" bestFit="1" customWidth="1"/>
    <col min="547" max="547" width="6.77734375" bestFit="1" customWidth="1"/>
    <col min="548" max="548" width="12.88671875" bestFit="1" customWidth="1"/>
    <col min="549" max="549" width="44.5546875" bestFit="1" customWidth="1"/>
    <col min="550" max="550" width="15.88671875" bestFit="1" customWidth="1"/>
    <col min="551" max="551" width="12.109375" bestFit="1" customWidth="1"/>
    <col min="552" max="552" width="12" bestFit="1" customWidth="1"/>
    <col min="553" max="553" width="12.5546875" bestFit="1" customWidth="1"/>
    <col min="554" max="554" width="31.109375" bestFit="1" customWidth="1"/>
    <col min="555" max="555" width="20.33203125" bestFit="1" customWidth="1"/>
    <col min="556" max="556" width="23.21875" bestFit="1" customWidth="1"/>
    <col min="557" max="557" width="12.77734375" bestFit="1" customWidth="1"/>
    <col min="558" max="558" width="19.77734375" bestFit="1" customWidth="1"/>
    <col min="559" max="559" width="21" bestFit="1" customWidth="1"/>
    <col min="560" max="560" width="10.21875" bestFit="1" customWidth="1"/>
    <col min="561" max="561" width="9.5546875" bestFit="1" customWidth="1"/>
    <col min="562" max="562" width="19.33203125" bestFit="1" customWidth="1"/>
    <col min="563" max="563" width="18.44140625" bestFit="1" customWidth="1"/>
    <col min="564" max="564" width="23.5546875" bestFit="1" customWidth="1"/>
    <col min="565" max="565" width="17.5546875" bestFit="1" customWidth="1"/>
    <col min="566" max="566" width="18.88671875" bestFit="1" customWidth="1"/>
    <col min="567" max="567" width="17.21875" bestFit="1" customWidth="1"/>
    <col min="568" max="568" width="17.44140625" bestFit="1" customWidth="1"/>
    <col min="569" max="569" width="19" bestFit="1" customWidth="1"/>
    <col min="570" max="570" width="13.33203125" bestFit="1" customWidth="1"/>
    <col min="571" max="571" width="13.6640625" bestFit="1" customWidth="1"/>
    <col min="572" max="572" width="25.21875" bestFit="1" customWidth="1"/>
    <col min="573" max="573" width="15.33203125" bestFit="1" customWidth="1"/>
    <col min="574" max="574" width="21" bestFit="1" customWidth="1"/>
    <col min="575" max="575" width="11.5546875" bestFit="1" customWidth="1"/>
    <col min="576" max="576" width="13.44140625" bestFit="1" customWidth="1"/>
    <col min="577" max="577" width="27.109375" bestFit="1" customWidth="1"/>
    <col min="578" max="578" width="29" bestFit="1" customWidth="1"/>
    <col min="579" max="579" width="7.44140625" bestFit="1" customWidth="1"/>
    <col min="580" max="580" width="6.88671875" bestFit="1" customWidth="1"/>
    <col min="581" max="581" width="18.109375" bestFit="1" customWidth="1"/>
    <col min="582" max="582" width="12.6640625" bestFit="1" customWidth="1"/>
    <col min="583" max="583" width="22.6640625" bestFit="1" customWidth="1"/>
    <col min="584" max="584" width="11.109375" bestFit="1" customWidth="1"/>
    <col min="585" max="585" width="12.88671875" bestFit="1" customWidth="1"/>
    <col min="586" max="586" width="13.44140625" bestFit="1" customWidth="1"/>
    <col min="587" max="587" width="10.33203125" bestFit="1" customWidth="1"/>
    <col min="588" max="588" width="10.77734375" bestFit="1" customWidth="1"/>
    <col min="589" max="589" width="17.77734375" bestFit="1" customWidth="1"/>
    <col min="590" max="590" width="16.33203125" bestFit="1" customWidth="1"/>
    <col min="591" max="591" width="19.33203125" bestFit="1" customWidth="1"/>
    <col min="592" max="592" width="19.5546875" bestFit="1" customWidth="1"/>
    <col min="593" max="593" width="34.44140625" bestFit="1" customWidth="1"/>
    <col min="594" max="594" width="27.21875" bestFit="1" customWidth="1"/>
    <col min="595" max="595" width="10.88671875" bestFit="1" customWidth="1"/>
    <col min="596" max="596" width="12.21875" bestFit="1" customWidth="1"/>
    <col min="597" max="597" width="14.33203125" bestFit="1" customWidth="1"/>
    <col min="598" max="598" width="23.6640625" bestFit="1" customWidth="1"/>
    <col min="599" max="599" width="10.21875" bestFit="1" customWidth="1"/>
    <col min="600" max="600" width="35.6640625" bestFit="1" customWidth="1"/>
    <col min="601" max="601" width="39.21875" bestFit="1" customWidth="1"/>
    <col min="602" max="602" width="10.33203125" bestFit="1" customWidth="1"/>
    <col min="603" max="603" width="7.44140625" bestFit="1" customWidth="1"/>
    <col min="604" max="604" width="14.5546875" bestFit="1" customWidth="1"/>
    <col min="605" max="605" width="10.5546875" bestFit="1" customWidth="1"/>
    <col min="606" max="606" width="13.6640625" bestFit="1" customWidth="1"/>
    <col min="607" max="607" width="9.33203125" bestFit="1" customWidth="1"/>
    <col min="608" max="608" width="18.77734375" bestFit="1" customWidth="1"/>
    <col min="609" max="609" width="24" bestFit="1" customWidth="1"/>
    <col min="610" max="610" width="12.77734375" bestFit="1" customWidth="1"/>
    <col min="611" max="611" width="22.6640625" bestFit="1" customWidth="1"/>
    <col min="612" max="612" width="19.33203125" bestFit="1" customWidth="1"/>
    <col min="613" max="613" width="19" bestFit="1" customWidth="1"/>
    <col min="614" max="614" width="10.88671875" bestFit="1" customWidth="1"/>
    <col min="615" max="615" width="25.77734375" bestFit="1" customWidth="1"/>
    <col min="616" max="616" width="10.5546875" bestFit="1" customWidth="1"/>
    <col min="617" max="617" width="10.88671875" bestFit="1" customWidth="1"/>
    <col min="618" max="618" width="16.21875" bestFit="1" customWidth="1"/>
    <col min="619" max="619" width="11.6640625" bestFit="1" customWidth="1"/>
    <col min="620" max="620" width="27.21875" bestFit="1" customWidth="1"/>
    <col min="621" max="621" width="19.33203125" bestFit="1" customWidth="1"/>
    <col min="622" max="622" width="22.6640625" bestFit="1" customWidth="1"/>
    <col min="623" max="623" width="9.44140625" bestFit="1" customWidth="1"/>
    <col min="624" max="624" width="14" bestFit="1" customWidth="1"/>
    <col min="625" max="625" width="23" bestFit="1" customWidth="1"/>
    <col min="626" max="626" width="22.5546875" bestFit="1" customWidth="1"/>
    <col min="627" max="627" width="36.6640625" bestFit="1" customWidth="1"/>
    <col min="628" max="628" width="23.33203125" bestFit="1" customWidth="1"/>
    <col min="629" max="629" width="22.33203125" bestFit="1" customWidth="1"/>
    <col min="630" max="630" width="19.109375" bestFit="1" customWidth="1"/>
    <col min="631" max="631" width="22.33203125" bestFit="1" customWidth="1"/>
    <col min="632" max="632" width="17.88671875" bestFit="1" customWidth="1"/>
    <col min="633" max="633" width="15.33203125" bestFit="1" customWidth="1"/>
    <col min="634" max="634" width="11.44140625" bestFit="1" customWidth="1"/>
    <col min="635" max="635" width="21.77734375" bestFit="1" customWidth="1"/>
    <col min="636" max="636" width="12.88671875" bestFit="1" customWidth="1"/>
    <col min="637" max="637" width="20.33203125" bestFit="1" customWidth="1"/>
    <col min="638" max="638" width="37.21875" bestFit="1" customWidth="1"/>
    <col min="639" max="639" width="22.33203125" bestFit="1" customWidth="1"/>
    <col min="640" max="640" width="12.21875" bestFit="1" customWidth="1"/>
    <col min="641" max="641" width="7.109375" bestFit="1" customWidth="1"/>
    <col min="642" max="642" width="16.21875" bestFit="1" customWidth="1"/>
    <col min="643" max="643" width="21.77734375" bestFit="1" customWidth="1"/>
    <col min="644" max="644" width="14.109375" bestFit="1" customWidth="1"/>
    <col min="645" max="645" width="22.88671875" bestFit="1" customWidth="1"/>
    <col min="646" max="646" width="31.6640625" bestFit="1" customWidth="1"/>
    <col min="647" max="647" width="19" bestFit="1" customWidth="1"/>
    <col min="648" max="648" width="12.77734375" bestFit="1" customWidth="1"/>
    <col min="649" max="649" width="16.6640625" bestFit="1" customWidth="1"/>
    <col min="650" max="650" width="7.21875" bestFit="1" customWidth="1"/>
    <col min="651" max="651" width="20.44140625" bestFit="1" customWidth="1"/>
    <col min="652" max="652" width="33.6640625" bestFit="1" customWidth="1"/>
    <col min="653" max="653" width="14.5546875" bestFit="1" customWidth="1"/>
    <col min="654" max="654" width="11.21875" bestFit="1" customWidth="1"/>
    <col min="655" max="655" width="22.33203125" bestFit="1" customWidth="1"/>
    <col min="656" max="656" width="27.44140625" bestFit="1" customWidth="1"/>
    <col min="657" max="657" width="13.6640625" bestFit="1" customWidth="1"/>
    <col min="658" max="658" width="10.6640625" bestFit="1" customWidth="1"/>
    <col min="659" max="659" width="10.109375" bestFit="1" customWidth="1"/>
    <col min="660" max="660" width="15.88671875" bestFit="1" customWidth="1"/>
    <col min="661" max="661" width="18.88671875" bestFit="1" customWidth="1"/>
    <col min="662" max="662" width="15.44140625" bestFit="1" customWidth="1"/>
    <col min="663" max="663" width="18.44140625" bestFit="1" customWidth="1"/>
    <col min="664" max="664" width="10.44140625" bestFit="1" customWidth="1"/>
    <col min="665" max="665" width="21.88671875" bestFit="1" customWidth="1"/>
    <col min="666" max="666" width="19.88671875" bestFit="1" customWidth="1"/>
    <col min="667" max="667" width="14.5546875" bestFit="1" customWidth="1"/>
    <col min="668" max="668" width="18.44140625" bestFit="1" customWidth="1"/>
    <col min="669" max="669" width="34.21875" bestFit="1" customWidth="1"/>
    <col min="670" max="670" width="18.21875" bestFit="1" customWidth="1"/>
    <col min="671" max="671" width="12.5546875" bestFit="1" customWidth="1"/>
    <col min="672" max="672" width="25.77734375" bestFit="1" customWidth="1"/>
    <col min="673" max="673" width="17.44140625" bestFit="1" customWidth="1"/>
    <col min="674" max="674" width="14.5546875" bestFit="1" customWidth="1"/>
    <col min="675" max="675" width="21.109375" bestFit="1" customWidth="1"/>
    <col min="676" max="676" width="19.88671875" bestFit="1" customWidth="1"/>
    <col min="677" max="677" width="14.21875" bestFit="1" customWidth="1"/>
    <col min="678" max="678" width="16.21875" bestFit="1" customWidth="1"/>
    <col min="679" max="679" width="14.77734375" bestFit="1" customWidth="1"/>
    <col min="680" max="680" width="15.6640625" bestFit="1" customWidth="1"/>
    <col min="681" max="681" width="8.21875" bestFit="1" customWidth="1"/>
    <col min="682" max="682" width="37.33203125" bestFit="1" customWidth="1"/>
    <col min="683" max="683" width="19.109375" bestFit="1" customWidth="1"/>
    <col min="684" max="684" width="22.33203125" bestFit="1" customWidth="1"/>
    <col min="685" max="685" width="10.88671875" bestFit="1" customWidth="1"/>
    <col min="686" max="686" width="10" bestFit="1" customWidth="1"/>
    <col min="687" max="687" width="21.109375" bestFit="1" customWidth="1"/>
    <col min="688" max="688" width="9.5546875" bestFit="1" customWidth="1"/>
    <col min="689" max="689" width="14.5546875" bestFit="1" customWidth="1"/>
    <col min="690" max="690" width="9.109375" bestFit="1" customWidth="1"/>
    <col min="691" max="691" width="13.33203125" bestFit="1" customWidth="1"/>
    <col min="692" max="692" width="14.88671875" bestFit="1" customWidth="1"/>
    <col min="693" max="693" width="11.33203125" bestFit="1" customWidth="1"/>
    <col min="694" max="694" width="8.77734375" bestFit="1" customWidth="1"/>
    <col min="695" max="695" width="28" bestFit="1" customWidth="1"/>
    <col min="696" max="696" width="37.44140625" bestFit="1" customWidth="1"/>
    <col min="697" max="697" width="36" bestFit="1" customWidth="1"/>
    <col min="698" max="698" width="25.21875" bestFit="1" customWidth="1"/>
    <col min="699" max="699" width="12.88671875" bestFit="1" customWidth="1"/>
    <col min="700" max="700" width="37.33203125" bestFit="1" customWidth="1"/>
    <col min="701" max="701" width="12.33203125" bestFit="1" customWidth="1"/>
    <col min="702" max="702" width="25.21875" bestFit="1" customWidth="1"/>
    <col min="703" max="703" width="22.77734375" bestFit="1" customWidth="1"/>
    <col min="704" max="704" width="19.44140625" bestFit="1" customWidth="1"/>
    <col min="705" max="705" width="14.77734375" bestFit="1" customWidth="1"/>
    <col min="706" max="706" width="22.33203125" bestFit="1" customWidth="1"/>
    <col min="707" max="707" width="11.44140625" bestFit="1" customWidth="1"/>
    <col min="708" max="708" width="17.33203125" bestFit="1" customWidth="1"/>
    <col min="709" max="709" width="12.21875" bestFit="1" customWidth="1"/>
    <col min="710" max="710" width="27.33203125" bestFit="1" customWidth="1"/>
    <col min="711" max="711" width="14.109375" bestFit="1" customWidth="1"/>
    <col min="712" max="712" width="10.6640625" bestFit="1" customWidth="1"/>
    <col min="713" max="713" width="23.44140625" bestFit="1" customWidth="1"/>
    <col min="714" max="714" width="35.77734375" bestFit="1" customWidth="1"/>
    <col min="715" max="715" width="23.21875" bestFit="1" customWidth="1"/>
    <col min="716" max="716" width="12.5546875" bestFit="1" customWidth="1"/>
    <col min="717" max="717" width="14.33203125" bestFit="1" customWidth="1"/>
    <col min="718" max="718" width="13.77734375" bestFit="1" customWidth="1"/>
    <col min="719" max="719" width="26.33203125" bestFit="1" customWidth="1"/>
    <col min="720" max="720" width="12" bestFit="1" customWidth="1"/>
    <col min="721" max="721" width="17.88671875" bestFit="1" customWidth="1"/>
    <col min="722" max="722" width="17" bestFit="1" customWidth="1"/>
    <col min="723" max="723" width="18.33203125" bestFit="1" customWidth="1"/>
    <col min="724" max="724" width="12.77734375" bestFit="1" customWidth="1"/>
    <col min="725" max="725" width="24" bestFit="1" customWidth="1"/>
    <col min="726" max="726" width="12" bestFit="1" customWidth="1"/>
    <col min="727" max="727" width="26.77734375" bestFit="1" customWidth="1"/>
    <col min="728" max="728" width="27.77734375" bestFit="1" customWidth="1"/>
    <col min="729" max="729" width="30.109375" bestFit="1" customWidth="1"/>
    <col min="730" max="730" width="19.6640625" bestFit="1" customWidth="1"/>
    <col min="731" max="731" width="9.77734375" bestFit="1" customWidth="1"/>
    <col min="732" max="732" width="17.5546875" bestFit="1" customWidth="1"/>
    <col min="733" max="733" width="17.88671875" bestFit="1" customWidth="1"/>
    <col min="734" max="734" width="10" bestFit="1" customWidth="1"/>
    <col min="735" max="735" width="16.88671875" bestFit="1" customWidth="1"/>
    <col min="736" max="736" width="11.5546875" bestFit="1" customWidth="1"/>
    <col min="737" max="737" width="15.77734375" bestFit="1" customWidth="1"/>
    <col min="738" max="738" width="12" bestFit="1" customWidth="1"/>
    <col min="739" max="739" width="7.109375" bestFit="1" customWidth="1"/>
    <col min="740" max="740" width="11.6640625" bestFit="1" customWidth="1"/>
    <col min="741" max="741" width="27.88671875" bestFit="1" customWidth="1"/>
    <col min="742" max="742" width="16.21875" bestFit="1" customWidth="1"/>
    <col min="743" max="743" width="19.21875" bestFit="1" customWidth="1"/>
    <col min="744" max="744" width="19.88671875" bestFit="1" customWidth="1"/>
    <col min="745" max="745" width="11.109375" bestFit="1" customWidth="1"/>
    <col min="746" max="746" width="43.109375" bestFit="1" customWidth="1"/>
    <col min="747" max="747" width="30.5546875" bestFit="1" customWidth="1"/>
    <col min="748" max="748" width="41.21875" bestFit="1" customWidth="1"/>
    <col min="749" max="749" width="23.33203125" bestFit="1" customWidth="1"/>
    <col min="750" max="750" width="21" bestFit="1" customWidth="1"/>
    <col min="751" max="751" width="61.6640625" bestFit="1" customWidth="1"/>
    <col min="752" max="752" width="13.88671875" bestFit="1" customWidth="1"/>
    <col min="753" max="753" width="15.33203125" bestFit="1" customWidth="1"/>
    <col min="754" max="754" width="31.77734375" bestFit="1" customWidth="1"/>
    <col min="755" max="755" width="9.21875" bestFit="1" customWidth="1"/>
    <col min="756" max="756" width="14.33203125" bestFit="1" customWidth="1"/>
    <col min="757" max="757" width="20.77734375" bestFit="1" customWidth="1"/>
    <col min="758" max="758" width="10.33203125" bestFit="1" customWidth="1"/>
    <col min="759" max="759" width="12.5546875" bestFit="1" customWidth="1"/>
    <col min="760" max="760" width="46" bestFit="1" customWidth="1"/>
    <col min="761" max="761" width="10.6640625" bestFit="1" customWidth="1"/>
    <col min="762" max="762" width="6.88671875" bestFit="1" customWidth="1"/>
    <col min="763" max="763" width="30.109375" bestFit="1" customWidth="1"/>
    <col min="764" max="764" width="20.109375" bestFit="1" customWidth="1"/>
    <col min="765" max="765" width="21.88671875" bestFit="1" customWidth="1"/>
    <col min="766" max="766" width="9.33203125" bestFit="1" customWidth="1"/>
    <col min="767" max="767" width="18.21875" bestFit="1" customWidth="1"/>
    <col min="768" max="768" width="7.6640625" bestFit="1" customWidth="1"/>
    <col min="769" max="769" width="20.6640625" bestFit="1" customWidth="1"/>
    <col min="770" max="770" width="18.21875" bestFit="1" customWidth="1"/>
    <col min="771" max="771" width="16.109375" bestFit="1" customWidth="1"/>
    <col min="772" max="772" width="15.109375" bestFit="1" customWidth="1"/>
    <col min="773" max="773" width="12.77734375" bestFit="1" customWidth="1"/>
    <col min="774" max="774" width="28.77734375" bestFit="1" customWidth="1"/>
    <col min="775" max="775" width="15.33203125" bestFit="1" customWidth="1"/>
    <col min="776" max="776" width="28.77734375" bestFit="1" customWidth="1"/>
    <col min="778" max="778" width="15.77734375" bestFit="1" customWidth="1"/>
    <col min="779" max="779" width="23.88671875" bestFit="1" customWidth="1"/>
    <col min="780" max="780" width="15.33203125" bestFit="1" customWidth="1"/>
    <col min="781" max="781" width="10.44140625" bestFit="1" customWidth="1"/>
    <col min="782" max="782" width="13.109375" bestFit="1" customWidth="1"/>
    <col min="783" max="783" width="22.5546875" bestFit="1" customWidth="1"/>
    <col min="784" max="784" width="21.109375" bestFit="1" customWidth="1"/>
    <col min="785" max="785" width="12.88671875" bestFit="1" customWidth="1"/>
    <col min="786" max="786" width="5.21875" bestFit="1" customWidth="1"/>
    <col min="787" max="787" width="9.5546875" bestFit="1" customWidth="1"/>
    <col min="788" max="788" width="12.77734375" bestFit="1" customWidth="1"/>
    <col min="789" max="789" width="10.21875" bestFit="1" customWidth="1"/>
    <col min="790" max="790" width="14.5546875" bestFit="1" customWidth="1"/>
    <col min="791" max="791" width="8.33203125" bestFit="1" customWidth="1"/>
    <col min="792" max="792" width="9.21875" bestFit="1" customWidth="1"/>
    <col min="793" max="793" width="25.44140625" bestFit="1" customWidth="1"/>
    <col min="794" max="794" width="12.44140625" bestFit="1" customWidth="1"/>
    <col min="795" max="795" width="9.77734375" bestFit="1" customWidth="1"/>
    <col min="796" max="796" width="9.44140625" bestFit="1" customWidth="1"/>
    <col min="797" max="797" width="27.21875" bestFit="1" customWidth="1"/>
    <col min="798" max="798" width="26.5546875" bestFit="1" customWidth="1"/>
    <col min="799" max="799" width="26" bestFit="1" customWidth="1"/>
    <col min="800" max="800" width="23.77734375" bestFit="1" customWidth="1"/>
    <col min="801" max="801" width="23.44140625" bestFit="1" customWidth="1"/>
    <col min="802" max="802" width="12.6640625" bestFit="1" customWidth="1"/>
    <col min="803" max="803" width="11.6640625" bestFit="1" customWidth="1"/>
    <col min="804" max="804" width="14.109375" bestFit="1" customWidth="1"/>
    <col min="805" max="805" width="11.33203125" bestFit="1" customWidth="1"/>
    <col min="806" max="806" width="22.77734375" bestFit="1" customWidth="1"/>
    <col min="807" max="807" width="7.21875" bestFit="1" customWidth="1"/>
    <col min="808" max="808" width="11.109375" bestFit="1" customWidth="1"/>
    <col min="809" max="809" width="19.6640625" bestFit="1" customWidth="1"/>
    <col min="810" max="810" width="7.5546875" bestFit="1" customWidth="1"/>
    <col min="811" max="811" width="22.33203125" bestFit="1" customWidth="1"/>
    <col min="812" max="812" width="17.77734375" bestFit="1" customWidth="1"/>
    <col min="813" max="813" width="13.44140625" bestFit="1" customWidth="1"/>
    <col min="814" max="814" width="33" bestFit="1" customWidth="1"/>
    <col min="815" max="815" width="27.88671875" bestFit="1" customWidth="1"/>
    <col min="816" max="816" width="20.21875" bestFit="1" customWidth="1"/>
    <col min="817" max="817" width="32.5546875" bestFit="1" customWidth="1"/>
    <col min="818" max="818" width="42.109375" bestFit="1" customWidth="1"/>
    <col min="819" max="819" width="13.33203125" bestFit="1" customWidth="1"/>
    <col min="820" max="820" width="8.109375" bestFit="1" customWidth="1"/>
    <col min="821" max="821" width="8.77734375" bestFit="1" customWidth="1"/>
    <col min="822" max="822" width="14.21875" bestFit="1" customWidth="1"/>
    <col min="823" max="823" width="12.21875" bestFit="1" customWidth="1"/>
    <col min="824" max="824" width="7.5546875" bestFit="1" customWidth="1"/>
    <col min="825" max="825" width="31.33203125" bestFit="1" customWidth="1"/>
    <col min="826" max="826" width="11.109375" bestFit="1" customWidth="1"/>
    <col min="827" max="827" width="12.44140625" bestFit="1" customWidth="1"/>
    <col min="828" max="828" width="8.21875" bestFit="1" customWidth="1"/>
    <col min="829" max="829" width="18.44140625" bestFit="1" customWidth="1"/>
    <col min="830" max="830" width="8" bestFit="1" customWidth="1"/>
    <col min="831" max="831" width="16.33203125" bestFit="1" customWidth="1"/>
    <col min="832" max="832" width="11.21875" bestFit="1" customWidth="1"/>
    <col min="833" max="833" width="22" bestFit="1" customWidth="1"/>
    <col min="834" max="834" width="12.77734375" bestFit="1" customWidth="1"/>
    <col min="835" max="835" width="29.109375" bestFit="1" customWidth="1"/>
    <col min="836" max="836" width="11.88671875" bestFit="1" customWidth="1"/>
    <col min="837" max="837" width="15.88671875" bestFit="1" customWidth="1"/>
    <col min="838" max="838" width="11.33203125" bestFit="1" customWidth="1"/>
    <col min="839" max="839" width="27.33203125" bestFit="1" customWidth="1"/>
    <col min="840" max="840" width="17.21875" bestFit="1" customWidth="1"/>
    <col min="841" max="841" width="14" bestFit="1" customWidth="1"/>
    <col min="842" max="842" width="19.77734375" bestFit="1" customWidth="1"/>
    <col min="843" max="843" width="12.5546875" bestFit="1" customWidth="1"/>
    <col min="844" max="844" width="14.5546875" bestFit="1" customWidth="1"/>
    <col min="845" max="845" width="19.5546875" bestFit="1" customWidth="1"/>
    <col min="846" max="846" width="20.109375" bestFit="1" customWidth="1"/>
    <col min="847" max="847" width="23.88671875" bestFit="1" customWidth="1"/>
    <col min="848" max="848" width="14.5546875" bestFit="1" customWidth="1"/>
    <col min="849" max="849" width="15.88671875" bestFit="1" customWidth="1"/>
    <col min="850" max="850" width="17" bestFit="1" customWidth="1"/>
    <col min="851" max="851" width="24.77734375" bestFit="1" customWidth="1"/>
    <col min="852" max="852" width="21.33203125" bestFit="1" customWidth="1"/>
    <col min="853" max="853" width="12.6640625" bestFit="1" customWidth="1"/>
    <col min="854" max="854" width="26.88671875" bestFit="1" customWidth="1"/>
    <col min="855" max="855" width="15" bestFit="1" customWidth="1"/>
    <col min="856" max="856" width="14.33203125" bestFit="1" customWidth="1"/>
    <col min="857" max="857" width="21.88671875" bestFit="1" customWidth="1"/>
    <col min="858" max="858" width="12.109375" bestFit="1" customWidth="1"/>
    <col min="859" max="859" width="16.109375" bestFit="1" customWidth="1"/>
    <col min="860" max="860" width="26.21875" bestFit="1" customWidth="1"/>
    <col min="861" max="861" width="15.88671875" bestFit="1" customWidth="1"/>
    <col min="862" max="862" width="14.21875" bestFit="1" customWidth="1"/>
    <col min="863" max="863" width="16.33203125" bestFit="1" customWidth="1"/>
    <col min="864" max="864" width="20" bestFit="1" customWidth="1"/>
    <col min="865" max="865" width="18.6640625" bestFit="1" customWidth="1"/>
    <col min="866" max="866" width="10.109375" bestFit="1" customWidth="1"/>
    <col min="867" max="867" width="24.44140625" bestFit="1" customWidth="1"/>
    <col min="868" max="868" width="15.44140625" bestFit="1" customWidth="1"/>
    <col min="869" max="869" width="15.5546875" bestFit="1" customWidth="1"/>
    <col min="870" max="870" width="13.109375" bestFit="1" customWidth="1"/>
    <col min="871" max="871" width="17.44140625" bestFit="1" customWidth="1"/>
    <col min="872" max="872" width="16.44140625" bestFit="1" customWidth="1"/>
    <col min="873" max="873" width="31.5546875" bestFit="1" customWidth="1"/>
    <col min="874" max="874" width="30.33203125" bestFit="1" customWidth="1"/>
    <col min="875" max="875" width="15.33203125" bestFit="1" customWidth="1"/>
    <col min="876" max="876" width="16.6640625" bestFit="1" customWidth="1"/>
    <col min="877" max="877" width="13.88671875" bestFit="1" customWidth="1"/>
    <col min="878" max="878" width="14.77734375" bestFit="1" customWidth="1"/>
    <col min="879" max="879" width="31.44140625" bestFit="1" customWidth="1"/>
    <col min="880" max="880" width="14" bestFit="1" customWidth="1"/>
    <col min="881" max="881" width="15.21875" bestFit="1" customWidth="1"/>
    <col min="882" max="882" width="14.6640625" bestFit="1" customWidth="1"/>
    <col min="883" max="883" width="16.88671875" bestFit="1" customWidth="1"/>
    <col min="884" max="884" width="15.21875" bestFit="1" customWidth="1"/>
    <col min="885" max="885" width="25.6640625" bestFit="1" customWidth="1"/>
    <col min="886" max="886" width="18.77734375" bestFit="1" customWidth="1"/>
    <col min="887" max="887" width="18.21875" bestFit="1" customWidth="1"/>
    <col min="888" max="888" width="19.33203125" bestFit="1" customWidth="1"/>
    <col min="889" max="889" width="5.21875" bestFit="1" customWidth="1"/>
    <col min="890" max="890" width="23.6640625" bestFit="1" customWidth="1"/>
    <col min="891" max="891" width="14.6640625" bestFit="1" customWidth="1"/>
    <col min="892" max="892" width="17.5546875" bestFit="1" customWidth="1"/>
    <col min="893" max="893" width="15.88671875" bestFit="1" customWidth="1"/>
    <col min="894" max="894" width="23.6640625" bestFit="1" customWidth="1"/>
    <col min="895" max="895" width="14.88671875" bestFit="1" customWidth="1"/>
    <col min="896" max="896" width="13.88671875" bestFit="1" customWidth="1"/>
    <col min="897" max="897" width="19.33203125" bestFit="1" customWidth="1"/>
    <col min="898" max="898" width="14.5546875" bestFit="1" customWidth="1"/>
    <col min="899" max="899" width="33.21875" bestFit="1" customWidth="1"/>
    <col min="900" max="900" width="17.6640625" bestFit="1" customWidth="1"/>
    <col min="901" max="901" width="38.5546875" bestFit="1" customWidth="1"/>
    <col min="902" max="902" width="20" bestFit="1" customWidth="1"/>
    <col min="903" max="903" width="26.88671875" bestFit="1" customWidth="1"/>
    <col min="904" max="904" width="15.33203125" bestFit="1" customWidth="1"/>
    <col min="905" max="905" width="20.77734375" bestFit="1" customWidth="1"/>
    <col min="906" max="906" width="17.21875" bestFit="1" customWidth="1"/>
    <col min="907" max="907" width="22.21875" bestFit="1" customWidth="1"/>
    <col min="908" max="908" width="17.5546875" bestFit="1" customWidth="1"/>
    <col min="909" max="909" width="9.109375" bestFit="1" customWidth="1"/>
    <col min="910" max="910" width="13.44140625" bestFit="1" customWidth="1"/>
    <col min="911" max="911" width="17.88671875" bestFit="1" customWidth="1"/>
    <col min="912" max="912" width="22.109375" bestFit="1" customWidth="1"/>
    <col min="913" max="913" width="28.33203125" bestFit="1" customWidth="1"/>
    <col min="914" max="914" width="40.44140625" bestFit="1" customWidth="1"/>
    <col min="915" max="915" width="15" bestFit="1" customWidth="1"/>
    <col min="916" max="916" width="24.6640625" bestFit="1" customWidth="1"/>
    <col min="917" max="917" width="15.5546875" bestFit="1" customWidth="1"/>
    <col min="918" max="918" width="13.77734375" bestFit="1" customWidth="1"/>
    <col min="919" max="919" width="10.77734375" bestFit="1" customWidth="1"/>
    <col min="920" max="920" width="59.5546875" bestFit="1" customWidth="1"/>
    <col min="921" max="921" width="48.44140625" bestFit="1" customWidth="1"/>
    <col min="922" max="922" width="45.6640625" bestFit="1" customWidth="1"/>
    <col min="923" max="923" width="12.77734375" bestFit="1" customWidth="1"/>
    <col min="924" max="924" width="16.6640625" bestFit="1" customWidth="1"/>
    <col min="925" max="925" width="18.44140625" bestFit="1" customWidth="1"/>
    <col min="926" max="926" width="5.21875" bestFit="1" customWidth="1"/>
    <col min="927" max="927" width="12.33203125" bestFit="1" customWidth="1"/>
    <col min="928" max="928" width="7.5546875" bestFit="1" customWidth="1"/>
    <col min="929" max="929" width="18.88671875" bestFit="1" customWidth="1"/>
    <col min="930" max="930" width="31" bestFit="1" customWidth="1"/>
    <col min="931" max="931" width="11.21875" bestFit="1" customWidth="1"/>
    <col min="932" max="932" width="14.77734375" bestFit="1" customWidth="1"/>
    <col min="933" max="933" width="12.6640625" bestFit="1" customWidth="1"/>
    <col min="934" max="934" width="14" bestFit="1" customWidth="1"/>
    <col min="935" max="935" width="25.21875" bestFit="1" customWidth="1"/>
    <col min="936" max="936" width="10" bestFit="1" customWidth="1"/>
    <col min="937" max="937" width="15.21875" bestFit="1" customWidth="1"/>
    <col min="938" max="938" width="11.33203125" bestFit="1" customWidth="1"/>
    <col min="939" max="939" width="29.6640625" bestFit="1" customWidth="1"/>
    <col min="940" max="940" width="27" bestFit="1" customWidth="1"/>
    <col min="941" max="941" width="19.109375" bestFit="1" customWidth="1"/>
    <col min="942" max="942" width="16.21875" bestFit="1" customWidth="1"/>
    <col min="943" max="943" width="23" bestFit="1" customWidth="1"/>
    <col min="944" max="944" width="12.109375" bestFit="1" customWidth="1"/>
    <col min="945" max="945" width="25.5546875" bestFit="1" customWidth="1"/>
    <col min="946" max="946" width="17.44140625" bestFit="1" customWidth="1"/>
    <col min="947" max="947" width="12.109375" bestFit="1" customWidth="1"/>
    <col min="948" max="948" width="6.21875" bestFit="1" customWidth="1"/>
    <col min="949" max="949" width="17.5546875" bestFit="1" customWidth="1"/>
    <col min="950" max="950" width="18.109375" bestFit="1" customWidth="1"/>
    <col min="951" max="951" width="11" bestFit="1" customWidth="1"/>
    <col min="952" max="952" width="11.21875" bestFit="1" customWidth="1"/>
    <col min="953" max="953" width="14.88671875" bestFit="1" customWidth="1"/>
    <col min="954" max="954" width="17.88671875" bestFit="1" customWidth="1"/>
    <col min="955" max="955" width="21.44140625" bestFit="1" customWidth="1"/>
    <col min="956" max="956" width="10.77734375" bestFit="1" customWidth="1"/>
    <col min="957" max="957" width="38.5546875" bestFit="1" customWidth="1"/>
    <col min="958" max="958" width="46.33203125" bestFit="1" customWidth="1"/>
    <col min="959" max="959" width="15" bestFit="1" customWidth="1"/>
    <col min="960" max="960" width="14.21875" bestFit="1" customWidth="1"/>
    <col min="961" max="961" width="16" bestFit="1" customWidth="1"/>
    <col min="962" max="962" width="34.21875" bestFit="1" customWidth="1"/>
    <col min="963" max="963" width="12.6640625" bestFit="1" customWidth="1"/>
    <col min="964" max="964" width="17" bestFit="1" customWidth="1"/>
    <col min="965" max="965" width="4.6640625" bestFit="1" customWidth="1"/>
    <col min="966" max="966" width="10.44140625" bestFit="1" customWidth="1"/>
    <col min="967" max="967" width="21.5546875" bestFit="1" customWidth="1"/>
    <col min="968" max="968" width="10.5546875" bestFit="1" customWidth="1"/>
    <col min="969" max="969" width="8.33203125" bestFit="1" customWidth="1"/>
    <col min="970" max="970" width="10.77734375" bestFit="1" customWidth="1"/>
  </cols>
  <sheetData>
    <row r="1" spans="1:10">
      <c r="A1" t="s">
        <v>2092</v>
      </c>
      <c r="I1" t="s">
        <v>2093</v>
      </c>
    </row>
    <row r="3" spans="1:10">
      <c r="A3" s="1" t="s">
        <v>2090</v>
      </c>
      <c r="B3" t="s">
        <v>2099</v>
      </c>
      <c r="I3" s="1" t="s">
        <v>2090</v>
      </c>
      <c r="J3" t="s">
        <v>2105</v>
      </c>
    </row>
    <row r="4" spans="1:10">
      <c r="A4" s="2" t="s">
        <v>525</v>
      </c>
      <c r="B4" s="9">
        <v>60</v>
      </c>
      <c r="I4" s="2" t="s">
        <v>1295</v>
      </c>
      <c r="J4" s="5">
        <v>4.4633333333333356</v>
      </c>
    </row>
    <row r="5" spans="1:10">
      <c r="A5" s="2" t="s">
        <v>409</v>
      </c>
      <c r="B5" s="9">
        <v>60</v>
      </c>
      <c r="I5" s="2" t="s">
        <v>1514</v>
      </c>
      <c r="J5" s="5">
        <v>4.4366666666666648</v>
      </c>
    </row>
    <row r="6" spans="1:10">
      <c r="A6" s="2" t="s">
        <v>730</v>
      </c>
      <c r="B6" s="9">
        <v>60</v>
      </c>
      <c r="I6" s="2" t="s">
        <v>1791</v>
      </c>
      <c r="J6" s="5">
        <v>4.426666666666665</v>
      </c>
    </row>
    <row r="7" spans="1:10">
      <c r="A7" s="2" t="s">
        <v>1791</v>
      </c>
      <c r="B7" s="9">
        <v>60</v>
      </c>
      <c r="I7" s="2" t="s">
        <v>1400</v>
      </c>
      <c r="J7" s="5">
        <v>4.4250000000000007</v>
      </c>
    </row>
    <row r="8" spans="1:10">
      <c r="A8" s="2" t="s">
        <v>127</v>
      </c>
      <c r="B8" s="9">
        <v>60</v>
      </c>
      <c r="I8" s="2" t="s">
        <v>1970</v>
      </c>
      <c r="J8" s="5">
        <v>4.3899999999999988</v>
      </c>
    </row>
    <row r="9" spans="1:10">
      <c r="A9" s="2" t="s">
        <v>7</v>
      </c>
      <c r="B9" s="9">
        <v>60</v>
      </c>
      <c r="I9" s="2" t="s">
        <v>1070</v>
      </c>
      <c r="J9" s="5">
        <v>4.370000000000001</v>
      </c>
    </row>
    <row r="10" spans="1:10">
      <c r="A10" s="2" t="s">
        <v>207</v>
      </c>
      <c r="B10" s="9">
        <v>60</v>
      </c>
      <c r="I10" s="2" t="s">
        <v>322</v>
      </c>
      <c r="J10" s="5">
        <v>4.3616666666666672</v>
      </c>
    </row>
    <row r="11" spans="1:10">
      <c r="A11" s="2" t="s">
        <v>1607</v>
      </c>
      <c r="B11" s="9">
        <v>60</v>
      </c>
      <c r="I11" s="2" t="s">
        <v>730</v>
      </c>
      <c r="J11" s="5">
        <v>4.3599999999999985</v>
      </c>
    </row>
    <row r="12" spans="1:10">
      <c r="A12" s="2" t="s">
        <v>957</v>
      </c>
      <c r="B12" s="9">
        <v>60</v>
      </c>
      <c r="I12" s="2" t="s">
        <v>638</v>
      </c>
      <c r="J12" s="5">
        <v>4.339999999999999</v>
      </c>
    </row>
    <row r="13" spans="1:10">
      <c r="A13" s="2" t="s">
        <v>638</v>
      </c>
      <c r="B13" s="9">
        <v>60</v>
      </c>
      <c r="I13" s="2" t="s">
        <v>207</v>
      </c>
      <c r="J13" s="5">
        <v>4.331666666666667</v>
      </c>
    </row>
    <row r="14" spans="1:10">
      <c r="A14" s="2" t="s">
        <v>1514</v>
      </c>
      <c r="B14" s="9">
        <v>60</v>
      </c>
      <c r="I14" s="2" t="s">
        <v>845</v>
      </c>
      <c r="J14" s="5">
        <v>4.328333333333334</v>
      </c>
    </row>
    <row r="15" spans="1:10">
      <c r="A15" s="2" t="s">
        <v>845</v>
      </c>
      <c r="B15" s="9">
        <v>60</v>
      </c>
      <c r="I15" s="2" t="s">
        <v>409</v>
      </c>
      <c r="J15" s="5">
        <v>4.326666666666668</v>
      </c>
    </row>
    <row r="16" spans="1:10">
      <c r="A16" s="2" t="s">
        <v>1070</v>
      </c>
      <c r="B16" s="9">
        <v>60</v>
      </c>
      <c r="I16" s="2" t="s">
        <v>957</v>
      </c>
      <c r="J16" s="5">
        <v>4.3233333333333333</v>
      </c>
    </row>
    <row r="17" spans="1:10">
      <c r="A17" s="2" t="s">
        <v>1295</v>
      </c>
      <c r="B17" s="9">
        <v>60</v>
      </c>
      <c r="I17" s="2" t="s">
        <v>1181</v>
      </c>
      <c r="J17" s="5">
        <v>4.3050000000000015</v>
      </c>
    </row>
    <row r="18" spans="1:10">
      <c r="A18" s="2" t="s">
        <v>1400</v>
      </c>
      <c r="B18" s="9">
        <v>60</v>
      </c>
      <c r="I18" s="2" t="s">
        <v>525</v>
      </c>
      <c r="J18" s="5">
        <v>4.3050000000000006</v>
      </c>
    </row>
    <row r="19" spans="1:10">
      <c r="A19" s="2" t="s">
        <v>1698</v>
      </c>
      <c r="B19" s="9">
        <v>60</v>
      </c>
      <c r="I19" s="2" t="s">
        <v>127</v>
      </c>
      <c r="J19" s="5">
        <v>4.3033333333333355</v>
      </c>
    </row>
    <row r="20" spans="1:10">
      <c r="A20" s="2" t="s">
        <v>1888</v>
      </c>
      <c r="B20" s="9">
        <v>60</v>
      </c>
      <c r="I20" s="2" t="s">
        <v>1698</v>
      </c>
      <c r="J20" s="5">
        <v>4.3</v>
      </c>
    </row>
    <row r="21" spans="1:10">
      <c r="A21" s="2" t="s">
        <v>1970</v>
      </c>
      <c r="B21" s="9">
        <v>60</v>
      </c>
      <c r="I21" s="2" t="s">
        <v>7</v>
      </c>
      <c r="J21" s="5">
        <v>4.2933333333333339</v>
      </c>
    </row>
    <row r="22" spans="1:10">
      <c r="A22" s="2" t="s">
        <v>1181</v>
      </c>
      <c r="B22" s="9">
        <v>60</v>
      </c>
      <c r="I22" s="2" t="s">
        <v>1888</v>
      </c>
      <c r="J22" s="5">
        <v>4.2283333333333344</v>
      </c>
    </row>
    <row r="23" spans="1:10">
      <c r="A23" s="2" t="s">
        <v>322</v>
      </c>
      <c r="B23" s="9">
        <v>60</v>
      </c>
      <c r="I23" s="2" t="s">
        <v>1607</v>
      </c>
      <c r="J23" s="5">
        <v>4.1449999999999996</v>
      </c>
    </row>
    <row r="24" spans="1:10">
      <c r="A24" s="2" t="s">
        <v>2091</v>
      </c>
      <c r="B24" s="9">
        <v>1200</v>
      </c>
      <c r="I24" s="2" t="s">
        <v>2091</v>
      </c>
      <c r="J24" s="5">
        <v>4.3381666666666678</v>
      </c>
    </row>
    <row r="27" spans="1:10">
      <c r="A27" s="2" t="s">
        <v>2094</v>
      </c>
      <c r="I27" s="2" t="s">
        <v>2100</v>
      </c>
    </row>
    <row r="29" spans="1:10">
      <c r="A29" s="1" t="s">
        <v>2090</v>
      </c>
      <c r="B29" s="6" t="s">
        <v>2095</v>
      </c>
      <c r="I29" s="1" t="s">
        <v>2090</v>
      </c>
      <c r="J29" t="s">
        <v>2100</v>
      </c>
    </row>
    <row r="30" spans="1:10">
      <c r="A30" s="2" t="s">
        <v>1888</v>
      </c>
      <c r="B30" s="6">
        <v>1745521250</v>
      </c>
      <c r="I30" s="2" t="s">
        <v>2096</v>
      </c>
      <c r="J30" s="9">
        <v>118</v>
      </c>
    </row>
    <row r="31" spans="1:10">
      <c r="A31" s="2" t="s">
        <v>127</v>
      </c>
      <c r="B31" s="6">
        <v>1666333750</v>
      </c>
      <c r="I31" s="2" t="s">
        <v>2097</v>
      </c>
      <c r="J31" s="9">
        <v>677</v>
      </c>
    </row>
    <row r="32" spans="1:10">
      <c r="A32" s="2" t="s">
        <v>7</v>
      </c>
      <c r="B32" s="6">
        <v>1563250000</v>
      </c>
      <c r="I32" s="2" t="s">
        <v>2098</v>
      </c>
      <c r="J32" s="9">
        <v>405</v>
      </c>
    </row>
    <row r="33" spans="1:10">
      <c r="A33" s="2" t="s">
        <v>1698</v>
      </c>
      <c r="B33" s="6">
        <v>1344095000</v>
      </c>
      <c r="I33" s="2" t="s">
        <v>2091</v>
      </c>
      <c r="J33" s="9">
        <v>1200</v>
      </c>
    </row>
    <row r="34" spans="1:10">
      <c r="A34" s="2" t="s">
        <v>1607</v>
      </c>
      <c r="B34" s="6">
        <v>1083901250</v>
      </c>
    </row>
    <row r="35" spans="1:10">
      <c r="A35" s="2" t="s">
        <v>207</v>
      </c>
      <c r="B35" s="6">
        <v>994476250</v>
      </c>
    </row>
    <row r="36" spans="1:10">
      <c r="A36" s="2" t="s">
        <v>409</v>
      </c>
      <c r="B36" s="6">
        <v>968548750</v>
      </c>
    </row>
    <row r="37" spans="1:10">
      <c r="A37" s="2" t="s">
        <v>322</v>
      </c>
      <c r="B37" s="6">
        <v>859413750</v>
      </c>
    </row>
    <row r="38" spans="1:10">
      <c r="A38" s="2" t="s">
        <v>525</v>
      </c>
      <c r="B38" s="6">
        <v>776888750</v>
      </c>
    </row>
    <row r="39" spans="1:10">
      <c r="A39" s="2" t="s">
        <v>1181</v>
      </c>
      <c r="B39" s="6">
        <v>761547500</v>
      </c>
    </row>
    <row r="40" spans="1:10">
      <c r="A40" s="2" t="s">
        <v>730</v>
      </c>
      <c r="B40" s="6">
        <v>673027500</v>
      </c>
      <c r="I40" t="s">
        <v>2102</v>
      </c>
    </row>
    <row r="41" spans="1:10">
      <c r="A41" s="2" t="s">
        <v>957</v>
      </c>
      <c r="B41" s="6">
        <v>545926250</v>
      </c>
    </row>
    <row r="42" spans="1:10">
      <c r="A42" s="2" t="s">
        <v>1070</v>
      </c>
      <c r="B42" s="6">
        <v>522402500</v>
      </c>
      <c r="I42" s="1" t="s">
        <v>2090</v>
      </c>
      <c r="J42" t="s">
        <v>2101</v>
      </c>
    </row>
    <row r="43" spans="1:10">
      <c r="A43" s="2" t="s">
        <v>1791</v>
      </c>
      <c r="B43" s="6">
        <v>511295000</v>
      </c>
      <c r="I43" s="2" t="s">
        <v>90</v>
      </c>
      <c r="J43" s="9">
        <v>89824.900000000009</v>
      </c>
    </row>
    <row r="44" spans="1:10">
      <c r="A44" s="2" t="s">
        <v>1970</v>
      </c>
      <c r="B44" s="6">
        <v>450703750</v>
      </c>
      <c r="I44" s="2" t="s">
        <v>238</v>
      </c>
      <c r="J44" s="9">
        <v>324720.00000000006</v>
      </c>
    </row>
    <row r="45" spans="1:10">
      <c r="A45" s="2" t="s">
        <v>845</v>
      </c>
      <c r="B45" s="6">
        <v>386860000</v>
      </c>
      <c r="I45" s="2" t="s">
        <v>208</v>
      </c>
      <c r="J45" s="9">
        <v>138694.79999999999</v>
      </c>
    </row>
    <row r="46" spans="1:10">
      <c r="A46" s="2" t="s">
        <v>638</v>
      </c>
      <c r="B46" s="6">
        <v>383850000</v>
      </c>
      <c r="I46" s="2" t="s">
        <v>1676</v>
      </c>
      <c r="J46" s="9">
        <v>343262</v>
      </c>
    </row>
    <row r="47" spans="1:10">
      <c r="A47" s="2" t="s">
        <v>1514</v>
      </c>
      <c r="B47" s="6">
        <v>375917500</v>
      </c>
      <c r="I47" s="2" t="s">
        <v>10</v>
      </c>
      <c r="J47" s="9">
        <v>251764.80000000002</v>
      </c>
    </row>
    <row r="48" spans="1:10">
      <c r="A48" s="2" t="s">
        <v>1295</v>
      </c>
      <c r="B48" s="6">
        <v>312101250</v>
      </c>
      <c r="I48" s="2" t="s">
        <v>201</v>
      </c>
      <c r="J48" s="9">
        <v>107860.20000000001</v>
      </c>
    </row>
    <row r="49" spans="1:10">
      <c r="A49" s="2" t="s">
        <v>1400</v>
      </c>
      <c r="B49" s="6">
        <v>219107500</v>
      </c>
      <c r="I49" s="2" t="s">
        <v>582</v>
      </c>
      <c r="J49" s="9">
        <v>80942.400000000009</v>
      </c>
    </row>
    <row r="50" spans="1:10">
      <c r="A50" s="2" t="s">
        <v>2091</v>
      </c>
      <c r="B50" s="6">
        <v>16145167500</v>
      </c>
      <c r="I50" s="2" t="s">
        <v>1949</v>
      </c>
      <c r="J50" s="9">
        <v>142137.60000000001</v>
      </c>
    </row>
    <row r="51" spans="1:10">
      <c r="I51" s="2" t="s">
        <v>123</v>
      </c>
      <c r="J51" s="9">
        <v>246743.2</v>
      </c>
    </row>
    <row r="52" spans="1:10">
      <c r="I52" s="2" t="s">
        <v>48</v>
      </c>
      <c r="J52" s="9">
        <v>106389.89999999998</v>
      </c>
    </row>
    <row r="53" spans="1:10">
      <c r="I53" s="2" t="s">
        <v>2091</v>
      </c>
      <c r="J53" s="9">
        <v>1832339.7999999998</v>
      </c>
    </row>
    <row r="55" spans="1:10">
      <c r="A55" t="s">
        <v>2103</v>
      </c>
    </row>
    <row r="57" spans="1:10">
      <c r="A57" s="1" t="s">
        <v>2090</v>
      </c>
      <c r="B57" t="s">
        <v>2104</v>
      </c>
    </row>
    <row r="58" spans="1:10">
      <c r="A58" s="2" t="s">
        <v>525</v>
      </c>
      <c r="B58" s="5">
        <v>1320.5833333333333</v>
      </c>
    </row>
    <row r="59" spans="1:10">
      <c r="A59" s="2" t="s">
        <v>409</v>
      </c>
      <c r="B59" s="5">
        <v>1736.0166666666667</v>
      </c>
    </row>
    <row r="60" spans="1:10">
      <c r="A60" s="2" t="s">
        <v>730</v>
      </c>
      <c r="B60" s="5">
        <v>1169.5999999999999</v>
      </c>
    </row>
    <row r="61" spans="1:10">
      <c r="A61" s="2" t="s">
        <v>1791</v>
      </c>
      <c r="B61" s="5">
        <v>870.9</v>
      </c>
    </row>
    <row r="62" spans="1:10">
      <c r="A62" s="2" t="s">
        <v>127</v>
      </c>
      <c r="B62" s="5">
        <v>2927.4833333333331</v>
      </c>
    </row>
    <row r="63" spans="1:10">
      <c r="A63" s="2" t="s">
        <v>7</v>
      </c>
      <c r="B63" s="5">
        <v>2862.2333333333331</v>
      </c>
    </row>
    <row r="64" spans="1:10">
      <c r="A64" s="2" t="s">
        <v>207</v>
      </c>
      <c r="B64" s="5">
        <v>1739.8833333333334</v>
      </c>
    </row>
    <row r="65" spans="1:2">
      <c r="A65" s="2" t="s">
        <v>1607</v>
      </c>
      <c r="B65" s="5">
        <v>1903.9166666666667</v>
      </c>
    </row>
    <row r="66" spans="1:2">
      <c r="A66" s="2" t="s">
        <v>957</v>
      </c>
      <c r="B66" s="5">
        <v>992.2166666666667</v>
      </c>
    </row>
    <row r="67" spans="1:2">
      <c r="A67" s="2" t="s">
        <v>638</v>
      </c>
      <c r="B67" s="5">
        <v>689.86666666666667</v>
      </c>
    </row>
    <row r="68" spans="1:2">
      <c r="A68" s="2" t="s">
        <v>1514</v>
      </c>
      <c r="B68" s="5">
        <v>652.23333333333335</v>
      </c>
    </row>
    <row r="69" spans="1:2">
      <c r="A69" s="2" t="s">
        <v>845</v>
      </c>
      <c r="B69" s="5">
        <v>694.5</v>
      </c>
    </row>
    <row r="70" spans="1:2">
      <c r="A70" s="2" t="s">
        <v>1070</v>
      </c>
      <c r="B70" s="5">
        <v>932.9</v>
      </c>
    </row>
    <row r="71" spans="1:2">
      <c r="A71" s="2" t="s">
        <v>1295</v>
      </c>
      <c r="B71" s="5">
        <v>519.38333333333333</v>
      </c>
    </row>
    <row r="72" spans="1:2">
      <c r="A72" s="2" t="s">
        <v>1400</v>
      </c>
      <c r="B72" s="5">
        <v>388.2</v>
      </c>
    </row>
    <row r="73" spans="1:2">
      <c r="A73" s="2" t="s">
        <v>1698</v>
      </c>
      <c r="B73" s="5">
        <v>2295.8333333333335</v>
      </c>
    </row>
    <row r="74" spans="1:2">
      <c r="A74" s="2" t="s">
        <v>1888</v>
      </c>
      <c r="B74" s="5">
        <v>3038.8833333333332</v>
      </c>
    </row>
    <row r="75" spans="1:2">
      <c r="A75" s="2" t="s">
        <v>1970</v>
      </c>
      <c r="B75" s="5">
        <v>790.58333333333337</v>
      </c>
    </row>
    <row r="76" spans="1:2">
      <c r="A76" s="2" t="s">
        <v>1181</v>
      </c>
      <c r="B76" s="5">
        <v>1382</v>
      </c>
    </row>
    <row r="77" spans="1:2">
      <c r="A77" s="2" t="s">
        <v>322</v>
      </c>
      <c r="B77" s="5">
        <v>1501.5166666666667</v>
      </c>
    </row>
    <row r="78" spans="1:2">
      <c r="A78" s="2" t="s">
        <v>2091</v>
      </c>
      <c r="B78" s="5">
        <v>1420.4366666666667</v>
      </c>
    </row>
  </sheetData>
  <conditionalFormatting sqref="J3">
    <cfRule type="colorScale" priority="1">
      <colorScale>
        <cfvo type="min"/>
        <cfvo type="percentile" val="50"/>
        <cfvo type="max"/>
        <color rgb="FFF8696B"/>
        <color rgb="FFFFEB84"/>
        <color rgb="FF63BE7B"/>
      </colorScale>
    </cfRule>
  </conditionalFormatting>
  <conditionalFormatting pivot="1" sqref="J4:J24">
    <cfRule type="colorScale" priority="2">
      <colorScale>
        <cfvo type="min"/>
        <cfvo type="percentile" val="50"/>
        <cfvo type="max"/>
        <color rgb="FFF8696B"/>
        <color rgb="FFFFEB84"/>
        <color rgb="FF63BE7B"/>
      </colorScale>
    </cfRule>
  </conditionalFormatting>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3322D-1A57-4D1E-880A-63CB1BBF2F71}">
  <dimension ref="A1:AB85"/>
  <sheetViews>
    <sheetView zoomScale="46" zoomScaleNormal="66" workbookViewId="0">
      <selection activeCell="AI41" sqref="AI41"/>
    </sheetView>
  </sheetViews>
  <sheetFormatPr defaultRowHeight="14.4"/>
  <cols>
    <col min="3" max="3" width="8.88671875" customWidth="1"/>
    <col min="7" max="7" width="8.88671875" customWidth="1"/>
    <col min="24" max="24" width="8.5546875" customWidth="1"/>
    <col min="28" max="28" width="11" customWidth="1"/>
  </cols>
  <sheetData>
    <row r="1" spans="1:28" ht="14.4" customHeight="1">
      <c r="J1" s="61"/>
      <c r="K1" s="62"/>
      <c r="L1" s="62"/>
      <c r="M1" s="62"/>
      <c r="N1" s="62"/>
      <c r="O1" s="62"/>
      <c r="P1" s="62"/>
      <c r="Q1" s="62"/>
      <c r="R1" s="62"/>
      <c r="S1" s="62"/>
      <c r="T1" s="62"/>
      <c r="U1" s="62"/>
      <c r="V1" s="62"/>
      <c r="W1" s="62"/>
      <c r="X1" s="62"/>
      <c r="Y1" s="62"/>
      <c r="Z1" s="62"/>
      <c r="AA1" s="62"/>
      <c r="AB1" s="63"/>
    </row>
    <row r="2" spans="1:28" ht="14.4" customHeight="1">
      <c r="J2" s="40"/>
      <c r="K2" s="40"/>
      <c r="L2" s="41"/>
      <c r="M2" s="42" t="s">
        <v>2106</v>
      </c>
      <c r="N2" s="43"/>
      <c r="O2" s="43"/>
      <c r="P2" s="43"/>
      <c r="Q2" s="43"/>
      <c r="R2" s="43"/>
      <c r="S2" s="43"/>
      <c r="T2" s="43"/>
      <c r="U2" s="43"/>
      <c r="V2" s="43"/>
      <c r="W2" s="43"/>
      <c r="X2" s="43"/>
      <c r="Y2" s="44"/>
      <c r="Z2" s="41"/>
      <c r="AA2" s="45"/>
      <c r="AB2" s="45"/>
    </row>
    <row r="3" spans="1:28" ht="14.4" customHeight="1">
      <c r="J3" s="46"/>
      <c r="K3" s="46"/>
      <c r="L3" s="47"/>
      <c r="M3" s="48"/>
      <c r="N3" s="49"/>
      <c r="O3" s="49"/>
      <c r="P3" s="49"/>
      <c r="Q3" s="49"/>
      <c r="R3" s="49"/>
      <c r="S3" s="49"/>
      <c r="T3" s="49"/>
      <c r="U3" s="49"/>
      <c r="V3" s="49"/>
      <c r="W3" s="49"/>
      <c r="X3" s="49"/>
      <c r="Y3" s="50"/>
      <c r="Z3" s="47"/>
      <c r="AA3" s="51"/>
      <c r="AB3" s="51"/>
    </row>
    <row r="4" spans="1:28" ht="15" customHeight="1">
      <c r="J4" s="52"/>
      <c r="K4" s="53"/>
      <c r="L4" s="53"/>
      <c r="M4" s="53"/>
      <c r="N4" s="53"/>
      <c r="O4" s="53"/>
      <c r="P4" s="53"/>
      <c r="Q4" s="53"/>
      <c r="R4" s="53"/>
      <c r="S4" s="53"/>
      <c r="T4" s="53"/>
      <c r="U4" s="53"/>
      <c r="V4" s="53"/>
      <c r="W4" s="53"/>
      <c r="X4" s="53"/>
      <c r="Y4" s="53"/>
      <c r="Z4" s="53"/>
      <c r="AA4" s="53"/>
      <c r="AB4" s="54"/>
    </row>
    <row r="5" spans="1:28" ht="15" customHeight="1">
      <c r="J5" s="52"/>
      <c r="K5" s="53"/>
      <c r="L5" s="10">
        <f>COUNTA(CafeData[Name])</f>
        <v>1200</v>
      </c>
      <c r="M5" s="11"/>
      <c r="N5" s="12"/>
      <c r="O5" s="53"/>
      <c r="P5" s="10">
        <f>ROUND(AVERAGE(CafeData[Rating]),2)</f>
        <v>4.34</v>
      </c>
      <c r="Q5" s="11"/>
      <c r="R5" s="12"/>
      <c r="S5" s="53"/>
      <c r="T5" s="19">
        <f>SUM(CafeData[Total Ratings])</f>
        <v>1704524</v>
      </c>
      <c r="U5" s="20"/>
      <c r="V5" s="21"/>
      <c r="W5" s="53"/>
      <c r="X5" s="28">
        <f>SUM(CafeData[Estimated Revenue])</f>
        <v>16464877500</v>
      </c>
      <c r="Y5" s="29"/>
      <c r="Z5" s="30"/>
      <c r="AA5" s="53"/>
      <c r="AB5" s="54"/>
    </row>
    <row r="6" spans="1:28" ht="15" customHeight="1">
      <c r="J6" s="52"/>
      <c r="K6" s="53"/>
      <c r="L6" s="13"/>
      <c r="M6" s="14"/>
      <c r="N6" s="15"/>
      <c r="O6" s="53"/>
      <c r="P6" s="13"/>
      <c r="Q6" s="14"/>
      <c r="R6" s="15"/>
      <c r="S6" s="53"/>
      <c r="T6" s="22"/>
      <c r="U6" s="23"/>
      <c r="V6" s="24"/>
      <c r="W6" s="53"/>
      <c r="X6" s="31"/>
      <c r="Y6" s="32"/>
      <c r="Z6" s="33"/>
      <c r="AA6" s="53"/>
      <c r="AB6" s="54"/>
    </row>
    <row r="7" spans="1:28" ht="14.4" customHeight="1">
      <c r="J7" s="52"/>
      <c r="K7" s="53"/>
      <c r="L7" s="13"/>
      <c r="M7" s="14"/>
      <c r="N7" s="15"/>
      <c r="O7" s="53"/>
      <c r="P7" s="13"/>
      <c r="Q7" s="14"/>
      <c r="R7" s="15"/>
      <c r="S7" s="53"/>
      <c r="T7" s="22"/>
      <c r="U7" s="23"/>
      <c r="V7" s="24"/>
      <c r="W7" s="53"/>
      <c r="X7" s="31"/>
      <c r="Y7" s="32"/>
      <c r="Z7" s="33"/>
      <c r="AA7" s="53"/>
      <c r="AB7" s="54"/>
    </row>
    <row r="8" spans="1:28" ht="14.4" customHeight="1">
      <c r="J8" s="52"/>
      <c r="K8" s="53"/>
      <c r="L8" s="16"/>
      <c r="M8" s="17"/>
      <c r="N8" s="18"/>
      <c r="O8" s="53"/>
      <c r="P8" s="16"/>
      <c r="Q8" s="17"/>
      <c r="R8" s="18"/>
      <c r="S8" s="53"/>
      <c r="T8" s="25"/>
      <c r="U8" s="26"/>
      <c r="V8" s="27"/>
      <c r="W8" s="53"/>
      <c r="X8" s="34"/>
      <c r="Y8" s="35"/>
      <c r="Z8" s="36"/>
      <c r="AA8" s="53"/>
      <c r="AB8" s="54"/>
    </row>
    <row r="9" spans="1:28" ht="21">
      <c r="J9" s="52"/>
      <c r="K9" s="53"/>
      <c r="L9" s="37" t="s">
        <v>2087</v>
      </c>
      <c r="M9" s="38"/>
      <c r="N9" s="39"/>
      <c r="O9" s="53"/>
      <c r="P9" s="37" t="s">
        <v>2088</v>
      </c>
      <c r="Q9" s="38"/>
      <c r="R9" s="39"/>
      <c r="S9" s="53"/>
      <c r="T9" s="37" t="s">
        <v>2089</v>
      </c>
      <c r="U9" s="38"/>
      <c r="V9" s="39"/>
      <c r="W9" s="53"/>
      <c r="X9" s="37" t="s">
        <v>2085</v>
      </c>
      <c r="Y9" s="38"/>
      <c r="Z9" s="39"/>
      <c r="AA9" s="53"/>
      <c r="AB9" s="54"/>
    </row>
    <row r="10" spans="1:28" ht="15.6">
      <c r="A10" s="7"/>
      <c r="J10" s="55"/>
      <c r="K10" s="53"/>
      <c r="L10" s="53"/>
      <c r="M10" s="53"/>
      <c r="N10" s="53"/>
      <c r="O10" s="53"/>
      <c r="P10" s="53"/>
      <c r="Q10" s="53"/>
      <c r="R10" s="53"/>
      <c r="S10" s="53"/>
      <c r="T10" s="53"/>
      <c r="U10" s="53"/>
      <c r="V10" s="53"/>
      <c r="W10" s="53"/>
      <c r="X10" s="53"/>
      <c r="Y10" s="53"/>
      <c r="Z10" s="53"/>
      <c r="AA10" s="53"/>
      <c r="AB10" s="54"/>
    </row>
    <row r="11" spans="1:28">
      <c r="J11" s="52"/>
      <c r="K11" s="53"/>
      <c r="L11" s="53"/>
      <c r="M11" s="53"/>
      <c r="N11" s="53"/>
      <c r="O11" s="53"/>
      <c r="P11" s="53"/>
      <c r="Q11" s="53"/>
      <c r="R11" s="53"/>
      <c r="S11" s="53"/>
      <c r="T11" s="53"/>
      <c r="U11" s="53"/>
      <c r="V11" s="53"/>
      <c r="W11" s="53"/>
      <c r="X11" s="53"/>
      <c r="Y11" s="53"/>
      <c r="Z11" s="53"/>
      <c r="AA11" s="53"/>
      <c r="AB11" s="54"/>
    </row>
    <row r="12" spans="1:28">
      <c r="J12" s="52"/>
      <c r="K12" s="53"/>
      <c r="L12" s="53"/>
      <c r="M12" s="53"/>
      <c r="N12" s="53"/>
      <c r="O12" s="53"/>
      <c r="P12" s="53"/>
      <c r="Q12" s="53"/>
      <c r="R12" s="53"/>
      <c r="S12" s="53"/>
      <c r="T12" s="53"/>
      <c r="U12" s="53"/>
      <c r="V12" s="53"/>
      <c r="W12" s="53"/>
      <c r="X12" s="53"/>
      <c r="Y12" s="53"/>
      <c r="Z12" s="53"/>
      <c r="AA12" s="53"/>
      <c r="AB12" s="54"/>
    </row>
    <row r="13" spans="1:28">
      <c r="J13" s="52"/>
      <c r="K13" s="53"/>
      <c r="L13" s="53"/>
      <c r="M13" s="53"/>
      <c r="N13" s="53"/>
      <c r="O13" s="53"/>
      <c r="P13" s="53"/>
      <c r="Q13" s="53"/>
      <c r="R13" s="53"/>
      <c r="S13" s="53"/>
      <c r="T13" s="53"/>
      <c r="U13" s="53"/>
      <c r="V13" s="53"/>
      <c r="W13" s="53"/>
      <c r="X13" s="53"/>
      <c r="Y13" s="53"/>
      <c r="Z13" s="53"/>
      <c r="AA13" s="53"/>
      <c r="AB13" s="54"/>
    </row>
    <row r="14" spans="1:28">
      <c r="J14" s="52"/>
      <c r="K14" s="53"/>
      <c r="L14" s="53"/>
      <c r="M14" s="53"/>
      <c r="N14" s="53"/>
      <c r="O14" s="53"/>
      <c r="P14" s="53"/>
      <c r="Q14" s="53"/>
      <c r="R14" s="53"/>
      <c r="S14" s="53"/>
      <c r="T14" s="53"/>
      <c r="U14" s="53"/>
      <c r="V14" s="53"/>
      <c r="W14" s="53"/>
      <c r="X14" s="53"/>
      <c r="Y14" s="53"/>
      <c r="Z14" s="53"/>
      <c r="AA14" s="53"/>
      <c r="AB14" s="54"/>
    </row>
    <row r="15" spans="1:28">
      <c r="J15" s="52"/>
      <c r="K15" s="53"/>
      <c r="L15" s="53"/>
      <c r="M15" s="53"/>
      <c r="N15" s="53"/>
      <c r="O15" s="53"/>
      <c r="P15" s="53"/>
      <c r="Q15" s="53"/>
      <c r="R15" s="53"/>
      <c r="S15" s="53"/>
      <c r="T15" s="53"/>
      <c r="U15" s="53"/>
      <c r="V15" s="53"/>
      <c r="W15" s="53"/>
      <c r="X15" s="53"/>
      <c r="Y15" s="53"/>
      <c r="Z15" s="53"/>
      <c r="AA15" s="53"/>
      <c r="AB15" s="54"/>
    </row>
    <row r="16" spans="1:28">
      <c r="J16" s="52"/>
      <c r="K16" s="53"/>
      <c r="L16" s="53"/>
      <c r="M16" s="53"/>
      <c r="N16" s="53"/>
      <c r="O16" s="53"/>
      <c r="P16" s="53"/>
      <c r="Q16" s="53"/>
      <c r="R16" s="53"/>
      <c r="S16" s="53"/>
      <c r="T16" s="53"/>
      <c r="U16" s="53"/>
      <c r="V16" s="53"/>
      <c r="W16" s="53"/>
      <c r="X16" s="53"/>
      <c r="Y16" s="53"/>
      <c r="Z16" s="53"/>
      <c r="AA16" s="53"/>
      <c r="AB16" s="54"/>
    </row>
    <row r="17" spans="1:28">
      <c r="J17" s="52"/>
      <c r="K17" s="53"/>
      <c r="L17" s="53"/>
      <c r="M17" s="53"/>
      <c r="N17" s="53"/>
      <c r="O17" s="53"/>
      <c r="P17" s="53"/>
      <c r="Q17" s="53"/>
      <c r="R17" s="53"/>
      <c r="S17" s="53"/>
      <c r="T17" s="53"/>
      <c r="U17" s="53"/>
      <c r="V17" s="53"/>
      <c r="W17" s="53"/>
      <c r="X17" s="53"/>
      <c r="Y17" s="53"/>
      <c r="Z17" s="53"/>
      <c r="AA17" s="53"/>
      <c r="AB17" s="54"/>
    </row>
    <row r="18" spans="1:28">
      <c r="J18" s="52"/>
      <c r="K18" s="53"/>
      <c r="L18" s="53"/>
      <c r="M18" s="53"/>
      <c r="N18" s="53"/>
      <c r="O18" s="53"/>
      <c r="P18" s="53"/>
      <c r="Q18" s="53"/>
      <c r="R18" s="53"/>
      <c r="S18" s="53"/>
      <c r="T18" s="53"/>
      <c r="U18" s="53"/>
      <c r="V18" s="53"/>
      <c r="W18" s="53"/>
      <c r="X18" s="53"/>
      <c r="Y18" s="53"/>
      <c r="Z18" s="53"/>
      <c r="AA18" s="53"/>
      <c r="AB18" s="54"/>
    </row>
    <row r="19" spans="1:28">
      <c r="J19" s="52"/>
      <c r="K19" s="53"/>
      <c r="L19" s="53"/>
      <c r="M19" s="53"/>
      <c r="N19" s="53"/>
      <c r="O19" s="53"/>
      <c r="P19" s="53"/>
      <c r="Q19" s="53"/>
      <c r="R19" s="53"/>
      <c r="S19" s="53"/>
      <c r="T19" s="53"/>
      <c r="U19" s="53"/>
      <c r="V19" s="53"/>
      <c r="W19" s="53"/>
      <c r="X19" s="53"/>
      <c r="Y19" s="53"/>
      <c r="Z19" s="53"/>
      <c r="AA19" s="53"/>
      <c r="AB19" s="54"/>
    </row>
    <row r="20" spans="1:28">
      <c r="J20" s="52"/>
      <c r="K20" s="53"/>
      <c r="L20" s="53"/>
      <c r="M20" s="53"/>
      <c r="N20" s="53"/>
      <c r="O20" s="53"/>
      <c r="P20" s="53"/>
      <c r="Q20" s="53"/>
      <c r="R20" s="53"/>
      <c r="S20" s="53"/>
      <c r="T20" s="53"/>
      <c r="U20" s="53"/>
      <c r="V20" s="53"/>
      <c r="W20" s="53"/>
      <c r="X20" s="53"/>
      <c r="Y20" s="53"/>
      <c r="Z20" s="53"/>
      <c r="AA20" s="53"/>
      <c r="AB20" s="54"/>
    </row>
    <row r="21" spans="1:28">
      <c r="J21" s="52"/>
      <c r="K21" s="53"/>
      <c r="L21" s="53"/>
      <c r="M21" s="53"/>
      <c r="N21" s="53"/>
      <c r="O21" s="53"/>
      <c r="P21" s="53"/>
      <c r="Q21" s="53"/>
      <c r="R21" s="53"/>
      <c r="S21" s="53"/>
      <c r="T21" s="53"/>
      <c r="U21" s="53"/>
      <c r="V21" s="53"/>
      <c r="W21" s="53"/>
      <c r="X21" s="53"/>
      <c r="Y21" s="53"/>
      <c r="Z21" s="53"/>
      <c r="AA21" s="53"/>
      <c r="AB21" s="54"/>
    </row>
    <row r="22" spans="1:28">
      <c r="J22" s="52"/>
      <c r="K22" s="53"/>
      <c r="L22" s="53"/>
      <c r="M22" s="53"/>
      <c r="N22" s="53"/>
      <c r="O22" s="53"/>
      <c r="P22" s="53"/>
      <c r="Q22" s="53"/>
      <c r="R22" s="53"/>
      <c r="S22" s="53"/>
      <c r="T22" s="53"/>
      <c r="U22" s="53"/>
      <c r="V22" s="53"/>
      <c r="W22" s="53"/>
      <c r="X22" s="53"/>
      <c r="Y22" s="53"/>
      <c r="Z22" s="53"/>
      <c r="AA22" s="53"/>
      <c r="AB22" s="54"/>
    </row>
    <row r="23" spans="1:28">
      <c r="J23" s="52"/>
      <c r="K23" s="53"/>
      <c r="L23" s="53"/>
      <c r="M23" s="53"/>
      <c r="N23" s="53"/>
      <c r="O23" s="53"/>
      <c r="P23" s="53"/>
      <c r="Q23" s="53"/>
      <c r="R23" s="53"/>
      <c r="S23" s="53"/>
      <c r="T23" s="53"/>
      <c r="U23" s="53"/>
      <c r="V23" s="53"/>
      <c r="W23" s="53"/>
      <c r="X23" s="53"/>
      <c r="Y23" s="53"/>
      <c r="Z23" s="53"/>
      <c r="AA23" s="53"/>
      <c r="AB23" s="54"/>
    </row>
    <row r="24" spans="1:28">
      <c r="J24" s="52"/>
      <c r="K24" s="53"/>
      <c r="L24" s="53"/>
      <c r="M24" s="53"/>
      <c r="N24" s="53"/>
      <c r="O24" s="53"/>
      <c r="P24" s="53"/>
      <c r="Q24" s="53"/>
      <c r="R24" s="53"/>
      <c r="S24" s="53"/>
      <c r="T24" s="53"/>
      <c r="U24" s="53"/>
      <c r="V24" s="53"/>
      <c r="W24" s="53"/>
      <c r="X24" s="53"/>
      <c r="Y24" s="53"/>
      <c r="Z24" s="53"/>
      <c r="AA24" s="53"/>
      <c r="AB24" s="54"/>
    </row>
    <row r="25" spans="1:28">
      <c r="J25" s="52"/>
      <c r="K25" s="53"/>
      <c r="L25" s="53"/>
      <c r="M25" s="53"/>
      <c r="N25" s="53"/>
      <c r="O25" s="53"/>
      <c r="P25" s="53"/>
      <c r="Q25" s="53"/>
      <c r="R25" s="53"/>
      <c r="S25" s="53"/>
      <c r="T25" s="53"/>
      <c r="U25" s="53"/>
      <c r="V25" s="53"/>
      <c r="W25" s="53"/>
      <c r="X25" s="53"/>
      <c r="Y25" s="53"/>
      <c r="Z25" s="53"/>
      <c r="AA25" s="53"/>
      <c r="AB25" s="54"/>
    </row>
    <row r="26" spans="1:28">
      <c r="J26" s="52"/>
      <c r="K26" s="53"/>
      <c r="L26" s="53"/>
      <c r="M26" s="53"/>
      <c r="N26" s="53"/>
      <c r="O26" s="53"/>
      <c r="P26" s="53"/>
      <c r="Q26" s="53"/>
      <c r="R26" s="53"/>
      <c r="S26" s="53"/>
      <c r="T26" s="53"/>
      <c r="U26" s="53"/>
      <c r="V26" s="53"/>
      <c r="W26" s="53"/>
      <c r="X26" s="53"/>
      <c r="Y26" s="53"/>
      <c r="Z26" s="53"/>
      <c r="AA26" s="53"/>
      <c r="AB26" s="54"/>
    </row>
    <row r="27" spans="1:28">
      <c r="J27" s="52"/>
      <c r="K27" s="53"/>
      <c r="L27" s="53"/>
      <c r="M27" s="53"/>
      <c r="N27" s="53"/>
      <c r="O27" s="53"/>
      <c r="P27" s="53"/>
      <c r="Q27" s="53"/>
      <c r="R27" s="53"/>
      <c r="S27" s="53"/>
      <c r="T27" s="53"/>
      <c r="U27" s="53"/>
      <c r="V27" s="53"/>
      <c r="W27" s="53"/>
      <c r="X27" s="53"/>
      <c r="Y27" s="53"/>
      <c r="Z27" s="53"/>
      <c r="AA27" s="53"/>
      <c r="AB27" s="54"/>
    </row>
    <row r="28" spans="1:28">
      <c r="J28" s="52"/>
      <c r="K28" s="53"/>
      <c r="L28" s="53"/>
      <c r="M28" s="53"/>
      <c r="N28" s="53"/>
      <c r="O28" s="53"/>
      <c r="P28" s="53"/>
      <c r="Q28" s="53"/>
      <c r="R28" s="53"/>
      <c r="S28" s="53"/>
      <c r="T28" s="53"/>
      <c r="U28" s="53"/>
      <c r="V28" s="53"/>
      <c r="W28" s="53"/>
      <c r="X28" s="53"/>
      <c r="Y28" s="53"/>
      <c r="Z28" s="53"/>
      <c r="AA28" s="53"/>
      <c r="AB28" s="54"/>
    </row>
    <row r="29" spans="1:28">
      <c r="J29" s="52"/>
      <c r="K29" s="53"/>
      <c r="L29" s="53"/>
      <c r="M29" s="53"/>
      <c r="N29" s="53"/>
      <c r="O29" s="53"/>
      <c r="P29" s="53"/>
      <c r="Q29" s="53"/>
      <c r="R29" s="53"/>
      <c r="S29" s="53"/>
      <c r="T29" s="53"/>
      <c r="U29" s="53"/>
      <c r="V29" s="53"/>
      <c r="W29" s="53"/>
      <c r="X29" s="53"/>
      <c r="Y29" s="53"/>
      <c r="Z29" s="53"/>
      <c r="AA29" s="53"/>
      <c r="AB29" s="54"/>
    </row>
    <row r="30" spans="1:28" ht="15.6">
      <c r="A30" s="8"/>
      <c r="J30" s="55"/>
      <c r="K30" s="53"/>
      <c r="L30" s="53"/>
      <c r="M30" s="53"/>
      <c r="N30" s="53"/>
      <c r="O30" s="53"/>
      <c r="P30" s="53"/>
      <c r="Q30" s="53"/>
      <c r="R30" s="53"/>
      <c r="S30" s="53"/>
      <c r="T30" s="53"/>
      <c r="U30" s="53"/>
      <c r="V30" s="53"/>
      <c r="W30" s="53"/>
      <c r="X30" s="53"/>
      <c r="Y30" s="53"/>
      <c r="Z30" s="53"/>
      <c r="AA30" s="53"/>
      <c r="AB30" s="54"/>
    </row>
    <row r="31" spans="1:28">
      <c r="J31" s="52"/>
      <c r="K31" s="53"/>
      <c r="L31" s="53"/>
      <c r="M31" s="53"/>
      <c r="N31" s="53"/>
      <c r="O31" s="53"/>
      <c r="P31" s="53"/>
      <c r="Q31" s="53"/>
      <c r="R31" s="53"/>
      <c r="S31" s="53"/>
      <c r="T31" s="53"/>
      <c r="U31" s="53"/>
      <c r="V31" s="53"/>
      <c r="W31" s="53"/>
      <c r="X31" s="53"/>
      <c r="Y31" s="53"/>
      <c r="Z31" s="53"/>
      <c r="AA31" s="53"/>
      <c r="AB31" s="54"/>
    </row>
    <row r="32" spans="1:28">
      <c r="J32" s="52"/>
      <c r="K32" s="53"/>
      <c r="L32" s="53"/>
      <c r="M32" s="53"/>
      <c r="N32" s="53"/>
      <c r="O32" s="53"/>
      <c r="P32" s="53"/>
      <c r="Q32" s="53"/>
      <c r="R32" s="53"/>
      <c r="S32" s="53"/>
      <c r="T32" s="53"/>
      <c r="U32" s="53"/>
      <c r="V32" s="53"/>
      <c r="W32" s="53"/>
      <c r="X32" s="53"/>
      <c r="Y32" s="53"/>
      <c r="Z32" s="53"/>
      <c r="AA32" s="53"/>
      <c r="AB32" s="54"/>
    </row>
    <row r="33" spans="10:28">
      <c r="J33" s="52"/>
      <c r="K33" s="53"/>
      <c r="L33" s="53"/>
      <c r="M33" s="53"/>
      <c r="N33" s="53"/>
      <c r="O33" s="53"/>
      <c r="P33" s="53"/>
      <c r="Q33" s="53"/>
      <c r="R33" s="53"/>
      <c r="S33" s="53"/>
      <c r="T33" s="53"/>
      <c r="U33" s="53"/>
      <c r="V33" s="53"/>
      <c r="W33" s="53"/>
      <c r="X33" s="53"/>
      <c r="Y33" s="53"/>
      <c r="Z33" s="53"/>
      <c r="AA33" s="53"/>
      <c r="AB33" s="54"/>
    </row>
    <row r="34" spans="10:28">
      <c r="J34" s="52"/>
      <c r="K34" s="53"/>
      <c r="L34" s="53"/>
      <c r="M34" s="53"/>
      <c r="N34" s="53"/>
      <c r="O34" s="53"/>
      <c r="P34" s="53"/>
      <c r="Q34" s="53"/>
      <c r="R34" s="53"/>
      <c r="S34" s="53"/>
      <c r="T34" s="53"/>
      <c r="U34" s="53"/>
      <c r="V34" s="53"/>
      <c r="W34" s="53"/>
      <c r="X34" s="53"/>
      <c r="Y34" s="53"/>
      <c r="Z34" s="53"/>
      <c r="AA34" s="53"/>
      <c r="AB34" s="54"/>
    </row>
    <row r="35" spans="10:28">
      <c r="J35" s="52"/>
      <c r="K35" s="53"/>
      <c r="L35" s="53"/>
      <c r="M35" s="53"/>
      <c r="N35" s="53"/>
      <c r="O35" s="53"/>
      <c r="P35" s="53"/>
      <c r="Q35" s="53"/>
      <c r="R35" s="53"/>
      <c r="S35" s="53"/>
      <c r="T35" s="53"/>
      <c r="U35" s="53"/>
      <c r="V35" s="53"/>
      <c r="W35" s="53"/>
      <c r="X35" s="53"/>
      <c r="Y35" s="53"/>
      <c r="Z35" s="53"/>
      <c r="AA35" s="53"/>
      <c r="AB35" s="54"/>
    </row>
    <row r="36" spans="10:28">
      <c r="J36" s="52"/>
      <c r="K36" s="53"/>
      <c r="L36" s="53"/>
      <c r="M36" s="53"/>
      <c r="N36" s="53"/>
      <c r="O36" s="53"/>
      <c r="P36" s="53"/>
      <c r="Q36" s="53"/>
      <c r="R36" s="53"/>
      <c r="S36" s="53"/>
      <c r="T36" s="53"/>
      <c r="U36" s="53"/>
      <c r="V36" s="53"/>
      <c r="W36" s="53"/>
      <c r="X36" s="53"/>
      <c r="Y36" s="53"/>
      <c r="Z36" s="53"/>
      <c r="AA36" s="53"/>
      <c r="AB36" s="54"/>
    </row>
    <row r="37" spans="10:28">
      <c r="J37" s="52"/>
      <c r="K37" s="53"/>
      <c r="L37" s="53"/>
      <c r="M37" s="53"/>
      <c r="N37" s="53"/>
      <c r="O37" s="53"/>
      <c r="P37" s="53"/>
      <c r="Q37" s="53"/>
      <c r="R37" s="53"/>
      <c r="S37" s="53"/>
      <c r="T37" s="53"/>
      <c r="U37" s="53"/>
      <c r="V37" s="53"/>
      <c r="W37" s="53"/>
      <c r="X37" s="53"/>
      <c r="Y37" s="53"/>
      <c r="Z37" s="53"/>
      <c r="AA37" s="53"/>
      <c r="AB37" s="54"/>
    </row>
    <row r="38" spans="10:28">
      <c r="J38" s="52"/>
      <c r="K38" s="53"/>
      <c r="L38" s="53"/>
      <c r="M38" s="53"/>
      <c r="N38" s="53"/>
      <c r="O38" s="53"/>
      <c r="P38" s="53"/>
      <c r="Q38" s="53"/>
      <c r="R38" s="53"/>
      <c r="S38" s="53"/>
      <c r="T38" s="53"/>
      <c r="U38" s="53"/>
      <c r="V38" s="53"/>
      <c r="W38" s="53"/>
      <c r="X38" s="53"/>
      <c r="Y38" s="53"/>
      <c r="Z38" s="53"/>
      <c r="AA38" s="53"/>
      <c r="AB38" s="54"/>
    </row>
    <row r="39" spans="10:28">
      <c r="J39" s="52"/>
      <c r="K39" s="53"/>
      <c r="L39" s="53"/>
      <c r="M39" s="53"/>
      <c r="N39" s="53"/>
      <c r="O39" s="53"/>
      <c r="P39" s="53"/>
      <c r="Q39" s="53"/>
      <c r="R39" s="53"/>
      <c r="S39" s="53"/>
      <c r="T39" s="53"/>
      <c r="U39" s="53"/>
      <c r="V39" s="53"/>
      <c r="W39" s="53"/>
      <c r="X39" s="53"/>
      <c r="Y39" s="53"/>
      <c r="Z39" s="53"/>
      <c r="AA39" s="53"/>
      <c r="AB39" s="54"/>
    </row>
    <row r="40" spans="10:28">
      <c r="J40" s="52"/>
      <c r="K40" s="53"/>
      <c r="L40" s="53"/>
      <c r="M40" s="53"/>
      <c r="N40" s="53"/>
      <c r="O40" s="53"/>
      <c r="P40" s="53"/>
      <c r="Q40" s="53"/>
      <c r="R40" s="53"/>
      <c r="S40" s="53"/>
      <c r="T40" s="53"/>
      <c r="U40" s="53"/>
      <c r="V40" s="53"/>
      <c r="W40" s="53"/>
      <c r="X40" s="53"/>
      <c r="Y40" s="53"/>
      <c r="Z40" s="53"/>
      <c r="AA40" s="53"/>
      <c r="AB40" s="54"/>
    </row>
    <row r="41" spans="10:28">
      <c r="J41" s="52"/>
      <c r="K41" s="53"/>
      <c r="L41" s="53"/>
      <c r="M41" s="53"/>
      <c r="N41" s="53"/>
      <c r="O41" s="53"/>
      <c r="P41" s="53"/>
      <c r="Q41" s="53"/>
      <c r="R41" s="53"/>
      <c r="S41" s="53"/>
      <c r="T41" s="53"/>
      <c r="U41" s="53"/>
      <c r="V41" s="53"/>
      <c r="W41" s="53"/>
      <c r="X41" s="53"/>
      <c r="Y41" s="53"/>
      <c r="Z41" s="53"/>
      <c r="AA41" s="53"/>
      <c r="AB41" s="54"/>
    </row>
    <row r="42" spans="10:28">
      <c r="J42" s="52"/>
      <c r="K42" s="53"/>
      <c r="L42" s="53"/>
      <c r="M42" s="53"/>
      <c r="N42" s="53"/>
      <c r="O42" s="53"/>
      <c r="P42" s="53"/>
      <c r="Q42" s="53"/>
      <c r="R42" s="53"/>
      <c r="S42" s="53"/>
      <c r="T42" s="53"/>
      <c r="U42" s="53"/>
      <c r="V42" s="53"/>
      <c r="W42" s="53"/>
      <c r="X42" s="53"/>
      <c r="Y42" s="53"/>
      <c r="Z42" s="53"/>
      <c r="AA42" s="53"/>
      <c r="AB42" s="54"/>
    </row>
    <row r="43" spans="10:28">
      <c r="J43" s="52"/>
      <c r="K43" s="53"/>
      <c r="L43" s="53"/>
      <c r="M43" s="53"/>
      <c r="N43" s="53"/>
      <c r="O43" s="53"/>
      <c r="P43" s="53"/>
      <c r="Q43" s="53"/>
      <c r="R43" s="53"/>
      <c r="S43" s="53"/>
      <c r="T43" s="53"/>
      <c r="U43" s="53"/>
      <c r="V43" s="53"/>
      <c r="W43" s="53"/>
      <c r="X43" s="53"/>
      <c r="Y43" s="53"/>
      <c r="Z43" s="53"/>
      <c r="AA43" s="53"/>
      <c r="AB43" s="54"/>
    </row>
    <row r="44" spans="10:28">
      <c r="J44" s="52"/>
      <c r="K44" s="53"/>
      <c r="L44" s="53"/>
      <c r="M44" s="53"/>
      <c r="N44" s="53"/>
      <c r="O44" s="53"/>
      <c r="P44" s="53"/>
      <c r="Q44" s="53"/>
      <c r="R44" s="53"/>
      <c r="S44" s="53"/>
      <c r="T44" s="53"/>
      <c r="U44" s="53"/>
      <c r="V44" s="53"/>
      <c r="W44" s="53"/>
      <c r="X44" s="53"/>
      <c r="Y44" s="53"/>
      <c r="Z44" s="53"/>
      <c r="AA44" s="53"/>
      <c r="AB44" s="54"/>
    </row>
    <row r="45" spans="10:28">
      <c r="J45" s="52"/>
      <c r="K45" s="53"/>
      <c r="L45" s="53"/>
      <c r="M45" s="53"/>
      <c r="N45" s="53"/>
      <c r="O45" s="53"/>
      <c r="P45" s="53"/>
      <c r="Q45" s="53"/>
      <c r="R45" s="53"/>
      <c r="S45" s="53"/>
      <c r="T45" s="53"/>
      <c r="U45" s="53"/>
      <c r="V45" s="53"/>
      <c r="W45" s="53"/>
      <c r="X45" s="53"/>
      <c r="Y45" s="53"/>
      <c r="Z45" s="53"/>
      <c r="AA45" s="53"/>
      <c r="AB45" s="54"/>
    </row>
    <row r="46" spans="10:28">
      <c r="J46" s="52"/>
      <c r="K46" s="53"/>
      <c r="L46" s="53"/>
      <c r="M46" s="53"/>
      <c r="N46" s="53"/>
      <c r="O46" s="53"/>
      <c r="P46" s="53"/>
      <c r="Q46" s="53"/>
      <c r="R46" s="53"/>
      <c r="S46" s="53"/>
      <c r="T46" s="53"/>
      <c r="U46" s="53"/>
      <c r="V46" s="53"/>
      <c r="W46" s="53"/>
      <c r="X46" s="53"/>
      <c r="Y46" s="53"/>
      <c r="Z46" s="53"/>
      <c r="AA46" s="53"/>
      <c r="AB46" s="54"/>
    </row>
    <row r="47" spans="10:28">
      <c r="J47" s="52"/>
      <c r="K47" s="53"/>
      <c r="L47" s="53"/>
      <c r="M47" s="53"/>
      <c r="N47" s="53"/>
      <c r="O47" s="53"/>
      <c r="P47" s="53"/>
      <c r="Q47" s="53"/>
      <c r="R47" s="53"/>
      <c r="S47" s="53"/>
      <c r="T47" s="53"/>
      <c r="U47" s="53"/>
      <c r="V47" s="53"/>
      <c r="W47" s="53"/>
      <c r="X47" s="53"/>
      <c r="Y47" s="53"/>
      <c r="Z47" s="53"/>
      <c r="AA47" s="53"/>
      <c r="AB47" s="54"/>
    </row>
    <row r="48" spans="10:28">
      <c r="J48" s="52"/>
      <c r="K48" s="53"/>
      <c r="L48" s="53"/>
      <c r="M48" s="53"/>
      <c r="N48" s="53"/>
      <c r="O48" s="53"/>
      <c r="P48" s="53"/>
      <c r="Q48" s="53"/>
      <c r="R48" s="53"/>
      <c r="S48" s="53"/>
      <c r="T48" s="53"/>
      <c r="U48" s="53"/>
      <c r="V48" s="53"/>
      <c r="W48" s="53"/>
      <c r="X48" s="53"/>
      <c r="Y48" s="53"/>
      <c r="Z48" s="53"/>
      <c r="AA48" s="53"/>
      <c r="AB48" s="54"/>
    </row>
    <row r="49" spans="10:28">
      <c r="J49" s="52"/>
      <c r="K49" s="53"/>
      <c r="L49" s="53"/>
      <c r="M49" s="53"/>
      <c r="N49" s="53"/>
      <c r="O49" s="53"/>
      <c r="P49" s="53"/>
      <c r="Q49" s="53"/>
      <c r="R49" s="53"/>
      <c r="S49" s="53"/>
      <c r="T49" s="53"/>
      <c r="U49" s="53"/>
      <c r="V49" s="53"/>
      <c r="W49" s="53"/>
      <c r="X49" s="53"/>
      <c r="Y49" s="53"/>
      <c r="Z49" s="53"/>
      <c r="AA49" s="53"/>
      <c r="AB49" s="54"/>
    </row>
    <row r="50" spans="10:28">
      <c r="J50" s="52"/>
      <c r="K50" s="53"/>
      <c r="L50" s="53"/>
      <c r="M50" s="53"/>
      <c r="N50" s="53"/>
      <c r="O50" s="53"/>
      <c r="P50" s="53"/>
      <c r="Q50" s="53"/>
      <c r="R50" s="53"/>
      <c r="S50" s="53"/>
      <c r="T50" s="53"/>
      <c r="U50" s="53"/>
      <c r="V50" s="53"/>
      <c r="W50" s="53"/>
      <c r="X50" s="53"/>
      <c r="Y50" s="53"/>
      <c r="Z50" s="53"/>
      <c r="AA50" s="53"/>
      <c r="AB50" s="54"/>
    </row>
    <row r="51" spans="10:28">
      <c r="J51" s="52"/>
      <c r="K51" s="53"/>
      <c r="L51" s="53"/>
      <c r="M51" s="53"/>
      <c r="N51" s="53"/>
      <c r="O51" s="53"/>
      <c r="P51" s="53"/>
      <c r="Q51" s="53"/>
      <c r="R51" s="53"/>
      <c r="S51" s="53"/>
      <c r="T51" s="53"/>
      <c r="U51" s="53"/>
      <c r="V51" s="53"/>
      <c r="W51" s="53"/>
      <c r="X51" s="53"/>
      <c r="Y51" s="53"/>
      <c r="Z51" s="53"/>
      <c r="AA51" s="53"/>
      <c r="AB51" s="54"/>
    </row>
    <row r="52" spans="10:28">
      <c r="J52" s="52"/>
      <c r="K52" s="53"/>
      <c r="L52" s="53"/>
      <c r="M52" s="53"/>
      <c r="N52" s="53"/>
      <c r="O52" s="53"/>
      <c r="P52" s="53"/>
      <c r="Q52" s="53"/>
      <c r="R52" s="53"/>
      <c r="S52" s="53"/>
      <c r="T52" s="53"/>
      <c r="U52" s="53"/>
      <c r="V52" s="53"/>
      <c r="W52" s="53"/>
      <c r="X52" s="53"/>
      <c r="Y52" s="53"/>
      <c r="Z52" s="53"/>
      <c r="AA52" s="53"/>
      <c r="AB52" s="54"/>
    </row>
    <row r="53" spans="10:28">
      <c r="J53" s="52"/>
      <c r="K53" s="53"/>
      <c r="L53" s="53"/>
      <c r="M53" s="53"/>
      <c r="N53" s="53"/>
      <c r="O53" s="53"/>
      <c r="P53" s="53"/>
      <c r="Q53" s="53"/>
      <c r="R53" s="53"/>
      <c r="S53" s="53"/>
      <c r="T53" s="53"/>
      <c r="U53" s="53"/>
      <c r="V53" s="53"/>
      <c r="W53" s="53"/>
      <c r="X53" s="53"/>
      <c r="Y53" s="53"/>
      <c r="Z53" s="53"/>
      <c r="AA53" s="53"/>
      <c r="AB53" s="54"/>
    </row>
    <row r="54" spans="10:28">
      <c r="J54" s="52"/>
      <c r="K54" s="53"/>
      <c r="L54" s="53"/>
      <c r="M54" s="53"/>
      <c r="N54" s="53"/>
      <c r="O54" s="53"/>
      <c r="P54" s="53"/>
      <c r="Q54" s="53"/>
      <c r="R54" s="53"/>
      <c r="S54" s="53"/>
      <c r="T54" s="53"/>
      <c r="U54" s="53"/>
      <c r="V54" s="53"/>
      <c r="W54" s="53"/>
      <c r="X54" s="53"/>
      <c r="Y54" s="53"/>
      <c r="Z54" s="53"/>
      <c r="AA54" s="53"/>
      <c r="AB54" s="54"/>
    </row>
    <row r="55" spans="10:28">
      <c r="J55" s="52"/>
      <c r="K55" s="53"/>
      <c r="L55" s="53"/>
      <c r="M55" s="53"/>
      <c r="N55" s="53"/>
      <c r="O55" s="53"/>
      <c r="P55" s="53"/>
      <c r="Q55" s="53"/>
      <c r="R55" s="53"/>
      <c r="S55" s="53"/>
      <c r="T55" s="53"/>
      <c r="U55" s="53"/>
      <c r="V55" s="53"/>
      <c r="W55" s="53"/>
      <c r="X55" s="53"/>
      <c r="Y55" s="53"/>
      <c r="Z55" s="53"/>
      <c r="AA55" s="53"/>
      <c r="AB55" s="54"/>
    </row>
    <row r="56" spans="10:28">
      <c r="J56" s="52"/>
      <c r="K56" s="53"/>
      <c r="L56" s="53"/>
      <c r="M56" s="53"/>
      <c r="N56" s="53"/>
      <c r="O56" s="53"/>
      <c r="P56" s="53"/>
      <c r="Q56" s="53"/>
      <c r="R56" s="53"/>
      <c r="S56" s="53"/>
      <c r="T56" s="53"/>
      <c r="U56" s="53"/>
      <c r="V56" s="53"/>
      <c r="W56" s="53"/>
      <c r="X56" s="53"/>
      <c r="Y56" s="53"/>
      <c r="Z56" s="53"/>
      <c r="AA56" s="53"/>
      <c r="AB56" s="54"/>
    </row>
    <row r="57" spans="10:28">
      <c r="J57" s="52"/>
      <c r="K57" s="53"/>
      <c r="L57" s="53"/>
      <c r="M57" s="53"/>
      <c r="N57" s="53"/>
      <c r="O57" s="53"/>
      <c r="P57" s="53"/>
      <c r="Q57" s="53"/>
      <c r="R57" s="53"/>
      <c r="S57" s="53"/>
      <c r="T57" s="53"/>
      <c r="U57" s="53"/>
      <c r="V57" s="53"/>
      <c r="W57" s="53"/>
      <c r="X57" s="53"/>
      <c r="Y57" s="53"/>
      <c r="Z57" s="53"/>
      <c r="AA57" s="53"/>
      <c r="AB57" s="54"/>
    </row>
    <row r="58" spans="10:28">
      <c r="J58" s="52"/>
      <c r="K58" s="53"/>
      <c r="L58" s="53"/>
      <c r="M58" s="53"/>
      <c r="N58" s="53"/>
      <c r="O58" s="53"/>
      <c r="P58" s="53"/>
      <c r="Q58" s="53"/>
      <c r="R58" s="53"/>
      <c r="S58" s="53"/>
      <c r="T58" s="53"/>
      <c r="U58" s="53"/>
      <c r="V58" s="53"/>
      <c r="W58" s="53"/>
      <c r="X58" s="53"/>
      <c r="Y58" s="53"/>
      <c r="Z58" s="53"/>
      <c r="AA58" s="53"/>
      <c r="AB58" s="54"/>
    </row>
    <row r="59" spans="10:28">
      <c r="J59" s="52"/>
      <c r="K59" s="53"/>
      <c r="L59" s="53"/>
      <c r="M59" s="53"/>
      <c r="N59" s="53"/>
      <c r="O59" s="53"/>
      <c r="P59" s="53"/>
      <c r="Q59" s="53"/>
      <c r="R59" s="53"/>
      <c r="S59" s="53"/>
      <c r="T59" s="53"/>
      <c r="U59" s="53"/>
      <c r="V59" s="53"/>
      <c r="W59" s="53"/>
      <c r="X59" s="53"/>
      <c r="Y59" s="53"/>
      <c r="Z59" s="53"/>
      <c r="AA59" s="53"/>
      <c r="AB59" s="54"/>
    </row>
    <row r="60" spans="10:28">
      <c r="J60" s="52"/>
      <c r="K60" s="53"/>
      <c r="L60" s="53"/>
      <c r="M60" s="53"/>
      <c r="N60" s="53"/>
      <c r="O60" s="53"/>
      <c r="P60" s="53"/>
      <c r="Q60" s="53"/>
      <c r="R60" s="53"/>
      <c r="S60" s="53"/>
      <c r="T60" s="53"/>
      <c r="U60" s="53"/>
      <c r="V60" s="53"/>
      <c r="W60" s="53"/>
      <c r="X60" s="53"/>
      <c r="Y60" s="53"/>
      <c r="Z60" s="53"/>
      <c r="AA60" s="53"/>
      <c r="AB60" s="54"/>
    </row>
    <row r="61" spans="10:28">
      <c r="J61" s="52"/>
      <c r="K61" s="53"/>
      <c r="L61" s="53"/>
      <c r="M61" s="53"/>
      <c r="N61" s="53"/>
      <c r="O61" s="53"/>
      <c r="P61" s="53"/>
      <c r="Q61" s="53"/>
      <c r="R61" s="53"/>
      <c r="S61" s="53"/>
      <c r="T61" s="53"/>
      <c r="U61" s="53"/>
      <c r="V61" s="53"/>
      <c r="W61" s="53"/>
      <c r="X61" s="53"/>
      <c r="Y61" s="53"/>
      <c r="Z61" s="53"/>
      <c r="AA61" s="53"/>
      <c r="AB61" s="54"/>
    </row>
    <row r="62" spans="10:28">
      <c r="J62" s="52"/>
      <c r="K62" s="53"/>
      <c r="L62" s="53"/>
      <c r="M62" s="53"/>
      <c r="N62" s="53"/>
      <c r="O62" s="53"/>
      <c r="P62" s="53"/>
      <c r="Q62" s="53"/>
      <c r="R62" s="53"/>
      <c r="S62" s="53"/>
      <c r="T62" s="53"/>
      <c r="U62" s="53"/>
      <c r="V62" s="53"/>
      <c r="W62" s="53"/>
      <c r="X62" s="53"/>
      <c r="Y62" s="53"/>
      <c r="Z62" s="53"/>
      <c r="AA62" s="53"/>
      <c r="AB62" s="54"/>
    </row>
    <row r="63" spans="10:28">
      <c r="J63" s="52"/>
      <c r="K63" s="53"/>
      <c r="L63" s="53"/>
      <c r="M63" s="53"/>
      <c r="N63" s="53"/>
      <c r="O63" s="53"/>
      <c r="P63" s="53"/>
      <c r="Q63" s="53"/>
      <c r="R63" s="53"/>
      <c r="S63" s="53"/>
      <c r="T63" s="53"/>
      <c r="U63" s="53"/>
      <c r="V63" s="53"/>
      <c r="W63" s="53"/>
      <c r="X63" s="53"/>
      <c r="Y63" s="53"/>
      <c r="Z63" s="53"/>
      <c r="AA63" s="53"/>
      <c r="AB63" s="54"/>
    </row>
    <row r="64" spans="10:28">
      <c r="J64" s="52"/>
      <c r="K64" s="53"/>
      <c r="L64" s="53"/>
      <c r="M64" s="53"/>
      <c r="N64" s="53"/>
      <c r="O64" s="53"/>
      <c r="P64" s="53"/>
      <c r="Q64" s="53"/>
      <c r="R64" s="53"/>
      <c r="S64" s="53"/>
      <c r="T64" s="53"/>
      <c r="U64" s="53"/>
      <c r="V64" s="53"/>
      <c r="W64" s="53"/>
      <c r="X64" s="53"/>
      <c r="Y64" s="53"/>
      <c r="Z64" s="53"/>
      <c r="AA64" s="53"/>
      <c r="AB64" s="54"/>
    </row>
    <row r="65" spans="10:28">
      <c r="J65" s="52"/>
      <c r="K65" s="53"/>
      <c r="L65" s="53"/>
      <c r="M65" s="53"/>
      <c r="N65" s="53"/>
      <c r="O65" s="53"/>
      <c r="P65" s="53"/>
      <c r="Q65" s="53"/>
      <c r="R65" s="53"/>
      <c r="S65" s="53"/>
      <c r="T65" s="53"/>
      <c r="U65" s="53"/>
      <c r="V65" s="53"/>
      <c r="W65" s="53"/>
      <c r="X65" s="53"/>
      <c r="Y65" s="53"/>
      <c r="Z65" s="53"/>
      <c r="AA65" s="53"/>
      <c r="AB65" s="54"/>
    </row>
    <row r="66" spans="10:28">
      <c r="J66" s="52"/>
      <c r="K66" s="53"/>
      <c r="L66" s="53"/>
      <c r="M66" s="53"/>
      <c r="N66" s="53"/>
      <c r="O66" s="53"/>
      <c r="P66" s="53"/>
      <c r="Q66" s="53"/>
      <c r="R66" s="53"/>
      <c r="S66" s="53"/>
      <c r="T66" s="53"/>
      <c r="U66" s="53"/>
      <c r="V66" s="53"/>
      <c r="W66" s="53"/>
      <c r="X66" s="53"/>
      <c r="Y66" s="53"/>
      <c r="Z66" s="53"/>
      <c r="AA66" s="53"/>
      <c r="AB66" s="54"/>
    </row>
    <row r="67" spans="10:28">
      <c r="J67" s="52"/>
      <c r="K67" s="53"/>
      <c r="L67" s="53"/>
      <c r="M67" s="53"/>
      <c r="N67" s="53"/>
      <c r="O67" s="53"/>
      <c r="P67" s="53"/>
      <c r="Q67" s="53"/>
      <c r="R67" s="53"/>
      <c r="S67" s="53"/>
      <c r="T67" s="53"/>
      <c r="U67" s="53"/>
      <c r="V67" s="53"/>
      <c r="W67" s="53"/>
      <c r="X67" s="53"/>
      <c r="Y67" s="53"/>
      <c r="Z67" s="53"/>
      <c r="AA67" s="53"/>
      <c r="AB67" s="54"/>
    </row>
    <row r="68" spans="10:28">
      <c r="J68" s="52"/>
      <c r="K68" s="53"/>
      <c r="L68" s="53"/>
      <c r="M68" s="53"/>
      <c r="N68" s="53"/>
      <c r="O68" s="53"/>
      <c r="P68" s="53"/>
      <c r="Q68" s="53"/>
      <c r="R68" s="53"/>
      <c r="S68" s="53"/>
      <c r="T68" s="53"/>
      <c r="U68" s="53"/>
      <c r="V68" s="53"/>
      <c r="W68" s="53"/>
      <c r="X68" s="53"/>
      <c r="Y68" s="53"/>
      <c r="Z68" s="53"/>
      <c r="AA68" s="53"/>
      <c r="AB68" s="54"/>
    </row>
    <row r="69" spans="10:28">
      <c r="J69" s="52"/>
      <c r="K69" s="53"/>
      <c r="L69" s="53"/>
      <c r="M69" s="53"/>
      <c r="N69" s="53"/>
      <c r="O69" s="53"/>
      <c r="P69" s="53"/>
      <c r="Q69" s="53"/>
      <c r="R69" s="53"/>
      <c r="S69" s="53"/>
      <c r="T69" s="53"/>
      <c r="U69" s="53"/>
      <c r="V69" s="53"/>
      <c r="W69" s="53"/>
      <c r="X69" s="53"/>
      <c r="Y69" s="53"/>
      <c r="Z69" s="53"/>
      <c r="AA69" s="53"/>
      <c r="AB69" s="54"/>
    </row>
    <row r="70" spans="10:28">
      <c r="J70" s="52"/>
      <c r="K70" s="53"/>
      <c r="L70" s="53"/>
      <c r="M70" s="53"/>
      <c r="N70" s="53"/>
      <c r="O70" s="53"/>
      <c r="P70" s="53"/>
      <c r="Q70" s="53"/>
      <c r="R70" s="53"/>
      <c r="S70" s="53"/>
      <c r="T70" s="53"/>
      <c r="U70" s="53"/>
      <c r="V70" s="53"/>
      <c r="W70" s="53"/>
      <c r="X70" s="53"/>
      <c r="Y70" s="53"/>
      <c r="Z70" s="53"/>
      <c r="AA70" s="53"/>
      <c r="AB70" s="54"/>
    </row>
    <row r="71" spans="10:28">
      <c r="J71" s="52"/>
      <c r="K71" s="53"/>
      <c r="L71" s="53"/>
      <c r="M71" s="53"/>
      <c r="N71" s="53"/>
      <c r="O71" s="53"/>
      <c r="P71" s="53"/>
      <c r="Q71" s="53"/>
      <c r="R71" s="53"/>
      <c r="S71" s="53"/>
      <c r="T71" s="53"/>
      <c r="U71" s="53"/>
      <c r="V71" s="53"/>
      <c r="W71" s="53"/>
      <c r="X71" s="53"/>
      <c r="Y71" s="53"/>
      <c r="Z71" s="53"/>
      <c r="AA71" s="53"/>
      <c r="AB71" s="54"/>
    </row>
    <row r="72" spans="10:28">
      <c r="J72" s="52"/>
      <c r="K72" s="53"/>
      <c r="L72" s="53"/>
      <c r="M72" s="53"/>
      <c r="N72" s="53"/>
      <c r="O72" s="53"/>
      <c r="P72" s="53"/>
      <c r="Q72" s="53"/>
      <c r="R72" s="53"/>
      <c r="S72" s="53"/>
      <c r="T72" s="53"/>
      <c r="U72" s="53"/>
      <c r="V72" s="53"/>
      <c r="W72" s="53"/>
      <c r="X72" s="53"/>
      <c r="Y72" s="53"/>
      <c r="Z72" s="53"/>
      <c r="AA72" s="53"/>
      <c r="AB72" s="54"/>
    </row>
    <row r="73" spans="10:28">
      <c r="J73" s="52"/>
      <c r="K73" s="53"/>
      <c r="L73" s="53"/>
      <c r="M73" s="53"/>
      <c r="N73" s="53"/>
      <c r="O73" s="53"/>
      <c r="P73" s="53"/>
      <c r="Q73" s="53"/>
      <c r="R73" s="53"/>
      <c r="S73" s="53"/>
      <c r="T73" s="53"/>
      <c r="U73" s="53"/>
      <c r="V73" s="53"/>
      <c r="W73" s="53"/>
      <c r="X73" s="53"/>
      <c r="Y73" s="53"/>
      <c r="Z73" s="53"/>
      <c r="AA73" s="53"/>
      <c r="AB73" s="54"/>
    </row>
    <row r="74" spans="10:28">
      <c r="J74" s="52"/>
      <c r="K74" s="53"/>
      <c r="L74" s="53"/>
      <c r="M74" s="53"/>
      <c r="N74" s="53"/>
      <c r="O74" s="53"/>
      <c r="P74" s="53"/>
      <c r="Q74" s="53"/>
      <c r="R74" s="53"/>
      <c r="S74" s="53"/>
      <c r="T74" s="53"/>
      <c r="U74" s="53"/>
      <c r="V74" s="53"/>
      <c r="W74" s="53"/>
      <c r="X74" s="53"/>
      <c r="Y74" s="53"/>
      <c r="Z74" s="53"/>
      <c r="AA74" s="53"/>
      <c r="AB74" s="54"/>
    </row>
    <row r="75" spans="10:28">
      <c r="J75" s="52"/>
      <c r="K75" s="53"/>
      <c r="L75" s="53"/>
      <c r="M75" s="53"/>
      <c r="N75" s="53"/>
      <c r="O75" s="53"/>
      <c r="P75" s="53"/>
      <c r="Q75" s="53"/>
      <c r="R75" s="53"/>
      <c r="S75" s="53"/>
      <c r="T75" s="53"/>
      <c r="U75" s="53"/>
      <c r="V75" s="53"/>
      <c r="W75" s="53"/>
      <c r="X75" s="53"/>
      <c r="Y75" s="53"/>
      <c r="Z75" s="53"/>
      <c r="AA75" s="53"/>
      <c r="AB75" s="54"/>
    </row>
    <row r="76" spans="10:28">
      <c r="J76" s="52"/>
      <c r="K76" s="53"/>
      <c r="L76" s="53"/>
      <c r="M76" s="53"/>
      <c r="N76" s="53"/>
      <c r="O76" s="53"/>
      <c r="P76" s="53"/>
      <c r="Q76" s="53"/>
      <c r="R76" s="53"/>
      <c r="S76" s="53"/>
      <c r="T76" s="53"/>
      <c r="U76" s="53"/>
      <c r="V76" s="53"/>
      <c r="W76" s="53"/>
      <c r="X76" s="53"/>
      <c r="Y76" s="53"/>
      <c r="Z76" s="53"/>
      <c r="AA76" s="53"/>
      <c r="AB76" s="54"/>
    </row>
    <row r="77" spans="10:28">
      <c r="J77" s="52"/>
      <c r="K77" s="53"/>
      <c r="L77" s="53"/>
      <c r="M77" s="53"/>
      <c r="N77" s="53"/>
      <c r="O77" s="53"/>
      <c r="P77" s="53"/>
      <c r="Q77" s="53"/>
      <c r="R77" s="53"/>
      <c r="S77" s="53"/>
      <c r="T77" s="53"/>
      <c r="U77" s="53"/>
      <c r="V77" s="53"/>
      <c r="W77" s="53"/>
      <c r="X77" s="53"/>
      <c r="Y77" s="53"/>
      <c r="Z77" s="53"/>
      <c r="AA77" s="53"/>
      <c r="AB77" s="54"/>
    </row>
    <row r="78" spans="10:28">
      <c r="J78" s="52"/>
      <c r="K78" s="53"/>
      <c r="L78" s="53"/>
      <c r="M78" s="53"/>
      <c r="N78" s="53"/>
      <c r="O78" s="53"/>
      <c r="P78" s="53"/>
      <c r="Q78" s="53"/>
      <c r="R78" s="53"/>
      <c r="S78" s="53"/>
      <c r="T78" s="53"/>
      <c r="U78" s="53"/>
      <c r="V78" s="53"/>
      <c r="W78" s="53"/>
      <c r="X78" s="53"/>
      <c r="Y78" s="53"/>
      <c r="Z78" s="53"/>
      <c r="AA78" s="53"/>
      <c r="AB78" s="54"/>
    </row>
    <row r="79" spans="10:28">
      <c r="J79" s="52"/>
      <c r="K79" s="56" t="s">
        <v>2107</v>
      </c>
      <c r="L79" s="57"/>
      <c r="M79" s="57"/>
      <c r="N79" s="57"/>
      <c r="O79" s="57"/>
      <c r="P79" s="57"/>
      <c r="Q79" s="57"/>
      <c r="R79" s="57"/>
      <c r="S79" s="57"/>
      <c r="T79" s="57"/>
      <c r="U79" s="57"/>
      <c r="V79" s="57"/>
      <c r="W79" s="57"/>
      <c r="X79" s="57"/>
      <c r="Y79" s="57"/>
      <c r="Z79" s="57"/>
      <c r="AA79" s="57"/>
      <c r="AB79" s="54"/>
    </row>
    <row r="80" spans="10:28">
      <c r="J80" s="52"/>
      <c r="K80" s="57"/>
      <c r="L80" s="57"/>
      <c r="M80" s="57"/>
      <c r="N80" s="57"/>
      <c r="O80" s="57"/>
      <c r="P80" s="57"/>
      <c r="Q80" s="57"/>
      <c r="R80" s="57"/>
      <c r="S80" s="57"/>
      <c r="T80" s="57"/>
      <c r="U80" s="57"/>
      <c r="V80" s="57"/>
      <c r="W80" s="57"/>
      <c r="X80" s="57"/>
      <c r="Y80" s="57"/>
      <c r="Z80" s="57"/>
      <c r="AA80" s="57"/>
      <c r="AB80" s="54"/>
    </row>
    <row r="81" spans="10:28">
      <c r="J81" s="52"/>
      <c r="K81" s="57"/>
      <c r="L81" s="57"/>
      <c r="M81" s="57"/>
      <c r="N81" s="57"/>
      <c r="O81" s="57"/>
      <c r="P81" s="57"/>
      <c r="Q81" s="57"/>
      <c r="R81" s="57"/>
      <c r="S81" s="57"/>
      <c r="T81" s="57"/>
      <c r="U81" s="57"/>
      <c r="V81" s="57"/>
      <c r="W81" s="57"/>
      <c r="X81" s="57"/>
      <c r="Y81" s="57"/>
      <c r="Z81" s="57"/>
      <c r="AA81" s="57"/>
      <c r="AB81" s="54"/>
    </row>
    <row r="82" spans="10:28">
      <c r="J82" s="52"/>
      <c r="K82" s="57"/>
      <c r="L82" s="57"/>
      <c r="M82" s="57"/>
      <c r="N82" s="57"/>
      <c r="O82" s="57"/>
      <c r="P82" s="57"/>
      <c r="Q82" s="57"/>
      <c r="R82" s="57"/>
      <c r="S82" s="57"/>
      <c r="T82" s="57"/>
      <c r="U82" s="57"/>
      <c r="V82" s="57"/>
      <c r="W82" s="57"/>
      <c r="X82" s="57"/>
      <c r="Y82" s="57"/>
      <c r="Z82" s="57"/>
      <c r="AA82" s="57"/>
      <c r="AB82" s="54"/>
    </row>
    <row r="83" spans="10:28" ht="16.8" customHeight="1">
      <c r="J83" s="52"/>
      <c r="K83" s="57"/>
      <c r="L83" s="57"/>
      <c r="M83" s="57"/>
      <c r="N83" s="57"/>
      <c r="O83" s="57"/>
      <c r="P83" s="57"/>
      <c r="Q83" s="57"/>
      <c r="R83" s="57"/>
      <c r="S83" s="57"/>
      <c r="T83" s="57"/>
      <c r="U83" s="57"/>
      <c r="V83" s="57"/>
      <c r="W83" s="57"/>
      <c r="X83" s="57"/>
      <c r="Y83" s="57"/>
      <c r="Z83" s="57"/>
      <c r="AA83" s="57"/>
      <c r="AB83" s="54"/>
    </row>
    <row r="84" spans="10:28" ht="55.2" customHeight="1">
      <c r="J84" s="52"/>
      <c r="K84" s="57"/>
      <c r="L84" s="57"/>
      <c r="M84" s="57"/>
      <c r="N84" s="57"/>
      <c r="O84" s="57"/>
      <c r="P84" s="57"/>
      <c r="Q84" s="57"/>
      <c r="R84" s="57"/>
      <c r="S84" s="57"/>
      <c r="T84" s="57"/>
      <c r="U84" s="57"/>
      <c r="V84" s="57"/>
      <c r="W84" s="57"/>
      <c r="X84" s="57"/>
      <c r="Y84" s="57"/>
      <c r="Z84" s="57"/>
      <c r="AA84" s="57"/>
      <c r="AB84" s="54"/>
    </row>
    <row r="85" spans="10:28">
      <c r="J85" s="58"/>
      <c r="K85" s="59"/>
      <c r="L85" s="59"/>
      <c r="M85" s="59"/>
      <c r="N85" s="59"/>
      <c r="O85" s="59"/>
      <c r="P85" s="59"/>
      <c r="Q85" s="59"/>
      <c r="R85" s="59"/>
      <c r="S85" s="59"/>
      <c r="T85" s="59"/>
      <c r="U85" s="59"/>
      <c r="V85" s="59"/>
      <c r="W85" s="59"/>
      <c r="X85" s="59"/>
      <c r="Y85" s="59"/>
      <c r="Z85" s="59"/>
      <c r="AA85" s="59"/>
      <c r="AB85" s="60"/>
    </row>
  </sheetData>
  <mergeCells count="10">
    <mergeCell ref="K79:AA84"/>
    <mergeCell ref="M2:Y3"/>
    <mergeCell ref="X5:Z8"/>
    <mergeCell ref="X9:Z9"/>
    <mergeCell ref="L5:N8"/>
    <mergeCell ref="L9:N9"/>
    <mergeCell ref="P5:R8"/>
    <mergeCell ref="P9:R9"/>
    <mergeCell ref="T5:V8"/>
    <mergeCell ref="T9:V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01_Raw_DataSet</vt:lpstr>
      <vt:lpstr>02_Working_Dataset</vt:lpstr>
      <vt:lpstr>03_Pivot_Tables</vt:lpstr>
      <vt:lpstr>04_Dashboard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tanuja modak</dc:creator>
  <cp:lastModifiedBy>tanuja modak</cp:lastModifiedBy>
  <cp:lastPrinted>2026-06-07T09:49:46Z</cp:lastPrinted>
  <dcterms:created xsi:type="dcterms:W3CDTF">2026-06-06T13:58:14Z</dcterms:created>
  <dcterms:modified xsi:type="dcterms:W3CDTF">2026-06-07T09:50:10Z</dcterms:modified>
</cp:coreProperties>
</file>