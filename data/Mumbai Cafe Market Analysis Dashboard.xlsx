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46c84ae78d20809/Documents/imptea-20250826T110445Z-1-001/imptea/"/>
    </mc:Choice>
  </mc:AlternateContent>
  <xr:revisionPtr revIDLastSave="0" documentId="8_{35BFB940-F223-440C-9024-1FC27C800B92}" xr6:coauthVersionLast="47" xr6:coauthVersionMax="47" xr10:uidLastSave="{00000000-0000-0000-0000-000000000000}"/>
  <bookViews>
    <workbookView xWindow="-108" yWindow="-108" windowWidth="23256" windowHeight="12456" xr2:uid="{6C247FC5-A5F8-4935-ADBB-A3E7AAE9978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01" i="1" l="1"/>
  <c r="J1201" i="1"/>
  <c r="I1201" i="1"/>
  <c r="K1201" i="1" s="1"/>
  <c r="H1201" i="1"/>
  <c r="L1200" i="1"/>
  <c r="J1200" i="1"/>
  <c r="I1200" i="1"/>
  <c r="K1200" i="1" s="1"/>
  <c r="H1200" i="1"/>
  <c r="L1199" i="1"/>
  <c r="J1199" i="1"/>
  <c r="I1199" i="1"/>
  <c r="K1199" i="1" s="1"/>
  <c r="H1199" i="1"/>
  <c r="L1198" i="1"/>
  <c r="J1198" i="1"/>
  <c r="I1198" i="1"/>
  <c r="K1198" i="1" s="1"/>
  <c r="H1198" i="1"/>
  <c r="L1197" i="1"/>
  <c r="J1197" i="1"/>
  <c r="I1197" i="1"/>
  <c r="K1197" i="1" s="1"/>
  <c r="H1197" i="1"/>
  <c r="L1196" i="1"/>
  <c r="J1196" i="1"/>
  <c r="I1196" i="1"/>
  <c r="K1196" i="1" s="1"/>
  <c r="H1196" i="1"/>
  <c r="L1195" i="1"/>
  <c r="J1195" i="1"/>
  <c r="I1195" i="1"/>
  <c r="K1195" i="1" s="1"/>
  <c r="H1195" i="1"/>
  <c r="L1194" i="1"/>
  <c r="J1194" i="1"/>
  <c r="I1194" i="1"/>
  <c r="K1194" i="1" s="1"/>
  <c r="H1194" i="1"/>
  <c r="L1193" i="1"/>
  <c r="J1193" i="1"/>
  <c r="I1193" i="1"/>
  <c r="K1193" i="1" s="1"/>
  <c r="H1193" i="1"/>
  <c r="L1192" i="1"/>
  <c r="J1192" i="1"/>
  <c r="I1192" i="1"/>
  <c r="K1192" i="1" s="1"/>
  <c r="H1192" i="1"/>
  <c r="L1191" i="1"/>
  <c r="J1191" i="1"/>
  <c r="I1191" i="1"/>
  <c r="K1191" i="1" s="1"/>
  <c r="H1191" i="1"/>
  <c r="L1190" i="1"/>
  <c r="J1190" i="1"/>
  <c r="I1190" i="1"/>
  <c r="K1190" i="1" s="1"/>
  <c r="H1190" i="1"/>
  <c r="L1189" i="1"/>
  <c r="J1189" i="1"/>
  <c r="I1189" i="1"/>
  <c r="K1189" i="1" s="1"/>
  <c r="H1189" i="1"/>
  <c r="L1188" i="1"/>
  <c r="J1188" i="1"/>
  <c r="I1188" i="1"/>
  <c r="K1188" i="1" s="1"/>
  <c r="H1188" i="1"/>
  <c r="L1187" i="1"/>
  <c r="J1187" i="1"/>
  <c r="I1187" i="1"/>
  <c r="K1187" i="1" s="1"/>
  <c r="H1187" i="1"/>
  <c r="L1186" i="1"/>
  <c r="J1186" i="1"/>
  <c r="I1186" i="1"/>
  <c r="K1186" i="1" s="1"/>
  <c r="H1186" i="1"/>
  <c r="L1185" i="1"/>
  <c r="J1185" i="1"/>
  <c r="I1185" i="1"/>
  <c r="K1185" i="1" s="1"/>
  <c r="H1185" i="1"/>
  <c r="L1184" i="1"/>
  <c r="J1184" i="1"/>
  <c r="I1184" i="1"/>
  <c r="K1184" i="1" s="1"/>
  <c r="H1184" i="1"/>
  <c r="L1183" i="1"/>
  <c r="J1183" i="1"/>
  <c r="I1183" i="1"/>
  <c r="K1183" i="1" s="1"/>
  <c r="H1183" i="1"/>
  <c r="L1182" i="1"/>
  <c r="J1182" i="1"/>
  <c r="I1182" i="1"/>
  <c r="K1182" i="1" s="1"/>
  <c r="H1182" i="1"/>
  <c r="L1181" i="1"/>
  <c r="J1181" i="1"/>
  <c r="I1181" i="1"/>
  <c r="K1181" i="1" s="1"/>
  <c r="H1181" i="1"/>
  <c r="L1180" i="1"/>
  <c r="J1180" i="1"/>
  <c r="I1180" i="1"/>
  <c r="K1180" i="1" s="1"/>
  <c r="H1180" i="1"/>
  <c r="L1179" i="1"/>
  <c r="J1179" i="1"/>
  <c r="I1179" i="1"/>
  <c r="K1179" i="1" s="1"/>
  <c r="H1179" i="1"/>
  <c r="L1178" i="1"/>
  <c r="J1178" i="1"/>
  <c r="I1178" i="1"/>
  <c r="K1178" i="1" s="1"/>
  <c r="H1178" i="1"/>
  <c r="L1177" i="1"/>
  <c r="J1177" i="1"/>
  <c r="I1177" i="1"/>
  <c r="K1177" i="1" s="1"/>
  <c r="H1177" i="1"/>
  <c r="L1176" i="1"/>
  <c r="J1176" i="1"/>
  <c r="I1176" i="1"/>
  <c r="K1176" i="1" s="1"/>
  <c r="H1176" i="1"/>
  <c r="L1175" i="1"/>
  <c r="J1175" i="1"/>
  <c r="I1175" i="1"/>
  <c r="K1175" i="1" s="1"/>
  <c r="H1175" i="1"/>
  <c r="L1174" i="1"/>
  <c r="J1174" i="1"/>
  <c r="I1174" i="1"/>
  <c r="K1174" i="1" s="1"/>
  <c r="H1174" i="1"/>
  <c r="L1173" i="1"/>
  <c r="J1173" i="1"/>
  <c r="I1173" i="1"/>
  <c r="K1173" i="1" s="1"/>
  <c r="H1173" i="1"/>
  <c r="L1172" i="1"/>
  <c r="J1172" i="1"/>
  <c r="I1172" i="1"/>
  <c r="K1172" i="1" s="1"/>
  <c r="H1172" i="1"/>
  <c r="L1171" i="1"/>
  <c r="J1171" i="1"/>
  <c r="I1171" i="1"/>
  <c r="K1171" i="1" s="1"/>
  <c r="H1171" i="1"/>
  <c r="L1170" i="1"/>
  <c r="J1170" i="1"/>
  <c r="I1170" i="1"/>
  <c r="K1170" i="1" s="1"/>
  <c r="H1170" i="1"/>
  <c r="L1169" i="1"/>
  <c r="J1169" i="1"/>
  <c r="I1169" i="1"/>
  <c r="K1169" i="1" s="1"/>
  <c r="H1169" i="1"/>
  <c r="L1168" i="1"/>
  <c r="J1168" i="1"/>
  <c r="I1168" i="1"/>
  <c r="K1168" i="1" s="1"/>
  <c r="H1168" i="1"/>
  <c r="L1167" i="1"/>
  <c r="J1167" i="1"/>
  <c r="I1167" i="1"/>
  <c r="K1167" i="1" s="1"/>
  <c r="H1167" i="1"/>
  <c r="L1166" i="1"/>
  <c r="J1166" i="1"/>
  <c r="I1166" i="1"/>
  <c r="K1166" i="1" s="1"/>
  <c r="H1166" i="1"/>
  <c r="L1165" i="1"/>
  <c r="J1165" i="1"/>
  <c r="I1165" i="1"/>
  <c r="K1165" i="1" s="1"/>
  <c r="H1165" i="1"/>
  <c r="L1164" i="1"/>
  <c r="J1164" i="1"/>
  <c r="I1164" i="1"/>
  <c r="K1164" i="1" s="1"/>
  <c r="H1164" i="1"/>
  <c r="L1163" i="1"/>
  <c r="J1163" i="1"/>
  <c r="I1163" i="1"/>
  <c r="K1163" i="1" s="1"/>
  <c r="H1163" i="1"/>
  <c r="L1162" i="1"/>
  <c r="J1162" i="1"/>
  <c r="I1162" i="1"/>
  <c r="K1162" i="1" s="1"/>
  <c r="H1162" i="1"/>
  <c r="L1161" i="1"/>
  <c r="J1161" i="1"/>
  <c r="I1161" i="1"/>
  <c r="K1161" i="1" s="1"/>
  <c r="H1161" i="1"/>
  <c r="L1160" i="1"/>
  <c r="J1160" i="1"/>
  <c r="I1160" i="1"/>
  <c r="K1160" i="1" s="1"/>
  <c r="H1160" i="1"/>
  <c r="L1159" i="1"/>
  <c r="J1159" i="1"/>
  <c r="I1159" i="1"/>
  <c r="K1159" i="1" s="1"/>
  <c r="H1159" i="1"/>
  <c r="L1158" i="1"/>
  <c r="J1158" i="1"/>
  <c r="I1158" i="1"/>
  <c r="K1158" i="1" s="1"/>
  <c r="H1158" i="1"/>
  <c r="L1157" i="1"/>
  <c r="J1157" i="1"/>
  <c r="I1157" i="1"/>
  <c r="K1157" i="1" s="1"/>
  <c r="H1157" i="1"/>
  <c r="L1156" i="1"/>
  <c r="J1156" i="1"/>
  <c r="I1156" i="1"/>
  <c r="K1156" i="1" s="1"/>
  <c r="H1156" i="1"/>
  <c r="L1155" i="1"/>
  <c r="J1155" i="1"/>
  <c r="I1155" i="1"/>
  <c r="K1155" i="1" s="1"/>
  <c r="H1155" i="1"/>
  <c r="L1154" i="1"/>
  <c r="J1154" i="1"/>
  <c r="I1154" i="1"/>
  <c r="K1154" i="1" s="1"/>
  <c r="H1154" i="1"/>
  <c r="L1153" i="1"/>
  <c r="J1153" i="1"/>
  <c r="I1153" i="1"/>
  <c r="K1153" i="1" s="1"/>
  <c r="H1153" i="1"/>
  <c r="L1152" i="1"/>
  <c r="J1152" i="1"/>
  <c r="I1152" i="1"/>
  <c r="K1152" i="1" s="1"/>
  <c r="H1152" i="1"/>
  <c r="L1151" i="1"/>
  <c r="J1151" i="1"/>
  <c r="I1151" i="1"/>
  <c r="K1151" i="1" s="1"/>
  <c r="H1151" i="1"/>
  <c r="L1150" i="1"/>
  <c r="J1150" i="1"/>
  <c r="I1150" i="1"/>
  <c r="K1150" i="1" s="1"/>
  <c r="H1150" i="1"/>
  <c r="L1149" i="1"/>
  <c r="J1149" i="1"/>
  <c r="I1149" i="1"/>
  <c r="K1149" i="1" s="1"/>
  <c r="H1149" i="1"/>
  <c r="L1148" i="1"/>
  <c r="J1148" i="1"/>
  <c r="I1148" i="1"/>
  <c r="K1148" i="1" s="1"/>
  <c r="H1148" i="1"/>
  <c r="L1147" i="1"/>
  <c r="J1147" i="1"/>
  <c r="I1147" i="1"/>
  <c r="K1147" i="1" s="1"/>
  <c r="H1147" i="1"/>
  <c r="L1146" i="1"/>
  <c r="J1146" i="1"/>
  <c r="I1146" i="1"/>
  <c r="K1146" i="1" s="1"/>
  <c r="H1146" i="1"/>
  <c r="L1145" i="1"/>
  <c r="J1145" i="1"/>
  <c r="I1145" i="1"/>
  <c r="K1145" i="1" s="1"/>
  <c r="H1145" i="1"/>
  <c r="L1144" i="1"/>
  <c r="J1144" i="1"/>
  <c r="I1144" i="1"/>
  <c r="K1144" i="1" s="1"/>
  <c r="H1144" i="1"/>
  <c r="L1143" i="1"/>
  <c r="J1143" i="1"/>
  <c r="I1143" i="1"/>
  <c r="K1143" i="1" s="1"/>
  <c r="H1143" i="1"/>
  <c r="L1142" i="1"/>
  <c r="J1142" i="1"/>
  <c r="I1142" i="1"/>
  <c r="K1142" i="1" s="1"/>
  <c r="H1142" i="1"/>
  <c r="L1141" i="1"/>
  <c r="J1141" i="1"/>
  <c r="I1141" i="1"/>
  <c r="K1141" i="1" s="1"/>
  <c r="H1141" i="1"/>
  <c r="L1140" i="1"/>
  <c r="J1140" i="1"/>
  <c r="I1140" i="1"/>
  <c r="K1140" i="1" s="1"/>
  <c r="H1140" i="1"/>
  <c r="L1139" i="1"/>
  <c r="J1139" i="1"/>
  <c r="I1139" i="1"/>
  <c r="K1139" i="1" s="1"/>
  <c r="H1139" i="1"/>
  <c r="L1138" i="1"/>
  <c r="J1138" i="1"/>
  <c r="I1138" i="1"/>
  <c r="K1138" i="1" s="1"/>
  <c r="H1138" i="1"/>
  <c r="L1137" i="1"/>
  <c r="J1137" i="1"/>
  <c r="I1137" i="1"/>
  <c r="K1137" i="1" s="1"/>
  <c r="H1137" i="1"/>
  <c r="L1136" i="1"/>
  <c r="J1136" i="1"/>
  <c r="I1136" i="1"/>
  <c r="K1136" i="1" s="1"/>
  <c r="H1136" i="1"/>
  <c r="L1135" i="1"/>
  <c r="J1135" i="1"/>
  <c r="I1135" i="1"/>
  <c r="K1135" i="1" s="1"/>
  <c r="H1135" i="1"/>
  <c r="L1134" i="1"/>
  <c r="J1134" i="1"/>
  <c r="I1134" i="1"/>
  <c r="K1134" i="1" s="1"/>
  <c r="H1134" i="1"/>
  <c r="L1133" i="1"/>
  <c r="J1133" i="1"/>
  <c r="I1133" i="1"/>
  <c r="K1133" i="1" s="1"/>
  <c r="H1133" i="1"/>
  <c r="L1132" i="1"/>
  <c r="J1132" i="1"/>
  <c r="I1132" i="1"/>
  <c r="K1132" i="1" s="1"/>
  <c r="H1132" i="1"/>
  <c r="L1131" i="1"/>
  <c r="J1131" i="1"/>
  <c r="I1131" i="1"/>
  <c r="K1131" i="1" s="1"/>
  <c r="H1131" i="1"/>
  <c r="L1130" i="1"/>
  <c r="J1130" i="1"/>
  <c r="I1130" i="1"/>
  <c r="K1130" i="1" s="1"/>
  <c r="H1130" i="1"/>
  <c r="L1129" i="1"/>
  <c r="J1129" i="1"/>
  <c r="I1129" i="1"/>
  <c r="K1129" i="1" s="1"/>
  <c r="H1129" i="1"/>
  <c r="L1128" i="1"/>
  <c r="J1128" i="1"/>
  <c r="I1128" i="1"/>
  <c r="K1128" i="1" s="1"/>
  <c r="H1128" i="1"/>
  <c r="L1127" i="1"/>
  <c r="J1127" i="1"/>
  <c r="I1127" i="1"/>
  <c r="K1127" i="1" s="1"/>
  <c r="H1127" i="1"/>
  <c r="L1126" i="1"/>
  <c r="J1126" i="1"/>
  <c r="I1126" i="1"/>
  <c r="K1126" i="1" s="1"/>
  <c r="H1126" i="1"/>
  <c r="L1125" i="1"/>
  <c r="J1125" i="1"/>
  <c r="I1125" i="1"/>
  <c r="K1125" i="1" s="1"/>
  <c r="H1125" i="1"/>
  <c r="L1124" i="1"/>
  <c r="J1124" i="1"/>
  <c r="I1124" i="1"/>
  <c r="K1124" i="1" s="1"/>
  <c r="H1124" i="1"/>
  <c r="L1123" i="1"/>
  <c r="J1123" i="1"/>
  <c r="I1123" i="1"/>
  <c r="K1123" i="1" s="1"/>
  <c r="H1123" i="1"/>
  <c r="L1122" i="1"/>
  <c r="J1122" i="1"/>
  <c r="I1122" i="1"/>
  <c r="K1122" i="1" s="1"/>
  <c r="H1122" i="1"/>
  <c r="L1121" i="1"/>
  <c r="J1121" i="1"/>
  <c r="I1121" i="1"/>
  <c r="K1121" i="1" s="1"/>
  <c r="H1121" i="1"/>
  <c r="L1120" i="1"/>
  <c r="J1120" i="1"/>
  <c r="I1120" i="1"/>
  <c r="K1120" i="1" s="1"/>
  <c r="H1120" i="1"/>
  <c r="L1119" i="1"/>
  <c r="J1119" i="1"/>
  <c r="I1119" i="1"/>
  <c r="K1119" i="1" s="1"/>
  <c r="H1119" i="1"/>
  <c r="L1118" i="1"/>
  <c r="J1118" i="1"/>
  <c r="I1118" i="1"/>
  <c r="K1118" i="1" s="1"/>
  <c r="H1118" i="1"/>
  <c r="L1117" i="1"/>
  <c r="J1117" i="1"/>
  <c r="I1117" i="1"/>
  <c r="K1117" i="1" s="1"/>
  <c r="H1117" i="1"/>
  <c r="L1116" i="1"/>
  <c r="J1116" i="1"/>
  <c r="I1116" i="1"/>
  <c r="K1116" i="1" s="1"/>
  <c r="H1116" i="1"/>
  <c r="L1115" i="1"/>
  <c r="J1115" i="1"/>
  <c r="I1115" i="1"/>
  <c r="K1115" i="1" s="1"/>
  <c r="H1115" i="1"/>
  <c r="L1114" i="1"/>
  <c r="J1114" i="1"/>
  <c r="I1114" i="1"/>
  <c r="K1114" i="1" s="1"/>
  <c r="H1114" i="1"/>
  <c r="L1113" i="1"/>
  <c r="J1113" i="1"/>
  <c r="I1113" i="1"/>
  <c r="K1113" i="1" s="1"/>
  <c r="H1113" i="1"/>
  <c r="L1112" i="1"/>
  <c r="J1112" i="1"/>
  <c r="I1112" i="1"/>
  <c r="K1112" i="1" s="1"/>
  <c r="H1112" i="1"/>
  <c r="L1111" i="1"/>
  <c r="J1111" i="1"/>
  <c r="I1111" i="1"/>
  <c r="K1111" i="1" s="1"/>
  <c r="H1111" i="1"/>
  <c r="L1110" i="1"/>
  <c r="J1110" i="1"/>
  <c r="I1110" i="1"/>
  <c r="K1110" i="1" s="1"/>
  <c r="H1110" i="1"/>
  <c r="L1109" i="1"/>
  <c r="J1109" i="1"/>
  <c r="I1109" i="1"/>
  <c r="K1109" i="1" s="1"/>
  <c r="H1109" i="1"/>
  <c r="L1108" i="1"/>
  <c r="J1108" i="1"/>
  <c r="I1108" i="1"/>
  <c r="K1108" i="1" s="1"/>
  <c r="H1108" i="1"/>
  <c r="L1107" i="1"/>
  <c r="J1107" i="1"/>
  <c r="I1107" i="1"/>
  <c r="K1107" i="1" s="1"/>
  <c r="H1107" i="1"/>
  <c r="L1106" i="1"/>
  <c r="J1106" i="1"/>
  <c r="I1106" i="1"/>
  <c r="K1106" i="1" s="1"/>
  <c r="H1106" i="1"/>
  <c r="L1105" i="1"/>
  <c r="J1105" i="1"/>
  <c r="I1105" i="1"/>
  <c r="K1105" i="1" s="1"/>
  <c r="H1105" i="1"/>
  <c r="L1104" i="1"/>
  <c r="J1104" i="1"/>
  <c r="I1104" i="1"/>
  <c r="K1104" i="1" s="1"/>
  <c r="H1104" i="1"/>
  <c r="L1103" i="1"/>
  <c r="J1103" i="1"/>
  <c r="I1103" i="1"/>
  <c r="K1103" i="1" s="1"/>
  <c r="H1103" i="1"/>
  <c r="L1102" i="1"/>
  <c r="J1102" i="1"/>
  <c r="I1102" i="1"/>
  <c r="K1102" i="1" s="1"/>
  <c r="H1102" i="1"/>
  <c r="L1101" i="1"/>
  <c r="J1101" i="1"/>
  <c r="I1101" i="1"/>
  <c r="K1101" i="1" s="1"/>
  <c r="H1101" i="1"/>
  <c r="L1100" i="1"/>
  <c r="J1100" i="1"/>
  <c r="I1100" i="1"/>
  <c r="K1100" i="1" s="1"/>
  <c r="H1100" i="1"/>
  <c r="L1099" i="1"/>
  <c r="J1099" i="1"/>
  <c r="I1099" i="1"/>
  <c r="K1099" i="1" s="1"/>
  <c r="H1099" i="1"/>
  <c r="L1098" i="1"/>
  <c r="J1098" i="1"/>
  <c r="I1098" i="1"/>
  <c r="K1098" i="1" s="1"/>
  <c r="H1098" i="1"/>
  <c r="L1097" i="1"/>
  <c r="J1097" i="1"/>
  <c r="I1097" i="1"/>
  <c r="K1097" i="1" s="1"/>
  <c r="H1097" i="1"/>
  <c r="L1096" i="1"/>
  <c r="J1096" i="1"/>
  <c r="I1096" i="1"/>
  <c r="K1096" i="1" s="1"/>
  <c r="H1096" i="1"/>
  <c r="L1095" i="1"/>
  <c r="J1095" i="1"/>
  <c r="I1095" i="1"/>
  <c r="K1095" i="1" s="1"/>
  <c r="H1095" i="1"/>
  <c r="L1094" i="1"/>
  <c r="J1094" i="1"/>
  <c r="I1094" i="1"/>
  <c r="K1094" i="1" s="1"/>
  <c r="H1094" i="1"/>
  <c r="L1093" i="1"/>
  <c r="J1093" i="1"/>
  <c r="I1093" i="1"/>
  <c r="K1093" i="1" s="1"/>
  <c r="H1093" i="1"/>
  <c r="L1092" i="1"/>
  <c r="J1092" i="1"/>
  <c r="I1092" i="1"/>
  <c r="K1092" i="1" s="1"/>
  <c r="H1092" i="1"/>
  <c r="L1091" i="1"/>
  <c r="J1091" i="1"/>
  <c r="I1091" i="1"/>
  <c r="K1091" i="1" s="1"/>
  <c r="H1091" i="1"/>
  <c r="L1090" i="1"/>
  <c r="J1090" i="1"/>
  <c r="I1090" i="1"/>
  <c r="K1090" i="1" s="1"/>
  <c r="H1090" i="1"/>
  <c r="L1089" i="1"/>
  <c r="J1089" i="1"/>
  <c r="I1089" i="1"/>
  <c r="K1089" i="1" s="1"/>
  <c r="H1089" i="1"/>
  <c r="L1088" i="1"/>
  <c r="J1088" i="1"/>
  <c r="I1088" i="1"/>
  <c r="K1088" i="1" s="1"/>
  <c r="H1088" i="1"/>
  <c r="L1087" i="1"/>
  <c r="J1087" i="1"/>
  <c r="I1087" i="1"/>
  <c r="K1087" i="1" s="1"/>
  <c r="H1087" i="1"/>
  <c r="L1086" i="1"/>
  <c r="J1086" i="1"/>
  <c r="I1086" i="1"/>
  <c r="K1086" i="1" s="1"/>
  <c r="H1086" i="1"/>
  <c r="L1085" i="1"/>
  <c r="J1085" i="1"/>
  <c r="I1085" i="1"/>
  <c r="K1085" i="1" s="1"/>
  <c r="H1085" i="1"/>
  <c r="L1084" i="1"/>
  <c r="J1084" i="1"/>
  <c r="I1084" i="1"/>
  <c r="K1084" i="1" s="1"/>
  <c r="H1084" i="1"/>
  <c r="L1083" i="1"/>
  <c r="J1083" i="1"/>
  <c r="I1083" i="1"/>
  <c r="K1083" i="1" s="1"/>
  <c r="H1083" i="1"/>
  <c r="L1082" i="1"/>
  <c r="J1082" i="1"/>
  <c r="I1082" i="1"/>
  <c r="K1082" i="1" s="1"/>
  <c r="H1082" i="1"/>
  <c r="L1081" i="1"/>
  <c r="J1081" i="1"/>
  <c r="I1081" i="1"/>
  <c r="K1081" i="1" s="1"/>
  <c r="H1081" i="1"/>
  <c r="L1080" i="1"/>
  <c r="J1080" i="1"/>
  <c r="I1080" i="1"/>
  <c r="K1080" i="1" s="1"/>
  <c r="H1080" i="1"/>
  <c r="L1079" i="1"/>
  <c r="J1079" i="1"/>
  <c r="I1079" i="1"/>
  <c r="K1079" i="1" s="1"/>
  <c r="H1079" i="1"/>
  <c r="L1078" i="1"/>
  <c r="J1078" i="1"/>
  <c r="I1078" i="1"/>
  <c r="K1078" i="1" s="1"/>
  <c r="H1078" i="1"/>
  <c r="L1077" i="1"/>
  <c r="J1077" i="1"/>
  <c r="I1077" i="1"/>
  <c r="K1077" i="1" s="1"/>
  <c r="H1077" i="1"/>
  <c r="L1076" i="1"/>
  <c r="J1076" i="1"/>
  <c r="I1076" i="1"/>
  <c r="K1076" i="1" s="1"/>
  <c r="H1076" i="1"/>
  <c r="L1075" i="1"/>
  <c r="J1075" i="1"/>
  <c r="I1075" i="1"/>
  <c r="K1075" i="1" s="1"/>
  <c r="H1075" i="1"/>
  <c r="L1074" i="1"/>
  <c r="J1074" i="1"/>
  <c r="I1074" i="1"/>
  <c r="K1074" i="1" s="1"/>
  <c r="H1074" i="1"/>
  <c r="L1073" i="1"/>
  <c r="J1073" i="1"/>
  <c r="I1073" i="1"/>
  <c r="K1073" i="1" s="1"/>
  <c r="H1073" i="1"/>
  <c r="L1072" i="1"/>
  <c r="J1072" i="1"/>
  <c r="I1072" i="1"/>
  <c r="K1072" i="1" s="1"/>
  <c r="H1072" i="1"/>
  <c r="L1071" i="1"/>
  <c r="J1071" i="1"/>
  <c r="I1071" i="1"/>
  <c r="K1071" i="1" s="1"/>
  <c r="H1071" i="1"/>
  <c r="L1070" i="1"/>
  <c r="J1070" i="1"/>
  <c r="I1070" i="1"/>
  <c r="K1070" i="1" s="1"/>
  <c r="H1070" i="1"/>
  <c r="L1069" i="1"/>
  <c r="J1069" i="1"/>
  <c r="I1069" i="1"/>
  <c r="K1069" i="1" s="1"/>
  <c r="H1069" i="1"/>
  <c r="L1068" i="1"/>
  <c r="J1068" i="1"/>
  <c r="I1068" i="1"/>
  <c r="K1068" i="1" s="1"/>
  <c r="H1068" i="1"/>
  <c r="L1067" i="1"/>
  <c r="J1067" i="1"/>
  <c r="I1067" i="1"/>
  <c r="K1067" i="1" s="1"/>
  <c r="H1067" i="1"/>
  <c r="L1066" i="1"/>
  <c r="J1066" i="1"/>
  <c r="I1066" i="1"/>
  <c r="K1066" i="1" s="1"/>
  <c r="H1066" i="1"/>
  <c r="L1065" i="1"/>
  <c r="J1065" i="1"/>
  <c r="I1065" i="1"/>
  <c r="K1065" i="1" s="1"/>
  <c r="H1065" i="1"/>
  <c r="L1064" i="1"/>
  <c r="J1064" i="1"/>
  <c r="I1064" i="1"/>
  <c r="K1064" i="1" s="1"/>
  <c r="H1064" i="1"/>
  <c r="L1063" i="1"/>
  <c r="J1063" i="1"/>
  <c r="I1063" i="1"/>
  <c r="K1063" i="1" s="1"/>
  <c r="H1063" i="1"/>
  <c r="L1062" i="1"/>
  <c r="J1062" i="1"/>
  <c r="I1062" i="1"/>
  <c r="K1062" i="1" s="1"/>
  <c r="H1062" i="1"/>
  <c r="L1061" i="1"/>
  <c r="J1061" i="1"/>
  <c r="I1061" i="1"/>
  <c r="K1061" i="1" s="1"/>
  <c r="H1061" i="1"/>
  <c r="L1060" i="1"/>
  <c r="J1060" i="1"/>
  <c r="I1060" i="1"/>
  <c r="K1060" i="1" s="1"/>
  <c r="H1060" i="1"/>
  <c r="L1059" i="1"/>
  <c r="J1059" i="1"/>
  <c r="I1059" i="1"/>
  <c r="K1059" i="1" s="1"/>
  <c r="H1059" i="1"/>
  <c r="L1058" i="1"/>
  <c r="J1058" i="1"/>
  <c r="I1058" i="1"/>
  <c r="K1058" i="1" s="1"/>
  <c r="H1058" i="1"/>
  <c r="L1057" i="1"/>
  <c r="J1057" i="1"/>
  <c r="I1057" i="1"/>
  <c r="K1057" i="1" s="1"/>
  <c r="H1057" i="1"/>
  <c r="L1056" i="1"/>
  <c r="J1056" i="1"/>
  <c r="I1056" i="1"/>
  <c r="K1056" i="1" s="1"/>
  <c r="H1056" i="1"/>
  <c r="L1055" i="1"/>
  <c r="J1055" i="1"/>
  <c r="I1055" i="1"/>
  <c r="K1055" i="1" s="1"/>
  <c r="H1055" i="1"/>
  <c r="L1054" i="1"/>
  <c r="J1054" i="1"/>
  <c r="I1054" i="1"/>
  <c r="K1054" i="1" s="1"/>
  <c r="H1054" i="1"/>
  <c r="L1053" i="1"/>
  <c r="J1053" i="1"/>
  <c r="I1053" i="1"/>
  <c r="K1053" i="1" s="1"/>
  <c r="H1053" i="1"/>
  <c r="L1052" i="1"/>
  <c r="J1052" i="1"/>
  <c r="I1052" i="1"/>
  <c r="K1052" i="1" s="1"/>
  <c r="H1052" i="1"/>
  <c r="L1051" i="1"/>
  <c r="J1051" i="1"/>
  <c r="I1051" i="1"/>
  <c r="K1051" i="1" s="1"/>
  <c r="H1051" i="1"/>
  <c r="L1050" i="1"/>
  <c r="J1050" i="1"/>
  <c r="I1050" i="1"/>
  <c r="K1050" i="1" s="1"/>
  <c r="H1050" i="1"/>
  <c r="L1049" i="1"/>
  <c r="J1049" i="1"/>
  <c r="I1049" i="1"/>
  <c r="K1049" i="1" s="1"/>
  <c r="H1049" i="1"/>
  <c r="L1048" i="1"/>
  <c r="J1048" i="1"/>
  <c r="I1048" i="1"/>
  <c r="K1048" i="1" s="1"/>
  <c r="H1048" i="1"/>
  <c r="L1047" i="1"/>
  <c r="J1047" i="1"/>
  <c r="I1047" i="1"/>
  <c r="K1047" i="1" s="1"/>
  <c r="H1047" i="1"/>
  <c r="L1046" i="1"/>
  <c r="J1046" i="1"/>
  <c r="I1046" i="1"/>
  <c r="K1046" i="1" s="1"/>
  <c r="H1046" i="1"/>
  <c r="L1045" i="1"/>
  <c r="J1045" i="1"/>
  <c r="I1045" i="1"/>
  <c r="K1045" i="1" s="1"/>
  <c r="H1045" i="1"/>
  <c r="L1044" i="1"/>
  <c r="J1044" i="1"/>
  <c r="I1044" i="1"/>
  <c r="K1044" i="1" s="1"/>
  <c r="H1044" i="1"/>
  <c r="L1043" i="1"/>
  <c r="J1043" i="1"/>
  <c r="I1043" i="1"/>
  <c r="K1043" i="1" s="1"/>
  <c r="H1043" i="1"/>
  <c r="L1042" i="1"/>
  <c r="J1042" i="1"/>
  <c r="I1042" i="1"/>
  <c r="K1042" i="1" s="1"/>
  <c r="H1042" i="1"/>
  <c r="L1041" i="1"/>
  <c r="J1041" i="1"/>
  <c r="I1041" i="1"/>
  <c r="K1041" i="1" s="1"/>
  <c r="H1041" i="1"/>
  <c r="L1040" i="1"/>
  <c r="J1040" i="1"/>
  <c r="I1040" i="1"/>
  <c r="K1040" i="1" s="1"/>
  <c r="H1040" i="1"/>
  <c r="L1039" i="1"/>
  <c r="J1039" i="1"/>
  <c r="I1039" i="1"/>
  <c r="K1039" i="1" s="1"/>
  <c r="H1039" i="1"/>
  <c r="L1038" i="1"/>
  <c r="J1038" i="1"/>
  <c r="I1038" i="1"/>
  <c r="K1038" i="1" s="1"/>
  <c r="H1038" i="1"/>
  <c r="L1037" i="1"/>
  <c r="J1037" i="1"/>
  <c r="I1037" i="1"/>
  <c r="K1037" i="1" s="1"/>
  <c r="H1037" i="1"/>
  <c r="L1036" i="1"/>
  <c r="J1036" i="1"/>
  <c r="I1036" i="1"/>
  <c r="K1036" i="1" s="1"/>
  <c r="H1036" i="1"/>
  <c r="L1035" i="1"/>
  <c r="J1035" i="1"/>
  <c r="I1035" i="1"/>
  <c r="K1035" i="1" s="1"/>
  <c r="H1035" i="1"/>
  <c r="L1034" i="1"/>
  <c r="J1034" i="1"/>
  <c r="I1034" i="1"/>
  <c r="K1034" i="1" s="1"/>
  <c r="H1034" i="1"/>
  <c r="L1033" i="1"/>
  <c r="J1033" i="1"/>
  <c r="I1033" i="1"/>
  <c r="K1033" i="1" s="1"/>
  <c r="H1033" i="1"/>
  <c r="L1032" i="1"/>
  <c r="J1032" i="1"/>
  <c r="I1032" i="1"/>
  <c r="K1032" i="1" s="1"/>
  <c r="H1032" i="1"/>
  <c r="L1031" i="1"/>
  <c r="J1031" i="1"/>
  <c r="I1031" i="1"/>
  <c r="K1031" i="1" s="1"/>
  <c r="H1031" i="1"/>
  <c r="L1030" i="1"/>
  <c r="J1030" i="1"/>
  <c r="I1030" i="1"/>
  <c r="K1030" i="1" s="1"/>
  <c r="H1030" i="1"/>
  <c r="L1029" i="1"/>
  <c r="J1029" i="1"/>
  <c r="I1029" i="1"/>
  <c r="K1029" i="1" s="1"/>
  <c r="H1029" i="1"/>
  <c r="L1028" i="1"/>
  <c r="J1028" i="1"/>
  <c r="I1028" i="1"/>
  <c r="K1028" i="1" s="1"/>
  <c r="H1028" i="1"/>
  <c r="L1027" i="1"/>
  <c r="J1027" i="1"/>
  <c r="I1027" i="1"/>
  <c r="K1027" i="1" s="1"/>
  <c r="H1027" i="1"/>
  <c r="L1026" i="1"/>
  <c r="J1026" i="1"/>
  <c r="I1026" i="1"/>
  <c r="K1026" i="1" s="1"/>
  <c r="H1026" i="1"/>
  <c r="L1025" i="1"/>
  <c r="J1025" i="1"/>
  <c r="I1025" i="1"/>
  <c r="K1025" i="1" s="1"/>
  <c r="H1025" i="1"/>
  <c r="L1024" i="1"/>
  <c r="J1024" i="1"/>
  <c r="I1024" i="1"/>
  <c r="K1024" i="1" s="1"/>
  <c r="H1024" i="1"/>
  <c r="L1023" i="1"/>
  <c r="J1023" i="1"/>
  <c r="I1023" i="1"/>
  <c r="K1023" i="1" s="1"/>
  <c r="H1023" i="1"/>
  <c r="L1022" i="1"/>
  <c r="J1022" i="1"/>
  <c r="I1022" i="1"/>
  <c r="K1022" i="1" s="1"/>
  <c r="H1022" i="1"/>
  <c r="L1021" i="1"/>
  <c r="J1021" i="1"/>
  <c r="I1021" i="1"/>
  <c r="K1021" i="1" s="1"/>
  <c r="H1021" i="1"/>
  <c r="L1020" i="1"/>
  <c r="J1020" i="1"/>
  <c r="I1020" i="1"/>
  <c r="K1020" i="1" s="1"/>
  <c r="H1020" i="1"/>
  <c r="L1019" i="1"/>
  <c r="J1019" i="1"/>
  <c r="I1019" i="1"/>
  <c r="K1019" i="1" s="1"/>
  <c r="H1019" i="1"/>
  <c r="L1018" i="1"/>
  <c r="J1018" i="1"/>
  <c r="I1018" i="1"/>
  <c r="K1018" i="1" s="1"/>
  <c r="H1018" i="1"/>
  <c r="L1017" i="1"/>
  <c r="J1017" i="1"/>
  <c r="I1017" i="1"/>
  <c r="K1017" i="1" s="1"/>
  <c r="H1017" i="1"/>
  <c r="L1016" i="1"/>
  <c r="J1016" i="1"/>
  <c r="I1016" i="1"/>
  <c r="K1016" i="1" s="1"/>
  <c r="H1016" i="1"/>
  <c r="L1015" i="1"/>
  <c r="J1015" i="1"/>
  <c r="I1015" i="1"/>
  <c r="K1015" i="1" s="1"/>
  <c r="H1015" i="1"/>
  <c r="L1014" i="1"/>
  <c r="J1014" i="1"/>
  <c r="I1014" i="1"/>
  <c r="K1014" i="1" s="1"/>
  <c r="H1014" i="1"/>
  <c r="L1013" i="1"/>
  <c r="J1013" i="1"/>
  <c r="I1013" i="1"/>
  <c r="K1013" i="1" s="1"/>
  <c r="H1013" i="1"/>
  <c r="L1012" i="1"/>
  <c r="J1012" i="1"/>
  <c r="I1012" i="1"/>
  <c r="K1012" i="1" s="1"/>
  <c r="H1012" i="1"/>
  <c r="L1011" i="1"/>
  <c r="J1011" i="1"/>
  <c r="I1011" i="1"/>
  <c r="K1011" i="1" s="1"/>
  <c r="H1011" i="1"/>
  <c r="L1010" i="1"/>
  <c r="J1010" i="1"/>
  <c r="I1010" i="1"/>
  <c r="K1010" i="1" s="1"/>
  <c r="H1010" i="1"/>
  <c r="L1009" i="1"/>
  <c r="J1009" i="1"/>
  <c r="I1009" i="1"/>
  <c r="K1009" i="1" s="1"/>
  <c r="H1009" i="1"/>
  <c r="L1008" i="1"/>
  <c r="J1008" i="1"/>
  <c r="I1008" i="1"/>
  <c r="K1008" i="1" s="1"/>
  <c r="H1008" i="1"/>
  <c r="L1007" i="1"/>
  <c r="J1007" i="1"/>
  <c r="I1007" i="1"/>
  <c r="K1007" i="1" s="1"/>
  <c r="H1007" i="1"/>
  <c r="L1006" i="1"/>
  <c r="J1006" i="1"/>
  <c r="I1006" i="1"/>
  <c r="K1006" i="1" s="1"/>
  <c r="H1006" i="1"/>
  <c r="L1005" i="1"/>
  <c r="J1005" i="1"/>
  <c r="I1005" i="1"/>
  <c r="K1005" i="1" s="1"/>
  <c r="H1005" i="1"/>
  <c r="L1004" i="1"/>
  <c r="J1004" i="1"/>
  <c r="I1004" i="1"/>
  <c r="K1004" i="1" s="1"/>
  <c r="H1004" i="1"/>
  <c r="L1003" i="1"/>
  <c r="J1003" i="1"/>
  <c r="I1003" i="1"/>
  <c r="K1003" i="1" s="1"/>
  <c r="H1003" i="1"/>
  <c r="L1002" i="1"/>
  <c r="J1002" i="1"/>
  <c r="I1002" i="1"/>
  <c r="K1002" i="1" s="1"/>
  <c r="H1002" i="1"/>
  <c r="L1001" i="1"/>
  <c r="J1001" i="1"/>
  <c r="I1001" i="1"/>
  <c r="K1001" i="1" s="1"/>
  <c r="H1001" i="1"/>
  <c r="L1000" i="1"/>
  <c r="J1000" i="1"/>
  <c r="I1000" i="1"/>
  <c r="K1000" i="1" s="1"/>
  <c r="H1000" i="1"/>
  <c r="L999" i="1"/>
  <c r="J999" i="1"/>
  <c r="I999" i="1"/>
  <c r="K999" i="1" s="1"/>
  <c r="H999" i="1"/>
  <c r="L998" i="1"/>
  <c r="J998" i="1"/>
  <c r="I998" i="1"/>
  <c r="K998" i="1" s="1"/>
  <c r="H998" i="1"/>
  <c r="L997" i="1"/>
  <c r="J997" i="1"/>
  <c r="I997" i="1"/>
  <c r="K997" i="1" s="1"/>
  <c r="H997" i="1"/>
  <c r="L996" i="1"/>
  <c r="J996" i="1"/>
  <c r="I996" i="1"/>
  <c r="K996" i="1" s="1"/>
  <c r="H996" i="1"/>
  <c r="L995" i="1"/>
  <c r="J995" i="1"/>
  <c r="I995" i="1"/>
  <c r="K995" i="1" s="1"/>
  <c r="H995" i="1"/>
  <c r="L994" i="1"/>
  <c r="J994" i="1"/>
  <c r="I994" i="1"/>
  <c r="K994" i="1" s="1"/>
  <c r="H994" i="1"/>
  <c r="L993" i="1"/>
  <c r="J993" i="1"/>
  <c r="I993" i="1"/>
  <c r="K993" i="1" s="1"/>
  <c r="H993" i="1"/>
  <c r="L992" i="1"/>
  <c r="J992" i="1"/>
  <c r="I992" i="1"/>
  <c r="K992" i="1" s="1"/>
  <c r="H992" i="1"/>
  <c r="L991" i="1"/>
  <c r="J991" i="1"/>
  <c r="I991" i="1"/>
  <c r="K991" i="1" s="1"/>
  <c r="H991" i="1"/>
  <c r="L990" i="1"/>
  <c r="J990" i="1"/>
  <c r="I990" i="1"/>
  <c r="K990" i="1" s="1"/>
  <c r="H990" i="1"/>
  <c r="L989" i="1"/>
  <c r="J989" i="1"/>
  <c r="I989" i="1"/>
  <c r="K989" i="1" s="1"/>
  <c r="H989" i="1"/>
  <c r="L988" i="1"/>
  <c r="J988" i="1"/>
  <c r="I988" i="1"/>
  <c r="K988" i="1" s="1"/>
  <c r="H988" i="1"/>
  <c r="L987" i="1"/>
  <c r="J987" i="1"/>
  <c r="I987" i="1"/>
  <c r="K987" i="1" s="1"/>
  <c r="H987" i="1"/>
  <c r="L986" i="1"/>
  <c r="J986" i="1"/>
  <c r="I986" i="1"/>
  <c r="K986" i="1" s="1"/>
  <c r="H986" i="1"/>
  <c r="L985" i="1"/>
  <c r="J985" i="1"/>
  <c r="I985" i="1"/>
  <c r="K985" i="1" s="1"/>
  <c r="H985" i="1"/>
  <c r="L984" i="1"/>
  <c r="J984" i="1"/>
  <c r="I984" i="1"/>
  <c r="K984" i="1" s="1"/>
  <c r="H984" i="1"/>
  <c r="L983" i="1"/>
  <c r="J983" i="1"/>
  <c r="I983" i="1"/>
  <c r="K983" i="1" s="1"/>
  <c r="H983" i="1"/>
  <c r="L982" i="1"/>
  <c r="J982" i="1"/>
  <c r="I982" i="1"/>
  <c r="K982" i="1" s="1"/>
  <c r="H982" i="1"/>
  <c r="L981" i="1"/>
  <c r="J981" i="1"/>
  <c r="I981" i="1"/>
  <c r="K981" i="1" s="1"/>
  <c r="H981" i="1"/>
  <c r="L980" i="1"/>
  <c r="J980" i="1"/>
  <c r="I980" i="1"/>
  <c r="K980" i="1" s="1"/>
  <c r="H980" i="1"/>
  <c r="L979" i="1"/>
  <c r="J979" i="1"/>
  <c r="I979" i="1"/>
  <c r="K979" i="1" s="1"/>
  <c r="H979" i="1"/>
  <c r="L978" i="1"/>
  <c r="J978" i="1"/>
  <c r="I978" i="1"/>
  <c r="K978" i="1" s="1"/>
  <c r="H978" i="1"/>
  <c r="L977" i="1"/>
  <c r="J977" i="1"/>
  <c r="I977" i="1"/>
  <c r="K977" i="1" s="1"/>
  <c r="H977" i="1"/>
  <c r="L976" i="1"/>
  <c r="J976" i="1"/>
  <c r="I976" i="1"/>
  <c r="K976" i="1" s="1"/>
  <c r="H976" i="1"/>
  <c r="L975" i="1"/>
  <c r="J975" i="1"/>
  <c r="I975" i="1"/>
  <c r="K975" i="1" s="1"/>
  <c r="H975" i="1"/>
  <c r="L974" i="1"/>
  <c r="J974" i="1"/>
  <c r="I974" i="1"/>
  <c r="K974" i="1" s="1"/>
  <c r="H974" i="1"/>
  <c r="L973" i="1"/>
  <c r="J973" i="1"/>
  <c r="I973" i="1"/>
  <c r="K973" i="1" s="1"/>
  <c r="H973" i="1"/>
  <c r="L972" i="1"/>
  <c r="J972" i="1"/>
  <c r="I972" i="1"/>
  <c r="K972" i="1" s="1"/>
  <c r="H972" i="1"/>
  <c r="L971" i="1"/>
  <c r="J971" i="1"/>
  <c r="I971" i="1"/>
  <c r="K971" i="1" s="1"/>
  <c r="H971" i="1"/>
  <c r="L970" i="1"/>
  <c r="J970" i="1"/>
  <c r="I970" i="1"/>
  <c r="K970" i="1" s="1"/>
  <c r="H970" i="1"/>
  <c r="L969" i="1"/>
  <c r="J969" i="1"/>
  <c r="I969" i="1"/>
  <c r="K969" i="1" s="1"/>
  <c r="H969" i="1"/>
  <c r="L968" i="1"/>
  <c r="J968" i="1"/>
  <c r="I968" i="1"/>
  <c r="K968" i="1" s="1"/>
  <c r="H968" i="1"/>
  <c r="L967" i="1"/>
  <c r="J967" i="1"/>
  <c r="I967" i="1"/>
  <c r="K967" i="1" s="1"/>
  <c r="H967" i="1"/>
  <c r="L966" i="1"/>
  <c r="J966" i="1"/>
  <c r="I966" i="1"/>
  <c r="K966" i="1" s="1"/>
  <c r="H966" i="1"/>
  <c r="L965" i="1"/>
  <c r="J965" i="1"/>
  <c r="I965" i="1"/>
  <c r="K965" i="1" s="1"/>
  <c r="H965" i="1"/>
  <c r="L964" i="1"/>
  <c r="J964" i="1"/>
  <c r="I964" i="1"/>
  <c r="K964" i="1" s="1"/>
  <c r="H964" i="1"/>
  <c r="L963" i="1"/>
  <c r="J963" i="1"/>
  <c r="I963" i="1"/>
  <c r="K963" i="1" s="1"/>
  <c r="H963" i="1"/>
  <c r="L962" i="1"/>
  <c r="J962" i="1"/>
  <c r="I962" i="1"/>
  <c r="K962" i="1" s="1"/>
  <c r="H962" i="1"/>
  <c r="L961" i="1"/>
  <c r="J961" i="1"/>
  <c r="I961" i="1"/>
  <c r="K961" i="1" s="1"/>
  <c r="H961" i="1"/>
  <c r="L960" i="1"/>
  <c r="J960" i="1"/>
  <c r="I960" i="1"/>
  <c r="K960" i="1" s="1"/>
  <c r="H960" i="1"/>
  <c r="L959" i="1"/>
  <c r="J959" i="1"/>
  <c r="I959" i="1"/>
  <c r="K959" i="1" s="1"/>
  <c r="H959" i="1"/>
  <c r="L958" i="1"/>
  <c r="J958" i="1"/>
  <c r="I958" i="1"/>
  <c r="K958" i="1" s="1"/>
  <c r="H958" i="1"/>
  <c r="L957" i="1"/>
  <c r="J957" i="1"/>
  <c r="I957" i="1"/>
  <c r="K957" i="1" s="1"/>
  <c r="H957" i="1"/>
  <c r="L956" i="1"/>
  <c r="J956" i="1"/>
  <c r="I956" i="1"/>
  <c r="K956" i="1" s="1"/>
  <c r="H956" i="1"/>
  <c r="L955" i="1"/>
  <c r="J955" i="1"/>
  <c r="I955" i="1"/>
  <c r="K955" i="1" s="1"/>
  <c r="H955" i="1"/>
  <c r="L954" i="1"/>
  <c r="J954" i="1"/>
  <c r="I954" i="1"/>
  <c r="K954" i="1" s="1"/>
  <c r="H954" i="1"/>
  <c r="L953" i="1"/>
  <c r="J953" i="1"/>
  <c r="I953" i="1"/>
  <c r="K953" i="1" s="1"/>
  <c r="H953" i="1"/>
  <c r="L952" i="1"/>
  <c r="J952" i="1"/>
  <c r="I952" i="1"/>
  <c r="K952" i="1" s="1"/>
  <c r="H952" i="1"/>
  <c r="L951" i="1"/>
  <c r="J951" i="1"/>
  <c r="I951" i="1"/>
  <c r="K951" i="1" s="1"/>
  <c r="H951" i="1"/>
  <c r="L950" i="1"/>
  <c r="J950" i="1"/>
  <c r="I950" i="1"/>
  <c r="K950" i="1" s="1"/>
  <c r="H950" i="1"/>
  <c r="L949" i="1"/>
  <c r="J949" i="1"/>
  <c r="I949" i="1"/>
  <c r="K949" i="1" s="1"/>
  <c r="H949" i="1"/>
  <c r="L948" i="1"/>
  <c r="J948" i="1"/>
  <c r="I948" i="1"/>
  <c r="K948" i="1" s="1"/>
  <c r="H948" i="1"/>
  <c r="L947" i="1"/>
  <c r="J947" i="1"/>
  <c r="I947" i="1"/>
  <c r="K947" i="1" s="1"/>
  <c r="H947" i="1"/>
  <c r="L946" i="1"/>
  <c r="J946" i="1"/>
  <c r="I946" i="1"/>
  <c r="K946" i="1" s="1"/>
  <c r="H946" i="1"/>
  <c r="L945" i="1"/>
  <c r="J945" i="1"/>
  <c r="I945" i="1"/>
  <c r="K945" i="1" s="1"/>
  <c r="H945" i="1"/>
  <c r="L944" i="1"/>
  <c r="K944" i="1"/>
  <c r="J944" i="1"/>
  <c r="I944" i="1"/>
  <c r="H944" i="1"/>
  <c r="L943" i="1"/>
  <c r="J943" i="1"/>
  <c r="I943" i="1"/>
  <c r="K943" i="1" s="1"/>
  <c r="H943" i="1"/>
  <c r="L942" i="1"/>
  <c r="J942" i="1"/>
  <c r="I942" i="1"/>
  <c r="K942" i="1" s="1"/>
  <c r="H942" i="1"/>
  <c r="L941" i="1"/>
  <c r="J941" i="1"/>
  <c r="I941" i="1"/>
  <c r="K941" i="1" s="1"/>
  <c r="H941" i="1"/>
  <c r="L940" i="1"/>
  <c r="J940" i="1"/>
  <c r="I940" i="1"/>
  <c r="K940" i="1" s="1"/>
  <c r="H940" i="1"/>
  <c r="L939" i="1"/>
  <c r="J939" i="1"/>
  <c r="I939" i="1"/>
  <c r="K939" i="1" s="1"/>
  <c r="H939" i="1"/>
  <c r="L938" i="1"/>
  <c r="J938" i="1"/>
  <c r="I938" i="1"/>
  <c r="K938" i="1" s="1"/>
  <c r="H938" i="1"/>
  <c r="L937" i="1"/>
  <c r="J937" i="1"/>
  <c r="I937" i="1"/>
  <c r="K937" i="1" s="1"/>
  <c r="H937" i="1"/>
  <c r="L936" i="1"/>
  <c r="J936" i="1"/>
  <c r="I936" i="1"/>
  <c r="K936" i="1" s="1"/>
  <c r="H936" i="1"/>
  <c r="L935" i="1"/>
  <c r="J935" i="1"/>
  <c r="I935" i="1"/>
  <c r="K935" i="1" s="1"/>
  <c r="H935" i="1"/>
  <c r="L934" i="1"/>
  <c r="J934" i="1"/>
  <c r="I934" i="1"/>
  <c r="K934" i="1" s="1"/>
  <c r="H934" i="1"/>
  <c r="L933" i="1"/>
  <c r="J933" i="1"/>
  <c r="I933" i="1"/>
  <c r="K933" i="1" s="1"/>
  <c r="H933" i="1"/>
  <c r="L932" i="1"/>
  <c r="J932" i="1"/>
  <c r="I932" i="1"/>
  <c r="K932" i="1" s="1"/>
  <c r="H932" i="1"/>
  <c r="L931" i="1"/>
  <c r="J931" i="1"/>
  <c r="I931" i="1"/>
  <c r="K931" i="1" s="1"/>
  <c r="H931" i="1"/>
  <c r="L930" i="1"/>
  <c r="J930" i="1"/>
  <c r="I930" i="1"/>
  <c r="K930" i="1" s="1"/>
  <c r="H930" i="1"/>
  <c r="L929" i="1"/>
  <c r="J929" i="1"/>
  <c r="I929" i="1"/>
  <c r="K929" i="1" s="1"/>
  <c r="H929" i="1"/>
  <c r="L928" i="1"/>
  <c r="J928" i="1"/>
  <c r="I928" i="1"/>
  <c r="K928" i="1" s="1"/>
  <c r="H928" i="1"/>
  <c r="L927" i="1"/>
  <c r="K927" i="1"/>
  <c r="J927" i="1"/>
  <c r="I927" i="1"/>
  <c r="H927" i="1"/>
  <c r="L926" i="1"/>
  <c r="J926" i="1"/>
  <c r="I926" i="1"/>
  <c r="K926" i="1" s="1"/>
  <c r="H926" i="1"/>
  <c r="L925" i="1"/>
  <c r="J925" i="1"/>
  <c r="I925" i="1"/>
  <c r="K925" i="1" s="1"/>
  <c r="H925" i="1"/>
  <c r="L924" i="1"/>
  <c r="J924" i="1"/>
  <c r="I924" i="1"/>
  <c r="K924" i="1" s="1"/>
  <c r="H924" i="1"/>
  <c r="L923" i="1"/>
  <c r="J923" i="1"/>
  <c r="I923" i="1"/>
  <c r="K923" i="1" s="1"/>
  <c r="H923" i="1"/>
  <c r="L922" i="1"/>
  <c r="J922" i="1"/>
  <c r="I922" i="1"/>
  <c r="K922" i="1" s="1"/>
  <c r="H922" i="1"/>
  <c r="L921" i="1"/>
  <c r="J921" i="1"/>
  <c r="I921" i="1"/>
  <c r="K921" i="1" s="1"/>
  <c r="H921" i="1"/>
  <c r="L920" i="1"/>
  <c r="J920" i="1"/>
  <c r="I920" i="1"/>
  <c r="K920" i="1" s="1"/>
  <c r="H920" i="1"/>
  <c r="L919" i="1"/>
  <c r="J919" i="1"/>
  <c r="I919" i="1"/>
  <c r="K919" i="1" s="1"/>
  <c r="H919" i="1"/>
  <c r="L918" i="1"/>
  <c r="J918" i="1"/>
  <c r="I918" i="1"/>
  <c r="K918" i="1" s="1"/>
  <c r="H918" i="1"/>
  <c r="L917" i="1"/>
  <c r="J917" i="1"/>
  <c r="I917" i="1"/>
  <c r="K917" i="1" s="1"/>
  <c r="H917" i="1"/>
  <c r="L916" i="1"/>
  <c r="J916" i="1"/>
  <c r="I916" i="1"/>
  <c r="K916" i="1" s="1"/>
  <c r="H916" i="1"/>
  <c r="L915" i="1"/>
  <c r="J915" i="1"/>
  <c r="I915" i="1"/>
  <c r="K915" i="1" s="1"/>
  <c r="H915" i="1"/>
  <c r="L914" i="1"/>
  <c r="J914" i="1"/>
  <c r="I914" i="1"/>
  <c r="K914" i="1" s="1"/>
  <c r="H914" i="1"/>
  <c r="L913" i="1"/>
  <c r="J913" i="1"/>
  <c r="I913" i="1"/>
  <c r="K913" i="1" s="1"/>
  <c r="H913" i="1"/>
  <c r="L912" i="1"/>
  <c r="J912" i="1"/>
  <c r="I912" i="1"/>
  <c r="K912" i="1" s="1"/>
  <c r="H912" i="1"/>
  <c r="L911" i="1"/>
  <c r="J911" i="1"/>
  <c r="I911" i="1"/>
  <c r="K911" i="1" s="1"/>
  <c r="H911" i="1"/>
  <c r="L910" i="1"/>
  <c r="K910" i="1"/>
  <c r="J910" i="1"/>
  <c r="I910" i="1"/>
  <c r="H910" i="1"/>
  <c r="L909" i="1"/>
  <c r="J909" i="1"/>
  <c r="I909" i="1"/>
  <c r="K909" i="1" s="1"/>
  <c r="H909" i="1"/>
  <c r="L908" i="1"/>
  <c r="J908" i="1"/>
  <c r="I908" i="1"/>
  <c r="K908" i="1" s="1"/>
  <c r="H908" i="1"/>
  <c r="L907" i="1"/>
  <c r="J907" i="1"/>
  <c r="I907" i="1"/>
  <c r="K907" i="1" s="1"/>
  <c r="H907" i="1"/>
  <c r="L906" i="1"/>
  <c r="J906" i="1"/>
  <c r="I906" i="1"/>
  <c r="K906" i="1" s="1"/>
  <c r="H906" i="1"/>
  <c r="L905" i="1"/>
  <c r="J905" i="1"/>
  <c r="I905" i="1"/>
  <c r="K905" i="1" s="1"/>
  <c r="H905" i="1"/>
  <c r="L904" i="1"/>
  <c r="J904" i="1"/>
  <c r="I904" i="1"/>
  <c r="K904" i="1" s="1"/>
  <c r="H904" i="1"/>
  <c r="L903" i="1"/>
  <c r="J903" i="1"/>
  <c r="I903" i="1"/>
  <c r="K903" i="1" s="1"/>
  <c r="H903" i="1"/>
  <c r="L902" i="1"/>
  <c r="J902" i="1"/>
  <c r="I902" i="1"/>
  <c r="K902" i="1" s="1"/>
  <c r="H902" i="1"/>
  <c r="L901" i="1"/>
  <c r="J901" i="1"/>
  <c r="I901" i="1"/>
  <c r="K901" i="1" s="1"/>
  <c r="H901" i="1"/>
  <c r="L900" i="1"/>
  <c r="J900" i="1"/>
  <c r="I900" i="1"/>
  <c r="K900" i="1" s="1"/>
  <c r="H900" i="1"/>
  <c r="L899" i="1"/>
  <c r="J899" i="1"/>
  <c r="I899" i="1"/>
  <c r="K899" i="1" s="1"/>
  <c r="H899" i="1"/>
  <c r="L898" i="1"/>
  <c r="J898" i="1"/>
  <c r="I898" i="1"/>
  <c r="K898" i="1" s="1"/>
  <c r="H898" i="1"/>
  <c r="L897" i="1"/>
  <c r="J897" i="1"/>
  <c r="I897" i="1"/>
  <c r="K897" i="1" s="1"/>
  <c r="H897" i="1"/>
  <c r="L896" i="1"/>
  <c r="J896" i="1"/>
  <c r="I896" i="1"/>
  <c r="K896" i="1" s="1"/>
  <c r="H896" i="1"/>
  <c r="L895" i="1"/>
  <c r="J895" i="1"/>
  <c r="I895" i="1"/>
  <c r="K895" i="1" s="1"/>
  <c r="H895" i="1"/>
  <c r="L894" i="1"/>
  <c r="J894" i="1"/>
  <c r="I894" i="1"/>
  <c r="K894" i="1" s="1"/>
  <c r="H894" i="1"/>
  <c r="L893" i="1"/>
  <c r="J893" i="1"/>
  <c r="I893" i="1"/>
  <c r="K893" i="1" s="1"/>
  <c r="H893" i="1"/>
  <c r="L892" i="1"/>
  <c r="J892" i="1"/>
  <c r="I892" i="1"/>
  <c r="K892" i="1" s="1"/>
  <c r="H892" i="1"/>
  <c r="L891" i="1"/>
  <c r="J891" i="1"/>
  <c r="I891" i="1"/>
  <c r="K891" i="1" s="1"/>
  <c r="H891" i="1"/>
  <c r="L890" i="1"/>
  <c r="J890" i="1"/>
  <c r="I890" i="1"/>
  <c r="K890" i="1" s="1"/>
  <c r="H890" i="1"/>
  <c r="L889" i="1"/>
  <c r="J889" i="1"/>
  <c r="I889" i="1"/>
  <c r="K889" i="1" s="1"/>
  <c r="H889" i="1"/>
  <c r="L888" i="1"/>
  <c r="J888" i="1"/>
  <c r="I888" i="1"/>
  <c r="K888" i="1" s="1"/>
  <c r="H888" i="1"/>
  <c r="L887" i="1"/>
  <c r="J887" i="1"/>
  <c r="I887" i="1"/>
  <c r="K887" i="1" s="1"/>
  <c r="H887" i="1"/>
  <c r="L886" i="1"/>
  <c r="J886" i="1"/>
  <c r="I886" i="1"/>
  <c r="K886" i="1" s="1"/>
  <c r="H886" i="1"/>
  <c r="L885" i="1"/>
  <c r="J885" i="1"/>
  <c r="I885" i="1"/>
  <c r="K885" i="1" s="1"/>
  <c r="H885" i="1"/>
  <c r="L884" i="1"/>
  <c r="J884" i="1"/>
  <c r="I884" i="1"/>
  <c r="K884" i="1" s="1"/>
  <c r="H884" i="1"/>
  <c r="L883" i="1"/>
  <c r="J883" i="1"/>
  <c r="I883" i="1"/>
  <c r="K883" i="1" s="1"/>
  <c r="H883" i="1"/>
  <c r="L882" i="1"/>
  <c r="J882" i="1"/>
  <c r="I882" i="1"/>
  <c r="K882" i="1" s="1"/>
  <c r="H882" i="1"/>
  <c r="L881" i="1"/>
  <c r="J881" i="1"/>
  <c r="I881" i="1"/>
  <c r="K881" i="1" s="1"/>
  <c r="H881" i="1"/>
  <c r="L880" i="1"/>
  <c r="J880" i="1"/>
  <c r="I880" i="1"/>
  <c r="K880" i="1" s="1"/>
  <c r="H880" i="1"/>
  <c r="L879" i="1"/>
  <c r="J879" i="1"/>
  <c r="I879" i="1"/>
  <c r="K879" i="1" s="1"/>
  <c r="H879" i="1"/>
  <c r="L878" i="1"/>
  <c r="J878" i="1"/>
  <c r="K878" i="1" s="1"/>
  <c r="I878" i="1"/>
  <c r="H878" i="1"/>
  <c r="L877" i="1"/>
  <c r="J877" i="1"/>
  <c r="I877" i="1"/>
  <c r="K877" i="1" s="1"/>
  <c r="H877" i="1"/>
  <c r="L876" i="1"/>
  <c r="J876" i="1"/>
  <c r="I876" i="1"/>
  <c r="K876" i="1" s="1"/>
  <c r="H876" i="1"/>
  <c r="L875" i="1"/>
  <c r="J875" i="1"/>
  <c r="I875" i="1"/>
  <c r="K875" i="1" s="1"/>
  <c r="H875" i="1"/>
  <c r="L874" i="1"/>
  <c r="J874" i="1"/>
  <c r="I874" i="1"/>
  <c r="K874" i="1" s="1"/>
  <c r="H874" i="1"/>
  <c r="L873" i="1"/>
  <c r="J873" i="1"/>
  <c r="I873" i="1"/>
  <c r="K873" i="1" s="1"/>
  <c r="H873" i="1"/>
  <c r="L872" i="1"/>
  <c r="J872" i="1"/>
  <c r="I872" i="1"/>
  <c r="K872" i="1" s="1"/>
  <c r="H872" i="1"/>
  <c r="L871" i="1"/>
  <c r="J871" i="1"/>
  <c r="I871" i="1"/>
  <c r="K871" i="1" s="1"/>
  <c r="H871" i="1"/>
  <c r="L870" i="1"/>
  <c r="J870" i="1"/>
  <c r="I870" i="1"/>
  <c r="K870" i="1" s="1"/>
  <c r="H870" i="1"/>
  <c r="L869" i="1"/>
  <c r="J869" i="1"/>
  <c r="I869" i="1"/>
  <c r="K869" i="1" s="1"/>
  <c r="H869" i="1"/>
  <c r="L868" i="1"/>
  <c r="J868" i="1"/>
  <c r="I868" i="1"/>
  <c r="K868" i="1" s="1"/>
  <c r="H868" i="1"/>
  <c r="L867" i="1"/>
  <c r="J867" i="1"/>
  <c r="I867" i="1"/>
  <c r="K867" i="1" s="1"/>
  <c r="H867" i="1"/>
  <c r="L866" i="1"/>
  <c r="J866" i="1"/>
  <c r="I866" i="1"/>
  <c r="K866" i="1" s="1"/>
  <c r="H866" i="1"/>
  <c r="L865" i="1"/>
  <c r="J865" i="1"/>
  <c r="I865" i="1"/>
  <c r="K865" i="1" s="1"/>
  <c r="H865" i="1"/>
  <c r="L864" i="1"/>
  <c r="J864" i="1"/>
  <c r="I864" i="1"/>
  <c r="K864" i="1" s="1"/>
  <c r="H864" i="1"/>
  <c r="L863" i="1"/>
  <c r="J863" i="1"/>
  <c r="I863" i="1"/>
  <c r="K863" i="1" s="1"/>
  <c r="H863" i="1"/>
  <c r="L862" i="1"/>
  <c r="J862" i="1"/>
  <c r="I862" i="1"/>
  <c r="K862" i="1" s="1"/>
  <c r="H862" i="1"/>
  <c r="L861" i="1"/>
  <c r="J861" i="1"/>
  <c r="I861" i="1"/>
  <c r="K861" i="1" s="1"/>
  <c r="H861" i="1"/>
  <c r="L860" i="1"/>
  <c r="J860" i="1"/>
  <c r="I860" i="1"/>
  <c r="K860" i="1" s="1"/>
  <c r="H860" i="1"/>
  <c r="L859" i="1"/>
  <c r="J859" i="1"/>
  <c r="I859" i="1"/>
  <c r="K859" i="1" s="1"/>
  <c r="H859" i="1"/>
  <c r="L858" i="1"/>
  <c r="J858" i="1"/>
  <c r="I858" i="1"/>
  <c r="K858" i="1" s="1"/>
  <c r="H858" i="1"/>
  <c r="L857" i="1"/>
  <c r="J857" i="1"/>
  <c r="I857" i="1"/>
  <c r="K857" i="1" s="1"/>
  <c r="H857" i="1"/>
  <c r="L856" i="1"/>
  <c r="J856" i="1"/>
  <c r="I856" i="1"/>
  <c r="K856" i="1" s="1"/>
  <c r="H856" i="1"/>
  <c r="L855" i="1"/>
  <c r="J855" i="1"/>
  <c r="I855" i="1"/>
  <c r="K855" i="1" s="1"/>
  <c r="H855" i="1"/>
  <c r="L854" i="1"/>
  <c r="J854" i="1"/>
  <c r="I854" i="1"/>
  <c r="K854" i="1" s="1"/>
  <c r="H854" i="1"/>
  <c r="L853" i="1"/>
  <c r="J853" i="1"/>
  <c r="I853" i="1"/>
  <c r="K853" i="1" s="1"/>
  <c r="H853" i="1"/>
  <c r="L852" i="1"/>
  <c r="J852" i="1"/>
  <c r="I852" i="1"/>
  <c r="K852" i="1" s="1"/>
  <c r="H852" i="1"/>
  <c r="L851" i="1"/>
  <c r="J851" i="1"/>
  <c r="I851" i="1"/>
  <c r="K851" i="1" s="1"/>
  <c r="H851" i="1"/>
  <c r="L850" i="1"/>
  <c r="J850" i="1"/>
  <c r="I850" i="1"/>
  <c r="K850" i="1" s="1"/>
  <c r="H850" i="1"/>
  <c r="L849" i="1"/>
  <c r="J849" i="1"/>
  <c r="I849" i="1"/>
  <c r="K849" i="1" s="1"/>
  <c r="H849" i="1"/>
  <c r="L848" i="1"/>
  <c r="J848" i="1"/>
  <c r="I848" i="1"/>
  <c r="K848" i="1" s="1"/>
  <c r="H848" i="1"/>
  <c r="L847" i="1"/>
  <c r="J847" i="1"/>
  <c r="I847" i="1"/>
  <c r="K847" i="1" s="1"/>
  <c r="H847" i="1"/>
  <c r="L846" i="1"/>
  <c r="J846" i="1"/>
  <c r="I846" i="1"/>
  <c r="K846" i="1" s="1"/>
  <c r="H846" i="1"/>
  <c r="L845" i="1"/>
  <c r="J845" i="1"/>
  <c r="I845" i="1"/>
  <c r="K845" i="1" s="1"/>
  <c r="H845" i="1"/>
  <c r="L844" i="1"/>
  <c r="J844" i="1"/>
  <c r="I844" i="1"/>
  <c r="K844" i="1" s="1"/>
  <c r="H844" i="1"/>
  <c r="L843" i="1"/>
  <c r="J843" i="1"/>
  <c r="K843" i="1" s="1"/>
  <c r="I843" i="1"/>
  <c r="H843" i="1"/>
  <c r="L842" i="1"/>
  <c r="J842" i="1"/>
  <c r="I842" i="1"/>
  <c r="K842" i="1" s="1"/>
  <c r="H842" i="1"/>
  <c r="L841" i="1"/>
  <c r="J841" i="1"/>
  <c r="I841" i="1"/>
  <c r="K841" i="1" s="1"/>
  <c r="H841" i="1"/>
  <c r="L840" i="1"/>
  <c r="J840" i="1"/>
  <c r="I840" i="1"/>
  <c r="K840" i="1" s="1"/>
  <c r="H840" i="1"/>
  <c r="L839" i="1"/>
  <c r="J839" i="1"/>
  <c r="I839" i="1"/>
  <c r="K839" i="1" s="1"/>
  <c r="H839" i="1"/>
  <c r="L838" i="1"/>
  <c r="J838" i="1"/>
  <c r="I838" i="1"/>
  <c r="K838" i="1" s="1"/>
  <c r="H838" i="1"/>
  <c r="L837" i="1"/>
  <c r="J837" i="1"/>
  <c r="I837" i="1"/>
  <c r="K837" i="1" s="1"/>
  <c r="H837" i="1"/>
  <c r="L836" i="1"/>
  <c r="J836" i="1"/>
  <c r="I836" i="1"/>
  <c r="K836" i="1" s="1"/>
  <c r="H836" i="1"/>
  <c r="L835" i="1"/>
  <c r="J835" i="1"/>
  <c r="I835" i="1"/>
  <c r="K835" i="1" s="1"/>
  <c r="H835" i="1"/>
  <c r="L834" i="1"/>
  <c r="J834" i="1"/>
  <c r="I834" i="1"/>
  <c r="K834" i="1" s="1"/>
  <c r="H834" i="1"/>
  <c r="L833" i="1"/>
  <c r="J833" i="1"/>
  <c r="I833" i="1"/>
  <c r="K833" i="1" s="1"/>
  <c r="H833" i="1"/>
  <c r="L832" i="1"/>
  <c r="J832" i="1"/>
  <c r="I832" i="1"/>
  <c r="K832" i="1" s="1"/>
  <c r="H832" i="1"/>
  <c r="L831" i="1"/>
  <c r="J831" i="1"/>
  <c r="I831" i="1"/>
  <c r="K831" i="1" s="1"/>
  <c r="H831" i="1"/>
  <c r="L830" i="1"/>
  <c r="J830" i="1"/>
  <c r="I830" i="1"/>
  <c r="K830" i="1" s="1"/>
  <c r="H830" i="1"/>
  <c r="L829" i="1"/>
  <c r="J829" i="1"/>
  <c r="I829" i="1"/>
  <c r="K829" i="1" s="1"/>
  <c r="H829" i="1"/>
  <c r="L828" i="1"/>
  <c r="J828" i="1"/>
  <c r="I828" i="1"/>
  <c r="K828" i="1" s="1"/>
  <c r="H828" i="1"/>
  <c r="L827" i="1"/>
  <c r="J827" i="1"/>
  <c r="I827" i="1"/>
  <c r="K827" i="1" s="1"/>
  <c r="H827" i="1"/>
  <c r="L826" i="1"/>
  <c r="J826" i="1"/>
  <c r="I826" i="1"/>
  <c r="K826" i="1" s="1"/>
  <c r="H826" i="1"/>
  <c r="L825" i="1"/>
  <c r="J825" i="1"/>
  <c r="I825" i="1"/>
  <c r="K825" i="1" s="1"/>
  <c r="H825" i="1"/>
  <c r="L824" i="1"/>
  <c r="J824" i="1"/>
  <c r="I824" i="1"/>
  <c r="K824" i="1" s="1"/>
  <c r="H824" i="1"/>
  <c r="L823" i="1"/>
  <c r="J823" i="1"/>
  <c r="I823" i="1"/>
  <c r="K823" i="1" s="1"/>
  <c r="H823" i="1"/>
  <c r="L822" i="1"/>
  <c r="J822" i="1"/>
  <c r="I822" i="1"/>
  <c r="K822" i="1" s="1"/>
  <c r="H822" i="1"/>
  <c r="L821" i="1"/>
  <c r="J821" i="1"/>
  <c r="I821" i="1"/>
  <c r="K821" i="1" s="1"/>
  <c r="H821" i="1"/>
  <c r="L820" i="1"/>
  <c r="J820" i="1"/>
  <c r="I820" i="1"/>
  <c r="K820" i="1" s="1"/>
  <c r="H820" i="1"/>
  <c r="L819" i="1"/>
  <c r="J819" i="1"/>
  <c r="I819" i="1"/>
  <c r="K819" i="1" s="1"/>
  <c r="H819" i="1"/>
  <c r="L818" i="1"/>
  <c r="J818" i="1"/>
  <c r="I818" i="1"/>
  <c r="K818" i="1" s="1"/>
  <c r="H818" i="1"/>
  <c r="L817" i="1"/>
  <c r="J817" i="1"/>
  <c r="I817" i="1"/>
  <c r="K817" i="1" s="1"/>
  <c r="H817" i="1"/>
  <c r="L816" i="1"/>
  <c r="J816" i="1"/>
  <c r="I816" i="1"/>
  <c r="K816" i="1" s="1"/>
  <c r="H816" i="1"/>
  <c r="L815" i="1"/>
  <c r="J815" i="1"/>
  <c r="I815" i="1"/>
  <c r="K815" i="1" s="1"/>
  <c r="H815" i="1"/>
  <c r="L814" i="1"/>
  <c r="J814" i="1"/>
  <c r="I814" i="1"/>
  <c r="K814" i="1" s="1"/>
  <c r="H814" i="1"/>
  <c r="L813" i="1"/>
  <c r="J813" i="1"/>
  <c r="I813" i="1"/>
  <c r="K813" i="1" s="1"/>
  <c r="H813" i="1"/>
  <c r="L812" i="1"/>
  <c r="J812" i="1"/>
  <c r="I812" i="1"/>
  <c r="K812" i="1" s="1"/>
  <c r="H812" i="1"/>
  <c r="L811" i="1"/>
  <c r="K811" i="1"/>
  <c r="J811" i="1"/>
  <c r="I811" i="1"/>
  <c r="H811" i="1"/>
  <c r="L810" i="1"/>
  <c r="J810" i="1"/>
  <c r="I810" i="1"/>
  <c r="K810" i="1" s="1"/>
  <c r="H810" i="1"/>
  <c r="L809" i="1"/>
  <c r="J809" i="1"/>
  <c r="I809" i="1"/>
  <c r="K809" i="1" s="1"/>
  <c r="H809" i="1"/>
  <c r="L808" i="1"/>
  <c r="J808" i="1"/>
  <c r="I808" i="1"/>
  <c r="K808" i="1" s="1"/>
  <c r="H808" i="1"/>
  <c r="L807" i="1"/>
  <c r="J807" i="1"/>
  <c r="I807" i="1"/>
  <c r="K807" i="1" s="1"/>
  <c r="H807" i="1"/>
  <c r="L806" i="1"/>
  <c r="J806" i="1"/>
  <c r="I806" i="1"/>
  <c r="K806" i="1" s="1"/>
  <c r="H806" i="1"/>
  <c r="L805" i="1"/>
  <c r="J805" i="1"/>
  <c r="I805" i="1"/>
  <c r="K805" i="1" s="1"/>
  <c r="H805" i="1"/>
  <c r="L804" i="1"/>
  <c r="J804" i="1"/>
  <c r="I804" i="1"/>
  <c r="K804" i="1" s="1"/>
  <c r="H804" i="1"/>
  <c r="L803" i="1"/>
  <c r="J803" i="1"/>
  <c r="I803" i="1"/>
  <c r="K803" i="1" s="1"/>
  <c r="H803" i="1"/>
  <c r="L802" i="1"/>
  <c r="J802" i="1"/>
  <c r="I802" i="1"/>
  <c r="K802" i="1" s="1"/>
  <c r="H802" i="1"/>
  <c r="L801" i="1"/>
  <c r="J801" i="1"/>
  <c r="I801" i="1"/>
  <c r="K801" i="1" s="1"/>
  <c r="H801" i="1"/>
  <c r="L800" i="1"/>
  <c r="J800" i="1"/>
  <c r="I800" i="1"/>
  <c r="K800" i="1" s="1"/>
  <c r="H800" i="1"/>
  <c r="L799" i="1"/>
  <c r="J799" i="1"/>
  <c r="I799" i="1"/>
  <c r="K799" i="1" s="1"/>
  <c r="H799" i="1"/>
  <c r="L798" i="1"/>
  <c r="J798" i="1"/>
  <c r="I798" i="1"/>
  <c r="K798" i="1" s="1"/>
  <c r="H798" i="1"/>
  <c r="L797" i="1"/>
  <c r="J797" i="1"/>
  <c r="I797" i="1"/>
  <c r="K797" i="1" s="1"/>
  <c r="H797" i="1"/>
  <c r="L796" i="1"/>
  <c r="J796" i="1"/>
  <c r="I796" i="1"/>
  <c r="K796" i="1" s="1"/>
  <c r="H796" i="1"/>
  <c r="L795" i="1"/>
  <c r="J795" i="1"/>
  <c r="I795" i="1"/>
  <c r="K795" i="1" s="1"/>
  <c r="H795" i="1"/>
  <c r="L794" i="1"/>
  <c r="J794" i="1"/>
  <c r="I794" i="1"/>
  <c r="K794" i="1" s="1"/>
  <c r="H794" i="1"/>
  <c r="L793" i="1"/>
  <c r="J793" i="1"/>
  <c r="I793" i="1"/>
  <c r="K793" i="1" s="1"/>
  <c r="H793" i="1"/>
  <c r="L792" i="1"/>
  <c r="J792" i="1"/>
  <c r="I792" i="1"/>
  <c r="K792" i="1" s="1"/>
  <c r="H792" i="1"/>
  <c r="L791" i="1"/>
  <c r="J791" i="1"/>
  <c r="I791" i="1"/>
  <c r="K791" i="1" s="1"/>
  <c r="H791" i="1"/>
  <c r="L790" i="1"/>
  <c r="J790" i="1"/>
  <c r="I790" i="1"/>
  <c r="K790" i="1" s="1"/>
  <c r="H790" i="1"/>
  <c r="L789" i="1"/>
  <c r="J789" i="1"/>
  <c r="I789" i="1"/>
  <c r="K789" i="1" s="1"/>
  <c r="H789" i="1"/>
  <c r="L788" i="1"/>
  <c r="J788" i="1"/>
  <c r="I788" i="1"/>
  <c r="K788" i="1" s="1"/>
  <c r="H788" i="1"/>
  <c r="L787" i="1"/>
  <c r="J787" i="1"/>
  <c r="I787" i="1"/>
  <c r="K787" i="1" s="1"/>
  <c r="H787" i="1"/>
  <c r="L786" i="1"/>
  <c r="J786" i="1"/>
  <c r="I786" i="1"/>
  <c r="K786" i="1" s="1"/>
  <c r="H786" i="1"/>
  <c r="L785" i="1"/>
  <c r="J785" i="1"/>
  <c r="I785" i="1"/>
  <c r="K785" i="1" s="1"/>
  <c r="H785" i="1"/>
  <c r="L784" i="1"/>
  <c r="J784" i="1"/>
  <c r="I784" i="1"/>
  <c r="K784" i="1" s="1"/>
  <c r="H784" i="1"/>
  <c r="L783" i="1"/>
  <c r="J783" i="1"/>
  <c r="I783" i="1"/>
  <c r="K783" i="1" s="1"/>
  <c r="H783" i="1"/>
  <c r="L782" i="1"/>
  <c r="J782" i="1"/>
  <c r="I782" i="1"/>
  <c r="K782" i="1" s="1"/>
  <c r="H782" i="1"/>
  <c r="L781" i="1"/>
  <c r="J781" i="1"/>
  <c r="I781" i="1"/>
  <c r="K781" i="1" s="1"/>
  <c r="H781" i="1"/>
  <c r="L780" i="1"/>
  <c r="J780" i="1"/>
  <c r="I780" i="1"/>
  <c r="K780" i="1" s="1"/>
  <c r="H780" i="1"/>
  <c r="L779" i="1"/>
  <c r="J779" i="1"/>
  <c r="I779" i="1"/>
  <c r="K779" i="1" s="1"/>
  <c r="H779" i="1"/>
  <c r="L778" i="1"/>
  <c r="J778" i="1"/>
  <c r="I778" i="1"/>
  <c r="K778" i="1" s="1"/>
  <c r="H778" i="1"/>
  <c r="L777" i="1"/>
  <c r="J777" i="1"/>
  <c r="I777" i="1"/>
  <c r="K777" i="1" s="1"/>
  <c r="H777" i="1"/>
  <c r="L776" i="1"/>
  <c r="J776" i="1"/>
  <c r="I776" i="1"/>
  <c r="K776" i="1" s="1"/>
  <c r="H776" i="1"/>
  <c r="L775" i="1"/>
  <c r="J775" i="1"/>
  <c r="I775" i="1"/>
  <c r="K775" i="1" s="1"/>
  <c r="H775" i="1"/>
  <c r="L774" i="1"/>
  <c r="J774" i="1"/>
  <c r="I774" i="1"/>
  <c r="K774" i="1" s="1"/>
  <c r="H774" i="1"/>
  <c r="L773" i="1"/>
  <c r="J773" i="1"/>
  <c r="I773" i="1"/>
  <c r="K773" i="1" s="1"/>
  <c r="H773" i="1"/>
  <c r="L772" i="1"/>
  <c r="J772" i="1"/>
  <c r="I772" i="1"/>
  <c r="K772" i="1" s="1"/>
  <c r="H772" i="1"/>
  <c r="L771" i="1"/>
  <c r="J771" i="1"/>
  <c r="I771" i="1"/>
  <c r="K771" i="1" s="1"/>
  <c r="H771" i="1"/>
  <c r="L770" i="1"/>
  <c r="J770" i="1"/>
  <c r="I770" i="1"/>
  <c r="K770" i="1" s="1"/>
  <c r="H770" i="1"/>
  <c r="L769" i="1"/>
  <c r="J769" i="1"/>
  <c r="I769" i="1"/>
  <c r="K769" i="1" s="1"/>
  <c r="H769" i="1"/>
  <c r="L768" i="1"/>
  <c r="J768" i="1"/>
  <c r="I768" i="1"/>
  <c r="K768" i="1" s="1"/>
  <c r="H768" i="1"/>
  <c r="L767" i="1"/>
  <c r="J767" i="1"/>
  <c r="I767" i="1"/>
  <c r="K767" i="1" s="1"/>
  <c r="H767" i="1"/>
  <c r="L766" i="1"/>
  <c r="J766" i="1"/>
  <c r="I766" i="1"/>
  <c r="K766" i="1" s="1"/>
  <c r="H766" i="1"/>
  <c r="L765" i="1"/>
  <c r="J765" i="1"/>
  <c r="I765" i="1"/>
  <c r="K765" i="1" s="1"/>
  <c r="H765" i="1"/>
  <c r="L764" i="1"/>
  <c r="J764" i="1"/>
  <c r="I764" i="1"/>
  <c r="K764" i="1" s="1"/>
  <c r="H764" i="1"/>
  <c r="L763" i="1"/>
  <c r="J763" i="1"/>
  <c r="I763" i="1"/>
  <c r="K763" i="1" s="1"/>
  <c r="H763" i="1"/>
  <c r="L762" i="1"/>
  <c r="J762" i="1"/>
  <c r="I762" i="1"/>
  <c r="K762" i="1" s="1"/>
  <c r="H762" i="1"/>
  <c r="L761" i="1"/>
  <c r="J761" i="1"/>
  <c r="I761" i="1"/>
  <c r="K761" i="1" s="1"/>
  <c r="H761" i="1"/>
  <c r="L760" i="1"/>
  <c r="J760" i="1"/>
  <c r="I760" i="1"/>
  <c r="K760" i="1" s="1"/>
  <c r="H760" i="1"/>
  <c r="L759" i="1"/>
  <c r="J759" i="1"/>
  <c r="I759" i="1"/>
  <c r="K759" i="1" s="1"/>
  <c r="H759" i="1"/>
  <c r="L758" i="1"/>
  <c r="J758" i="1"/>
  <c r="I758" i="1"/>
  <c r="K758" i="1" s="1"/>
  <c r="H758" i="1"/>
  <c r="L757" i="1"/>
  <c r="J757" i="1"/>
  <c r="I757" i="1"/>
  <c r="K757" i="1" s="1"/>
  <c r="H757" i="1"/>
  <c r="L756" i="1"/>
  <c r="J756" i="1"/>
  <c r="I756" i="1"/>
  <c r="K756" i="1" s="1"/>
  <c r="H756" i="1"/>
  <c r="L755" i="1"/>
  <c r="J755" i="1"/>
  <c r="I755" i="1"/>
  <c r="K755" i="1" s="1"/>
  <c r="H755" i="1"/>
  <c r="L754" i="1"/>
  <c r="J754" i="1"/>
  <c r="I754" i="1"/>
  <c r="K754" i="1" s="1"/>
  <c r="H754" i="1"/>
  <c r="L753" i="1"/>
  <c r="J753" i="1"/>
  <c r="I753" i="1"/>
  <c r="K753" i="1" s="1"/>
  <c r="H753" i="1"/>
  <c r="L752" i="1"/>
  <c r="J752" i="1"/>
  <c r="I752" i="1"/>
  <c r="K752" i="1" s="1"/>
  <c r="H752" i="1"/>
  <c r="L751" i="1"/>
  <c r="J751" i="1"/>
  <c r="I751" i="1"/>
  <c r="K751" i="1" s="1"/>
  <c r="H751" i="1"/>
  <c r="L750" i="1"/>
  <c r="J750" i="1"/>
  <c r="I750" i="1"/>
  <c r="K750" i="1" s="1"/>
  <c r="H750" i="1"/>
  <c r="L749" i="1"/>
  <c r="J749" i="1"/>
  <c r="I749" i="1"/>
  <c r="K749" i="1" s="1"/>
  <c r="H749" i="1"/>
  <c r="L748" i="1"/>
  <c r="J748" i="1"/>
  <c r="I748" i="1"/>
  <c r="K748" i="1" s="1"/>
  <c r="H748" i="1"/>
  <c r="L747" i="1"/>
  <c r="J747" i="1"/>
  <c r="I747" i="1"/>
  <c r="K747" i="1" s="1"/>
  <c r="H747" i="1"/>
  <c r="L746" i="1"/>
  <c r="J746" i="1"/>
  <c r="I746" i="1"/>
  <c r="K746" i="1" s="1"/>
  <c r="H746" i="1"/>
  <c r="L745" i="1"/>
  <c r="J745" i="1"/>
  <c r="I745" i="1"/>
  <c r="K745" i="1" s="1"/>
  <c r="H745" i="1"/>
  <c r="L744" i="1"/>
  <c r="J744" i="1"/>
  <c r="I744" i="1"/>
  <c r="K744" i="1" s="1"/>
  <c r="H744" i="1"/>
  <c r="L743" i="1"/>
  <c r="J743" i="1"/>
  <c r="I743" i="1"/>
  <c r="K743" i="1" s="1"/>
  <c r="H743" i="1"/>
  <c r="L742" i="1"/>
  <c r="J742" i="1"/>
  <c r="I742" i="1"/>
  <c r="K742" i="1" s="1"/>
  <c r="H742" i="1"/>
  <c r="L741" i="1"/>
  <c r="J741" i="1"/>
  <c r="I741" i="1"/>
  <c r="K741" i="1" s="1"/>
  <c r="H741" i="1"/>
  <c r="L740" i="1"/>
  <c r="J740" i="1"/>
  <c r="I740" i="1"/>
  <c r="K740" i="1" s="1"/>
  <c r="H740" i="1"/>
  <c r="L739" i="1"/>
  <c r="J739" i="1"/>
  <c r="I739" i="1"/>
  <c r="K739" i="1" s="1"/>
  <c r="H739" i="1"/>
  <c r="L738" i="1"/>
  <c r="J738" i="1"/>
  <c r="I738" i="1"/>
  <c r="K738" i="1" s="1"/>
  <c r="H738" i="1"/>
  <c r="L737" i="1"/>
  <c r="J737" i="1"/>
  <c r="I737" i="1"/>
  <c r="K737" i="1" s="1"/>
  <c r="H737" i="1"/>
  <c r="L736" i="1"/>
  <c r="J736" i="1"/>
  <c r="I736" i="1"/>
  <c r="K736" i="1" s="1"/>
  <c r="H736" i="1"/>
  <c r="L735" i="1"/>
  <c r="J735" i="1"/>
  <c r="I735" i="1"/>
  <c r="K735" i="1" s="1"/>
  <c r="H735" i="1"/>
  <c r="L734" i="1"/>
  <c r="J734" i="1"/>
  <c r="I734" i="1"/>
  <c r="K734" i="1" s="1"/>
  <c r="H734" i="1"/>
  <c r="L733" i="1"/>
  <c r="J733" i="1"/>
  <c r="I733" i="1"/>
  <c r="K733" i="1" s="1"/>
  <c r="H733" i="1"/>
  <c r="L732" i="1"/>
  <c r="J732" i="1"/>
  <c r="I732" i="1"/>
  <c r="K732" i="1" s="1"/>
  <c r="H732" i="1"/>
  <c r="L731" i="1"/>
  <c r="J731" i="1"/>
  <c r="I731" i="1"/>
  <c r="K731" i="1" s="1"/>
  <c r="H731" i="1"/>
  <c r="L730" i="1"/>
  <c r="J730" i="1"/>
  <c r="I730" i="1"/>
  <c r="K730" i="1" s="1"/>
  <c r="H730" i="1"/>
  <c r="L729" i="1"/>
  <c r="J729" i="1"/>
  <c r="I729" i="1"/>
  <c r="K729" i="1" s="1"/>
  <c r="H729" i="1"/>
  <c r="L728" i="1"/>
  <c r="J728" i="1"/>
  <c r="I728" i="1"/>
  <c r="K728" i="1" s="1"/>
  <c r="H728" i="1"/>
  <c r="L727" i="1"/>
  <c r="J727" i="1"/>
  <c r="I727" i="1"/>
  <c r="K727" i="1" s="1"/>
  <c r="H727" i="1"/>
  <c r="L726" i="1"/>
  <c r="J726" i="1"/>
  <c r="I726" i="1"/>
  <c r="K726" i="1" s="1"/>
  <c r="H726" i="1"/>
  <c r="L725" i="1"/>
  <c r="J725" i="1"/>
  <c r="I725" i="1"/>
  <c r="K725" i="1" s="1"/>
  <c r="H725" i="1"/>
  <c r="L724" i="1"/>
  <c r="J724" i="1"/>
  <c r="I724" i="1"/>
  <c r="K724" i="1" s="1"/>
  <c r="H724" i="1"/>
  <c r="L723" i="1"/>
  <c r="J723" i="1"/>
  <c r="I723" i="1"/>
  <c r="K723" i="1" s="1"/>
  <c r="H723" i="1"/>
  <c r="L722" i="1"/>
  <c r="J722" i="1"/>
  <c r="I722" i="1"/>
  <c r="K722" i="1" s="1"/>
  <c r="H722" i="1"/>
  <c r="L721" i="1"/>
  <c r="J721" i="1"/>
  <c r="I721" i="1"/>
  <c r="K721" i="1" s="1"/>
  <c r="H721" i="1"/>
  <c r="L720" i="1"/>
  <c r="J720" i="1"/>
  <c r="I720" i="1"/>
  <c r="K720" i="1" s="1"/>
  <c r="H720" i="1"/>
  <c r="L719" i="1"/>
  <c r="J719" i="1"/>
  <c r="I719" i="1"/>
  <c r="K719" i="1" s="1"/>
  <c r="H719" i="1"/>
  <c r="L718" i="1"/>
  <c r="J718" i="1"/>
  <c r="I718" i="1"/>
  <c r="K718" i="1" s="1"/>
  <c r="H718" i="1"/>
  <c r="L717" i="1"/>
  <c r="J717" i="1"/>
  <c r="I717" i="1"/>
  <c r="K717" i="1" s="1"/>
  <c r="H717" i="1"/>
  <c r="L716" i="1"/>
  <c r="J716" i="1"/>
  <c r="I716" i="1"/>
  <c r="K716" i="1" s="1"/>
  <c r="H716" i="1"/>
  <c r="L715" i="1"/>
  <c r="J715" i="1"/>
  <c r="I715" i="1"/>
  <c r="K715" i="1" s="1"/>
  <c r="H715" i="1"/>
  <c r="L714" i="1"/>
  <c r="J714" i="1"/>
  <c r="I714" i="1"/>
  <c r="K714" i="1" s="1"/>
  <c r="H714" i="1"/>
  <c r="L713" i="1"/>
  <c r="J713" i="1"/>
  <c r="I713" i="1"/>
  <c r="K713" i="1" s="1"/>
  <c r="H713" i="1"/>
  <c r="L712" i="1"/>
  <c r="J712" i="1"/>
  <c r="I712" i="1"/>
  <c r="K712" i="1" s="1"/>
  <c r="H712" i="1"/>
  <c r="L711" i="1"/>
  <c r="J711" i="1"/>
  <c r="I711" i="1"/>
  <c r="K711" i="1" s="1"/>
  <c r="H711" i="1"/>
  <c r="L710" i="1"/>
  <c r="J710" i="1"/>
  <c r="I710" i="1"/>
  <c r="K710" i="1" s="1"/>
  <c r="H710" i="1"/>
  <c r="L709" i="1"/>
  <c r="J709" i="1"/>
  <c r="I709" i="1"/>
  <c r="K709" i="1" s="1"/>
  <c r="H709" i="1"/>
  <c r="L708" i="1"/>
  <c r="J708" i="1"/>
  <c r="I708" i="1"/>
  <c r="K708" i="1" s="1"/>
  <c r="H708" i="1"/>
  <c r="L707" i="1"/>
  <c r="J707" i="1"/>
  <c r="I707" i="1"/>
  <c r="K707" i="1" s="1"/>
  <c r="H707" i="1"/>
  <c r="L706" i="1"/>
  <c r="J706" i="1"/>
  <c r="I706" i="1"/>
  <c r="K706" i="1" s="1"/>
  <c r="H706" i="1"/>
  <c r="L705" i="1"/>
  <c r="J705" i="1"/>
  <c r="I705" i="1"/>
  <c r="K705" i="1" s="1"/>
  <c r="H705" i="1"/>
  <c r="L704" i="1"/>
  <c r="J704" i="1"/>
  <c r="I704" i="1"/>
  <c r="K704" i="1" s="1"/>
  <c r="H704" i="1"/>
  <c r="L703" i="1"/>
  <c r="J703" i="1"/>
  <c r="I703" i="1"/>
  <c r="K703" i="1" s="1"/>
  <c r="H703" i="1"/>
  <c r="L702" i="1"/>
  <c r="J702" i="1"/>
  <c r="I702" i="1"/>
  <c r="K702" i="1" s="1"/>
  <c r="H702" i="1"/>
  <c r="L701" i="1"/>
  <c r="J701" i="1"/>
  <c r="I701" i="1"/>
  <c r="K701" i="1" s="1"/>
  <c r="H701" i="1"/>
  <c r="L700" i="1"/>
  <c r="J700" i="1"/>
  <c r="I700" i="1"/>
  <c r="K700" i="1" s="1"/>
  <c r="H700" i="1"/>
  <c r="L699" i="1"/>
  <c r="J699" i="1"/>
  <c r="I699" i="1"/>
  <c r="K699" i="1" s="1"/>
  <c r="H699" i="1"/>
  <c r="L698" i="1"/>
  <c r="J698" i="1"/>
  <c r="I698" i="1"/>
  <c r="K698" i="1" s="1"/>
  <c r="H698" i="1"/>
  <c r="L697" i="1"/>
  <c r="J697" i="1"/>
  <c r="I697" i="1"/>
  <c r="K697" i="1" s="1"/>
  <c r="H697" i="1"/>
  <c r="L696" i="1"/>
  <c r="J696" i="1"/>
  <c r="I696" i="1"/>
  <c r="K696" i="1" s="1"/>
  <c r="H696" i="1"/>
  <c r="L695" i="1"/>
  <c r="J695" i="1"/>
  <c r="I695" i="1"/>
  <c r="K695" i="1" s="1"/>
  <c r="H695" i="1"/>
  <c r="L694" i="1"/>
  <c r="J694" i="1"/>
  <c r="I694" i="1"/>
  <c r="K694" i="1" s="1"/>
  <c r="H694" i="1"/>
  <c r="L693" i="1"/>
  <c r="J693" i="1"/>
  <c r="I693" i="1"/>
  <c r="K693" i="1" s="1"/>
  <c r="H693" i="1"/>
  <c r="L692" i="1"/>
  <c r="J692" i="1"/>
  <c r="I692" i="1"/>
  <c r="K692" i="1" s="1"/>
  <c r="H692" i="1"/>
  <c r="L691" i="1"/>
  <c r="J691" i="1"/>
  <c r="I691" i="1"/>
  <c r="K691" i="1" s="1"/>
  <c r="H691" i="1"/>
  <c r="L690" i="1"/>
  <c r="J690" i="1"/>
  <c r="I690" i="1"/>
  <c r="K690" i="1" s="1"/>
  <c r="H690" i="1"/>
  <c r="L689" i="1"/>
  <c r="J689" i="1"/>
  <c r="I689" i="1"/>
  <c r="K689" i="1" s="1"/>
  <c r="H689" i="1"/>
  <c r="L688" i="1"/>
  <c r="J688" i="1"/>
  <c r="I688" i="1"/>
  <c r="K688" i="1" s="1"/>
  <c r="H688" i="1"/>
  <c r="L687" i="1"/>
  <c r="J687" i="1"/>
  <c r="I687" i="1"/>
  <c r="K687" i="1" s="1"/>
  <c r="H687" i="1"/>
  <c r="L686" i="1"/>
  <c r="J686" i="1"/>
  <c r="I686" i="1"/>
  <c r="K686" i="1" s="1"/>
  <c r="H686" i="1"/>
  <c r="L685" i="1"/>
  <c r="J685" i="1"/>
  <c r="I685" i="1"/>
  <c r="K685" i="1" s="1"/>
  <c r="H685" i="1"/>
  <c r="L684" i="1"/>
  <c r="J684" i="1"/>
  <c r="I684" i="1"/>
  <c r="K684" i="1" s="1"/>
  <c r="H684" i="1"/>
  <c r="L683" i="1"/>
  <c r="J683" i="1"/>
  <c r="I683" i="1"/>
  <c r="K683" i="1" s="1"/>
  <c r="H683" i="1"/>
  <c r="L682" i="1"/>
  <c r="J682" i="1"/>
  <c r="I682" i="1"/>
  <c r="K682" i="1" s="1"/>
  <c r="H682" i="1"/>
  <c r="L681" i="1"/>
  <c r="J681" i="1"/>
  <c r="I681" i="1"/>
  <c r="K681" i="1" s="1"/>
  <c r="H681" i="1"/>
  <c r="L680" i="1"/>
  <c r="J680" i="1"/>
  <c r="I680" i="1"/>
  <c r="K680" i="1" s="1"/>
  <c r="H680" i="1"/>
  <c r="L679" i="1"/>
  <c r="J679" i="1"/>
  <c r="I679" i="1"/>
  <c r="K679" i="1" s="1"/>
  <c r="H679" i="1"/>
  <c r="L678" i="1"/>
  <c r="J678" i="1"/>
  <c r="I678" i="1"/>
  <c r="K678" i="1" s="1"/>
  <c r="H678" i="1"/>
  <c r="L677" i="1"/>
  <c r="J677" i="1"/>
  <c r="I677" i="1"/>
  <c r="K677" i="1" s="1"/>
  <c r="H677" i="1"/>
  <c r="L676" i="1"/>
  <c r="J676" i="1"/>
  <c r="I676" i="1"/>
  <c r="K676" i="1" s="1"/>
  <c r="H676" i="1"/>
  <c r="L675" i="1"/>
  <c r="J675" i="1"/>
  <c r="I675" i="1"/>
  <c r="K675" i="1" s="1"/>
  <c r="H675" i="1"/>
  <c r="L674" i="1"/>
  <c r="J674" i="1"/>
  <c r="I674" i="1"/>
  <c r="K674" i="1" s="1"/>
  <c r="H674" i="1"/>
  <c r="L673" i="1"/>
  <c r="J673" i="1"/>
  <c r="I673" i="1"/>
  <c r="K673" i="1" s="1"/>
  <c r="H673" i="1"/>
  <c r="L672" i="1"/>
  <c r="J672" i="1"/>
  <c r="I672" i="1"/>
  <c r="K672" i="1" s="1"/>
  <c r="H672" i="1"/>
  <c r="L671" i="1"/>
  <c r="J671" i="1"/>
  <c r="I671" i="1"/>
  <c r="K671" i="1" s="1"/>
  <c r="H671" i="1"/>
  <c r="L670" i="1"/>
  <c r="J670" i="1"/>
  <c r="I670" i="1"/>
  <c r="K670" i="1" s="1"/>
  <c r="H670" i="1"/>
  <c r="L669" i="1"/>
  <c r="J669" i="1"/>
  <c r="I669" i="1"/>
  <c r="K669" i="1" s="1"/>
  <c r="H669" i="1"/>
  <c r="L668" i="1"/>
  <c r="J668" i="1"/>
  <c r="I668" i="1"/>
  <c r="K668" i="1" s="1"/>
  <c r="H668" i="1"/>
  <c r="L667" i="1"/>
  <c r="J667" i="1"/>
  <c r="I667" i="1"/>
  <c r="K667" i="1" s="1"/>
  <c r="H667" i="1"/>
  <c r="L666" i="1"/>
  <c r="J666" i="1"/>
  <c r="I666" i="1"/>
  <c r="K666" i="1" s="1"/>
  <c r="H666" i="1"/>
  <c r="L665" i="1"/>
  <c r="J665" i="1"/>
  <c r="I665" i="1"/>
  <c r="K665" i="1" s="1"/>
  <c r="H665" i="1"/>
  <c r="L664" i="1"/>
  <c r="J664" i="1"/>
  <c r="I664" i="1"/>
  <c r="K664" i="1" s="1"/>
  <c r="H664" i="1"/>
  <c r="L663" i="1"/>
  <c r="J663" i="1"/>
  <c r="I663" i="1"/>
  <c r="K663" i="1" s="1"/>
  <c r="H663" i="1"/>
  <c r="L662" i="1"/>
  <c r="J662" i="1"/>
  <c r="I662" i="1"/>
  <c r="K662" i="1" s="1"/>
  <c r="H662" i="1"/>
  <c r="L661" i="1"/>
  <c r="J661" i="1"/>
  <c r="I661" i="1"/>
  <c r="K661" i="1" s="1"/>
  <c r="H661" i="1"/>
  <c r="L660" i="1"/>
  <c r="J660" i="1"/>
  <c r="I660" i="1"/>
  <c r="K660" i="1" s="1"/>
  <c r="H660" i="1"/>
  <c r="L659" i="1"/>
  <c r="J659" i="1"/>
  <c r="I659" i="1"/>
  <c r="K659" i="1" s="1"/>
  <c r="H659" i="1"/>
  <c r="L658" i="1"/>
  <c r="J658" i="1"/>
  <c r="I658" i="1"/>
  <c r="K658" i="1" s="1"/>
  <c r="H658" i="1"/>
  <c r="L657" i="1"/>
  <c r="J657" i="1"/>
  <c r="I657" i="1"/>
  <c r="K657" i="1" s="1"/>
  <c r="H657" i="1"/>
  <c r="L656" i="1"/>
  <c r="J656" i="1"/>
  <c r="I656" i="1"/>
  <c r="K656" i="1" s="1"/>
  <c r="H656" i="1"/>
  <c r="L655" i="1"/>
  <c r="J655" i="1"/>
  <c r="I655" i="1"/>
  <c r="K655" i="1" s="1"/>
  <c r="H655" i="1"/>
  <c r="L654" i="1"/>
  <c r="J654" i="1"/>
  <c r="I654" i="1"/>
  <c r="K654" i="1" s="1"/>
  <c r="H654" i="1"/>
  <c r="L653" i="1"/>
  <c r="J653" i="1"/>
  <c r="I653" i="1"/>
  <c r="K653" i="1" s="1"/>
  <c r="H653" i="1"/>
  <c r="L652" i="1"/>
  <c r="J652" i="1"/>
  <c r="I652" i="1"/>
  <c r="K652" i="1" s="1"/>
  <c r="H652" i="1"/>
  <c r="L651" i="1"/>
  <c r="J651" i="1"/>
  <c r="I651" i="1"/>
  <c r="K651" i="1" s="1"/>
  <c r="H651" i="1"/>
  <c r="L650" i="1"/>
  <c r="J650" i="1"/>
  <c r="I650" i="1"/>
  <c r="K650" i="1" s="1"/>
  <c r="H650" i="1"/>
  <c r="L649" i="1"/>
  <c r="J649" i="1"/>
  <c r="I649" i="1"/>
  <c r="K649" i="1" s="1"/>
  <c r="H649" i="1"/>
  <c r="L648" i="1"/>
  <c r="J648" i="1"/>
  <c r="I648" i="1"/>
  <c r="K648" i="1" s="1"/>
  <c r="H648" i="1"/>
  <c r="L647" i="1"/>
  <c r="J647" i="1"/>
  <c r="I647" i="1"/>
  <c r="K647" i="1" s="1"/>
  <c r="H647" i="1"/>
  <c r="L646" i="1"/>
  <c r="J646" i="1"/>
  <c r="I646" i="1"/>
  <c r="K646" i="1" s="1"/>
  <c r="H646" i="1"/>
  <c r="L645" i="1"/>
  <c r="J645" i="1"/>
  <c r="I645" i="1"/>
  <c r="K645" i="1" s="1"/>
  <c r="H645" i="1"/>
  <c r="L644" i="1"/>
  <c r="J644" i="1"/>
  <c r="I644" i="1"/>
  <c r="K644" i="1" s="1"/>
  <c r="H644" i="1"/>
  <c r="L643" i="1"/>
  <c r="J643" i="1"/>
  <c r="I643" i="1"/>
  <c r="K643" i="1" s="1"/>
  <c r="H643" i="1"/>
  <c r="L642" i="1"/>
  <c r="J642" i="1"/>
  <c r="I642" i="1"/>
  <c r="K642" i="1" s="1"/>
  <c r="H642" i="1"/>
  <c r="L641" i="1"/>
  <c r="J641" i="1"/>
  <c r="I641" i="1"/>
  <c r="K641" i="1" s="1"/>
  <c r="H641" i="1"/>
  <c r="L640" i="1"/>
  <c r="J640" i="1"/>
  <c r="I640" i="1"/>
  <c r="K640" i="1" s="1"/>
  <c r="H640" i="1"/>
  <c r="L639" i="1"/>
  <c r="J639" i="1"/>
  <c r="I639" i="1"/>
  <c r="K639" i="1" s="1"/>
  <c r="H639" i="1"/>
  <c r="L638" i="1"/>
  <c r="J638" i="1"/>
  <c r="I638" i="1"/>
  <c r="K638" i="1" s="1"/>
  <c r="H638" i="1"/>
  <c r="L637" i="1"/>
  <c r="J637" i="1"/>
  <c r="I637" i="1"/>
  <c r="K637" i="1" s="1"/>
  <c r="H637" i="1"/>
  <c r="L636" i="1"/>
  <c r="J636" i="1"/>
  <c r="I636" i="1"/>
  <c r="K636" i="1" s="1"/>
  <c r="H636" i="1"/>
  <c r="L635" i="1"/>
  <c r="J635" i="1"/>
  <c r="I635" i="1"/>
  <c r="K635" i="1" s="1"/>
  <c r="H635" i="1"/>
  <c r="L634" i="1"/>
  <c r="J634" i="1"/>
  <c r="I634" i="1"/>
  <c r="K634" i="1" s="1"/>
  <c r="H634" i="1"/>
  <c r="L633" i="1"/>
  <c r="J633" i="1"/>
  <c r="I633" i="1"/>
  <c r="K633" i="1" s="1"/>
  <c r="H633" i="1"/>
  <c r="L632" i="1"/>
  <c r="J632" i="1"/>
  <c r="I632" i="1"/>
  <c r="K632" i="1" s="1"/>
  <c r="H632" i="1"/>
  <c r="L631" i="1"/>
  <c r="J631" i="1"/>
  <c r="I631" i="1"/>
  <c r="K631" i="1" s="1"/>
  <c r="H631" i="1"/>
  <c r="L630" i="1"/>
  <c r="J630" i="1"/>
  <c r="I630" i="1"/>
  <c r="K630" i="1" s="1"/>
  <c r="H630" i="1"/>
  <c r="L629" i="1"/>
  <c r="J629" i="1"/>
  <c r="I629" i="1"/>
  <c r="K629" i="1" s="1"/>
  <c r="H629" i="1"/>
  <c r="L628" i="1"/>
  <c r="J628" i="1"/>
  <c r="I628" i="1"/>
  <c r="K628" i="1" s="1"/>
  <c r="H628" i="1"/>
  <c r="L627" i="1"/>
  <c r="J627" i="1"/>
  <c r="I627" i="1"/>
  <c r="K627" i="1" s="1"/>
  <c r="H627" i="1"/>
  <c r="L626" i="1"/>
  <c r="J626" i="1"/>
  <c r="I626" i="1"/>
  <c r="K626" i="1" s="1"/>
  <c r="H626" i="1"/>
  <c r="L625" i="1"/>
  <c r="J625" i="1"/>
  <c r="I625" i="1"/>
  <c r="K625" i="1" s="1"/>
  <c r="H625" i="1"/>
  <c r="L624" i="1"/>
  <c r="J624" i="1"/>
  <c r="I624" i="1"/>
  <c r="K624" i="1" s="1"/>
  <c r="H624" i="1"/>
  <c r="L623" i="1"/>
  <c r="J623" i="1"/>
  <c r="I623" i="1"/>
  <c r="K623" i="1" s="1"/>
  <c r="H623" i="1"/>
  <c r="L622" i="1"/>
  <c r="J622" i="1"/>
  <c r="I622" i="1"/>
  <c r="K622" i="1" s="1"/>
  <c r="H622" i="1"/>
  <c r="L621" i="1"/>
  <c r="J621" i="1"/>
  <c r="I621" i="1"/>
  <c r="K621" i="1" s="1"/>
  <c r="H621" i="1"/>
  <c r="L620" i="1"/>
  <c r="J620" i="1"/>
  <c r="I620" i="1"/>
  <c r="K620" i="1" s="1"/>
  <c r="H620" i="1"/>
  <c r="L619" i="1"/>
  <c r="J619" i="1"/>
  <c r="I619" i="1"/>
  <c r="K619" i="1" s="1"/>
  <c r="H619" i="1"/>
  <c r="L618" i="1"/>
  <c r="J618" i="1"/>
  <c r="I618" i="1"/>
  <c r="K618" i="1" s="1"/>
  <c r="H618" i="1"/>
  <c r="L617" i="1"/>
  <c r="J617" i="1"/>
  <c r="I617" i="1"/>
  <c r="K617" i="1" s="1"/>
  <c r="H617" i="1"/>
  <c r="L616" i="1"/>
  <c r="J616" i="1"/>
  <c r="I616" i="1"/>
  <c r="K616" i="1" s="1"/>
  <c r="H616" i="1"/>
  <c r="L615" i="1"/>
  <c r="J615" i="1"/>
  <c r="I615" i="1"/>
  <c r="K615" i="1" s="1"/>
  <c r="H615" i="1"/>
  <c r="L614" i="1"/>
  <c r="J614" i="1"/>
  <c r="I614" i="1"/>
  <c r="K614" i="1" s="1"/>
  <c r="H614" i="1"/>
  <c r="L613" i="1"/>
  <c r="J613" i="1"/>
  <c r="I613" i="1"/>
  <c r="K613" i="1" s="1"/>
  <c r="H613" i="1"/>
  <c r="L612" i="1"/>
  <c r="J612" i="1"/>
  <c r="I612" i="1"/>
  <c r="K612" i="1" s="1"/>
  <c r="H612" i="1"/>
  <c r="L611" i="1"/>
  <c r="J611" i="1"/>
  <c r="I611" i="1"/>
  <c r="K611" i="1" s="1"/>
  <c r="H611" i="1"/>
  <c r="L610" i="1"/>
  <c r="J610" i="1"/>
  <c r="I610" i="1"/>
  <c r="K610" i="1" s="1"/>
  <c r="H610" i="1"/>
  <c r="L609" i="1"/>
  <c r="J609" i="1"/>
  <c r="I609" i="1"/>
  <c r="K609" i="1" s="1"/>
  <c r="H609" i="1"/>
  <c r="L608" i="1"/>
  <c r="J608" i="1"/>
  <c r="K608" i="1" s="1"/>
  <c r="I608" i="1"/>
  <c r="H608" i="1"/>
  <c r="L607" i="1"/>
  <c r="J607" i="1"/>
  <c r="I607" i="1"/>
  <c r="K607" i="1" s="1"/>
  <c r="H607" i="1"/>
  <c r="L606" i="1"/>
  <c r="J606" i="1"/>
  <c r="I606" i="1"/>
  <c r="K606" i="1" s="1"/>
  <c r="H606" i="1"/>
  <c r="L605" i="1"/>
  <c r="J605" i="1"/>
  <c r="I605" i="1"/>
  <c r="K605" i="1" s="1"/>
  <c r="H605" i="1"/>
  <c r="L604" i="1"/>
  <c r="J604" i="1"/>
  <c r="I604" i="1"/>
  <c r="K604" i="1" s="1"/>
  <c r="H604" i="1"/>
  <c r="L603" i="1"/>
  <c r="J603" i="1"/>
  <c r="I603" i="1"/>
  <c r="K603" i="1" s="1"/>
  <c r="H603" i="1"/>
  <c r="L602" i="1"/>
  <c r="J602" i="1"/>
  <c r="I602" i="1"/>
  <c r="K602" i="1" s="1"/>
  <c r="H602" i="1"/>
  <c r="L601" i="1"/>
  <c r="J601" i="1"/>
  <c r="I601" i="1"/>
  <c r="K601" i="1" s="1"/>
  <c r="H601" i="1"/>
  <c r="L600" i="1"/>
  <c r="J600" i="1"/>
  <c r="I600" i="1"/>
  <c r="K600" i="1" s="1"/>
  <c r="H600" i="1"/>
  <c r="L599" i="1"/>
  <c r="J599" i="1"/>
  <c r="I599" i="1"/>
  <c r="K599" i="1" s="1"/>
  <c r="H599" i="1"/>
  <c r="L598" i="1"/>
  <c r="J598" i="1"/>
  <c r="I598" i="1"/>
  <c r="K598" i="1" s="1"/>
  <c r="H598" i="1"/>
  <c r="L597" i="1"/>
  <c r="J597" i="1"/>
  <c r="I597" i="1"/>
  <c r="K597" i="1" s="1"/>
  <c r="H597" i="1"/>
  <c r="L596" i="1"/>
  <c r="J596" i="1"/>
  <c r="I596" i="1"/>
  <c r="K596" i="1" s="1"/>
  <c r="H596" i="1"/>
  <c r="L595" i="1"/>
  <c r="J595" i="1"/>
  <c r="I595" i="1"/>
  <c r="K595" i="1" s="1"/>
  <c r="H595" i="1"/>
  <c r="L594" i="1"/>
  <c r="J594" i="1"/>
  <c r="I594" i="1"/>
  <c r="K594" i="1" s="1"/>
  <c r="H594" i="1"/>
  <c r="L593" i="1"/>
  <c r="J593" i="1"/>
  <c r="I593" i="1"/>
  <c r="K593" i="1" s="1"/>
  <c r="H593" i="1"/>
  <c r="L592" i="1"/>
  <c r="J592" i="1"/>
  <c r="I592" i="1"/>
  <c r="K592" i="1" s="1"/>
  <c r="H592" i="1"/>
  <c r="L591" i="1"/>
  <c r="J591" i="1"/>
  <c r="I591" i="1"/>
  <c r="K591" i="1" s="1"/>
  <c r="H591" i="1"/>
  <c r="L590" i="1"/>
  <c r="J590" i="1"/>
  <c r="I590" i="1"/>
  <c r="K590" i="1" s="1"/>
  <c r="H590" i="1"/>
  <c r="L589" i="1"/>
  <c r="J589" i="1"/>
  <c r="I589" i="1"/>
  <c r="K589" i="1" s="1"/>
  <c r="H589" i="1"/>
  <c r="L588" i="1"/>
  <c r="J588" i="1"/>
  <c r="I588" i="1"/>
  <c r="K588" i="1" s="1"/>
  <c r="H588" i="1"/>
  <c r="L587" i="1"/>
  <c r="J587" i="1"/>
  <c r="I587" i="1"/>
  <c r="K587" i="1" s="1"/>
  <c r="H587" i="1"/>
  <c r="L586" i="1"/>
  <c r="J586" i="1"/>
  <c r="I586" i="1"/>
  <c r="K586" i="1" s="1"/>
  <c r="H586" i="1"/>
  <c r="L585" i="1"/>
  <c r="J585" i="1"/>
  <c r="I585" i="1"/>
  <c r="K585" i="1" s="1"/>
  <c r="H585" i="1"/>
  <c r="L584" i="1"/>
  <c r="J584" i="1"/>
  <c r="I584" i="1"/>
  <c r="K584" i="1" s="1"/>
  <c r="H584" i="1"/>
  <c r="L583" i="1"/>
  <c r="J583" i="1"/>
  <c r="I583" i="1"/>
  <c r="K583" i="1" s="1"/>
  <c r="H583" i="1"/>
  <c r="L582" i="1"/>
  <c r="J582" i="1"/>
  <c r="I582" i="1"/>
  <c r="K582" i="1" s="1"/>
  <c r="H582" i="1"/>
  <c r="L581" i="1"/>
  <c r="J581" i="1"/>
  <c r="I581" i="1"/>
  <c r="K581" i="1" s="1"/>
  <c r="H581" i="1"/>
  <c r="L580" i="1"/>
  <c r="J580" i="1"/>
  <c r="I580" i="1"/>
  <c r="K580" i="1" s="1"/>
  <c r="H580" i="1"/>
  <c r="L579" i="1"/>
  <c r="J579" i="1"/>
  <c r="I579" i="1"/>
  <c r="K579" i="1" s="1"/>
  <c r="H579" i="1"/>
  <c r="L578" i="1"/>
  <c r="J578" i="1"/>
  <c r="I578" i="1"/>
  <c r="K578" i="1" s="1"/>
  <c r="H578" i="1"/>
  <c r="L577" i="1"/>
  <c r="J577" i="1"/>
  <c r="I577" i="1"/>
  <c r="K577" i="1" s="1"/>
  <c r="H577" i="1"/>
  <c r="L576" i="1"/>
  <c r="J576" i="1"/>
  <c r="I576" i="1"/>
  <c r="K576" i="1" s="1"/>
  <c r="H576" i="1"/>
  <c r="L575" i="1"/>
  <c r="J575" i="1"/>
  <c r="I575" i="1"/>
  <c r="K575" i="1" s="1"/>
  <c r="H575" i="1"/>
  <c r="L574" i="1"/>
  <c r="J574" i="1"/>
  <c r="I574" i="1"/>
  <c r="K574" i="1" s="1"/>
  <c r="H574" i="1"/>
  <c r="L573" i="1"/>
  <c r="J573" i="1"/>
  <c r="I573" i="1"/>
  <c r="K573" i="1" s="1"/>
  <c r="H573" i="1"/>
  <c r="L572" i="1"/>
  <c r="J572" i="1"/>
  <c r="I572" i="1"/>
  <c r="K572" i="1" s="1"/>
  <c r="H572" i="1"/>
  <c r="L571" i="1"/>
  <c r="J571" i="1"/>
  <c r="I571" i="1"/>
  <c r="K571" i="1" s="1"/>
  <c r="H571" i="1"/>
  <c r="L570" i="1"/>
  <c r="J570" i="1"/>
  <c r="I570" i="1"/>
  <c r="K570" i="1" s="1"/>
  <c r="H570" i="1"/>
  <c r="L569" i="1"/>
  <c r="J569" i="1"/>
  <c r="I569" i="1"/>
  <c r="K569" i="1" s="1"/>
  <c r="H569" i="1"/>
  <c r="L568" i="1"/>
  <c r="J568" i="1"/>
  <c r="I568" i="1"/>
  <c r="K568" i="1" s="1"/>
  <c r="H568" i="1"/>
  <c r="L567" i="1"/>
  <c r="J567" i="1"/>
  <c r="I567" i="1"/>
  <c r="K567" i="1" s="1"/>
  <c r="H567" i="1"/>
  <c r="L566" i="1"/>
  <c r="J566" i="1"/>
  <c r="I566" i="1"/>
  <c r="K566" i="1" s="1"/>
  <c r="H566" i="1"/>
  <c r="L565" i="1"/>
  <c r="J565" i="1"/>
  <c r="I565" i="1"/>
  <c r="K565" i="1" s="1"/>
  <c r="H565" i="1"/>
  <c r="L564" i="1"/>
  <c r="J564" i="1"/>
  <c r="I564" i="1"/>
  <c r="K564" i="1" s="1"/>
  <c r="H564" i="1"/>
  <c r="L563" i="1"/>
  <c r="J563" i="1"/>
  <c r="I563" i="1"/>
  <c r="K563" i="1" s="1"/>
  <c r="H563" i="1"/>
  <c r="L562" i="1"/>
  <c r="J562" i="1"/>
  <c r="I562" i="1"/>
  <c r="K562" i="1" s="1"/>
  <c r="H562" i="1"/>
  <c r="L561" i="1"/>
  <c r="J561" i="1"/>
  <c r="I561" i="1"/>
  <c r="K561" i="1" s="1"/>
  <c r="H561" i="1"/>
  <c r="L560" i="1"/>
  <c r="J560" i="1"/>
  <c r="K560" i="1" s="1"/>
  <c r="I560" i="1"/>
  <c r="H560" i="1"/>
  <c r="L559" i="1"/>
  <c r="J559" i="1"/>
  <c r="I559" i="1"/>
  <c r="K559" i="1" s="1"/>
  <c r="H559" i="1"/>
  <c r="L558" i="1"/>
  <c r="J558" i="1"/>
  <c r="I558" i="1"/>
  <c r="K558" i="1" s="1"/>
  <c r="H558" i="1"/>
  <c r="L557" i="1"/>
  <c r="J557" i="1"/>
  <c r="I557" i="1"/>
  <c r="K557" i="1" s="1"/>
  <c r="H557" i="1"/>
  <c r="L556" i="1"/>
  <c r="J556" i="1"/>
  <c r="I556" i="1"/>
  <c r="K556" i="1" s="1"/>
  <c r="H556" i="1"/>
  <c r="L555" i="1"/>
  <c r="J555" i="1"/>
  <c r="I555" i="1"/>
  <c r="K555" i="1" s="1"/>
  <c r="H555" i="1"/>
  <c r="L554" i="1"/>
  <c r="J554" i="1"/>
  <c r="I554" i="1"/>
  <c r="K554" i="1" s="1"/>
  <c r="H554" i="1"/>
  <c r="L553" i="1"/>
  <c r="J553" i="1"/>
  <c r="I553" i="1"/>
  <c r="K553" i="1" s="1"/>
  <c r="H553" i="1"/>
  <c r="L552" i="1"/>
  <c r="J552" i="1"/>
  <c r="I552" i="1"/>
  <c r="K552" i="1" s="1"/>
  <c r="H552" i="1"/>
  <c r="L551" i="1"/>
  <c r="J551" i="1"/>
  <c r="I551" i="1"/>
  <c r="K551" i="1" s="1"/>
  <c r="H551" i="1"/>
  <c r="L550" i="1"/>
  <c r="J550" i="1"/>
  <c r="I550" i="1"/>
  <c r="K550" i="1" s="1"/>
  <c r="H550" i="1"/>
  <c r="L549" i="1"/>
  <c r="J549" i="1"/>
  <c r="I549" i="1"/>
  <c r="K549" i="1" s="1"/>
  <c r="H549" i="1"/>
  <c r="L548" i="1"/>
  <c r="J548" i="1"/>
  <c r="I548" i="1"/>
  <c r="K548" i="1" s="1"/>
  <c r="H548" i="1"/>
  <c r="L547" i="1"/>
  <c r="J547" i="1"/>
  <c r="I547" i="1"/>
  <c r="K547" i="1" s="1"/>
  <c r="H547" i="1"/>
  <c r="L546" i="1"/>
  <c r="J546" i="1"/>
  <c r="I546" i="1"/>
  <c r="K546" i="1" s="1"/>
  <c r="H546" i="1"/>
  <c r="L545" i="1"/>
  <c r="J545" i="1"/>
  <c r="I545" i="1"/>
  <c r="K545" i="1" s="1"/>
  <c r="H545" i="1"/>
  <c r="L544" i="1"/>
  <c r="J544" i="1"/>
  <c r="I544" i="1"/>
  <c r="K544" i="1" s="1"/>
  <c r="H544" i="1"/>
  <c r="L543" i="1"/>
  <c r="J543" i="1"/>
  <c r="I543" i="1"/>
  <c r="K543" i="1" s="1"/>
  <c r="H543" i="1"/>
  <c r="L542" i="1"/>
  <c r="J542" i="1"/>
  <c r="I542" i="1"/>
  <c r="K542" i="1" s="1"/>
  <c r="H542" i="1"/>
  <c r="L541" i="1"/>
  <c r="J541" i="1"/>
  <c r="I541" i="1"/>
  <c r="K541" i="1" s="1"/>
  <c r="H541" i="1"/>
  <c r="L540" i="1"/>
  <c r="J540" i="1"/>
  <c r="I540" i="1"/>
  <c r="K540" i="1" s="1"/>
  <c r="H540" i="1"/>
  <c r="L539" i="1"/>
  <c r="J539" i="1"/>
  <c r="I539" i="1"/>
  <c r="K539" i="1" s="1"/>
  <c r="H539" i="1"/>
  <c r="L538" i="1"/>
  <c r="J538" i="1"/>
  <c r="I538" i="1"/>
  <c r="K538" i="1" s="1"/>
  <c r="H538" i="1"/>
  <c r="L537" i="1"/>
  <c r="J537" i="1"/>
  <c r="I537" i="1"/>
  <c r="K537" i="1" s="1"/>
  <c r="H537" i="1"/>
  <c r="L536" i="1"/>
  <c r="J536" i="1"/>
  <c r="I536" i="1"/>
  <c r="K536" i="1" s="1"/>
  <c r="H536" i="1"/>
  <c r="L535" i="1"/>
  <c r="J535" i="1"/>
  <c r="I535" i="1"/>
  <c r="K535" i="1" s="1"/>
  <c r="H535" i="1"/>
  <c r="L534" i="1"/>
  <c r="J534" i="1"/>
  <c r="I534" i="1"/>
  <c r="K534" i="1" s="1"/>
  <c r="H534" i="1"/>
  <c r="L533" i="1"/>
  <c r="J533" i="1"/>
  <c r="I533" i="1"/>
  <c r="K533" i="1" s="1"/>
  <c r="H533" i="1"/>
  <c r="L532" i="1"/>
  <c r="J532" i="1"/>
  <c r="I532" i="1"/>
  <c r="K532" i="1" s="1"/>
  <c r="H532" i="1"/>
  <c r="L531" i="1"/>
  <c r="J531" i="1"/>
  <c r="I531" i="1"/>
  <c r="K531" i="1" s="1"/>
  <c r="H531" i="1"/>
  <c r="L530" i="1"/>
  <c r="J530" i="1"/>
  <c r="I530" i="1"/>
  <c r="K530" i="1" s="1"/>
  <c r="H530" i="1"/>
  <c r="L529" i="1"/>
  <c r="J529" i="1"/>
  <c r="I529" i="1"/>
  <c r="K529" i="1" s="1"/>
  <c r="H529" i="1"/>
  <c r="L528" i="1"/>
  <c r="J528" i="1"/>
  <c r="I528" i="1"/>
  <c r="K528" i="1" s="1"/>
  <c r="H528" i="1"/>
  <c r="L527" i="1"/>
  <c r="J527" i="1"/>
  <c r="I527" i="1"/>
  <c r="K527" i="1" s="1"/>
  <c r="H527" i="1"/>
  <c r="L526" i="1"/>
  <c r="J526" i="1"/>
  <c r="I526" i="1"/>
  <c r="K526" i="1" s="1"/>
  <c r="H526" i="1"/>
  <c r="L525" i="1"/>
  <c r="J525" i="1"/>
  <c r="I525" i="1"/>
  <c r="K525" i="1" s="1"/>
  <c r="H525" i="1"/>
  <c r="L524" i="1"/>
  <c r="J524" i="1"/>
  <c r="I524" i="1"/>
  <c r="K524" i="1" s="1"/>
  <c r="H524" i="1"/>
  <c r="L523" i="1"/>
  <c r="J523" i="1"/>
  <c r="I523" i="1"/>
  <c r="K523" i="1" s="1"/>
  <c r="H523" i="1"/>
  <c r="L522" i="1"/>
  <c r="J522" i="1"/>
  <c r="I522" i="1"/>
  <c r="K522" i="1" s="1"/>
  <c r="H522" i="1"/>
  <c r="L521" i="1"/>
  <c r="J521" i="1"/>
  <c r="I521" i="1"/>
  <c r="K521" i="1" s="1"/>
  <c r="H521" i="1"/>
  <c r="L520" i="1"/>
  <c r="J520" i="1"/>
  <c r="I520" i="1"/>
  <c r="K520" i="1" s="1"/>
  <c r="H520" i="1"/>
  <c r="L519" i="1"/>
  <c r="J519" i="1"/>
  <c r="I519" i="1"/>
  <c r="K519" i="1" s="1"/>
  <c r="H519" i="1"/>
  <c r="L518" i="1"/>
  <c r="J518" i="1"/>
  <c r="I518" i="1"/>
  <c r="K518" i="1" s="1"/>
  <c r="H518" i="1"/>
  <c r="L517" i="1"/>
  <c r="J517" i="1"/>
  <c r="I517" i="1"/>
  <c r="K517" i="1" s="1"/>
  <c r="H517" i="1"/>
  <c r="L516" i="1"/>
  <c r="J516" i="1"/>
  <c r="I516" i="1"/>
  <c r="K516" i="1" s="1"/>
  <c r="H516" i="1"/>
  <c r="L515" i="1"/>
  <c r="J515" i="1"/>
  <c r="I515" i="1"/>
  <c r="K515" i="1" s="1"/>
  <c r="H515" i="1"/>
  <c r="L514" i="1"/>
  <c r="J514" i="1"/>
  <c r="I514" i="1"/>
  <c r="K514" i="1" s="1"/>
  <c r="H514" i="1"/>
  <c r="L513" i="1"/>
  <c r="J513" i="1"/>
  <c r="I513" i="1"/>
  <c r="K513" i="1" s="1"/>
  <c r="H513" i="1"/>
  <c r="L512" i="1"/>
  <c r="J512" i="1"/>
  <c r="I512" i="1"/>
  <c r="K512" i="1" s="1"/>
  <c r="H512" i="1"/>
  <c r="L511" i="1"/>
  <c r="J511" i="1"/>
  <c r="I511" i="1"/>
  <c r="K511" i="1" s="1"/>
  <c r="H511" i="1"/>
  <c r="L510" i="1"/>
  <c r="J510" i="1"/>
  <c r="I510" i="1"/>
  <c r="K510" i="1" s="1"/>
  <c r="H510" i="1"/>
  <c r="L509" i="1"/>
  <c r="J509" i="1"/>
  <c r="I509" i="1"/>
  <c r="K509" i="1" s="1"/>
  <c r="H509" i="1"/>
  <c r="L508" i="1"/>
  <c r="J508" i="1"/>
  <c r="I508" i="1"/>
  <c r="K508" i="1" s="1"/>
  <c r="H508" i="1"/>
  <c r="L507" i="1"/>
  <c r="J507" i="1"/>
  <c r="I507" i="1"/>
  <c r="K507" i="1" s="1"/>
  <c r="H507" i="1"/>
  <c r="L506" i="1"/>
  <c r="J506" i="1"/>
  <c r="I506" i="1"/>
  <c r="K506" i="1" s="1"/>
  <c r="H506" i="1"/>
  <c r="L505" i="1"/>
  <c r="J505" i="1"/>
  <c r="I505" i="1"/>
  <c r="K505" i="1" s="1"/>
  <c r="H505" i="1"/>
  <c r="L504" i="1"/>
  <c r="J504" i="1"/>
  <c r="I504" i="1"/>
  <c r="K504" i="1" s="1"/>
  <c r="H504" i="1"/>
  <c r="L503" i="1"/>
  <c r="J503" i="1"/>
  <c r="I503" i="1"/>
  <c r="K503" i="1" s="1"/>
  <c r="H503" i="1"/>
  <c r="L502" i="1"/>
  <c r="J502" i="1"/>
  <c r="I502" i="1"/>
  <c r="K502" i="1" s="1"/>
  <c r="H502" i="1"/>
  <c r="L501" i="1"/>
  <c r="J501" i="1"/>
  <c r="I501" i="1"/>
  <c r="K501" i="1" s="1"/>
  <c r="H501" i="1"/>
  <c r="L500" i="1"/>
  <c r="J500" i="1"/>
  <c r="I500" i="1"/>
  <c r="K500" i="1" s="1"/>
  <c r="H500" i="1"/>
  <c r="L499" i="1"/>
  <c r="J499" i="1"/>
  <c r="I499" i="1"/>
  <c r="K499" i="1" s="1"/>
  <c r="H499" i="1"/>
  <c r="L498" i="1"/>
  <c r="J498" i="1"/>
  <c r="I498" i="1"/>
  <c r="K498" i="1" s="1"/>
  <c r="H498" i="1"/>
  <c r="L497" i="1"/>
  <c r="J497" i="1"/>
  <c r="I497" i="1"/>
  <c r="K497" i="1" s="1"/>
  <c r="H497" i="1"/>
  <c r="L496" i="1"/>
  <c r="J496" i="1"/>
  <c r="I496" i="1"/>
  <c r="K496" i="1" s="1"/>
  <c r="H496" i="1"/>
  <c r="L495" i="1"/>
  <c r="J495" i="1"/>
  <c r="I495" i="1"/>
  <c r="K495" i="1" s="1"/>
  <c r="H495" i="1"/>
  <c r="L494" i="1"/>
  <c r="J494" i="1"/>
  <c r="I494" i="1"/>
  <c r="K494" i="1" s="1"/>
  <c r="H494" i="1"/>
  <c r="L493" i="1"/>
  <c r="J493" i="1"/>
  <c r="I493" i="1"/>
  <c r="K493" i="1" s="1"/>
  <c r="H493" i="1"/>
  <c r="L492" i="1"/>
  <c r="J492" i="1"/>
  <c r="I492" i="1"/>
  <c r="K492" i="1" s="1"/>
  <c r="H492" i="1"/>
  <c r="L491" i="1"/>
  <c r="J491" i="1"/>
  <c r="I491" i="1"/>
  <c r="K491" i="1" s="1"/>
  <c r="H491" i="1"/>
  <c r="L490" i="1"/>
  <c r="J490" i="1"/>
  <c r="I490" i="1"/>
  <c r="K490" i="1" s="1"/>
  <c r="H490" i="1"/>
  <c r="L489" i="1"/>
  <c r="J489" i="1"/>
  <c r="I489" i="1"/>
  <c r="K489" i="1" s="1"/>
  <c r="H489" i="1"/>
  <c r="L488" i="1"/>
  <c r="J488" i="1"/>
  <c r="I488" i="1"/>
  <c r="K488" i="1" s="1"/>
  <c r="H488" i="1"/>
  <c r="L487" i="1"/>
  <c r="J487" i="1"/>
  <c r="I487" i="1"/>
  <c r="K487" i="1" s="1"/>
  <c r="H487" i="1"/>
  <c r="L486" i="1"/>
  <c r="J486" i="1"/>
  <c r="I486" i="1"/>
  <c r="K486" i="1" s="1"/>
  <c r="H486" i="1"/>
  <c r="L485" i="1"/>
  <c r="J485" i="1"/>
  <c r="I485" i="1"/>
  <c r="K485" i="1" s="1"/>
  <c r="H485" i="1"/>
  <c r="L484" i="1"/>
  <c r="J484" i="1"/>
  <c r="I484" i="1"/>
  <c r="K484" i="1" s="1"/>
  <c r="H484" i="1"/>
  <c r="L483" i="1"/>
  <c r="J483" i="1"/>
  <c r="I483" i="1"/>
  <c r="K483" i="1" s="1"/>
  <c r="H483" i="1"/>
  <c r="L482" i="1"/>
  <c r="J482" i="1"/>
  <c r="I482" i="1"/>
  <c r="K482" i="1" s="1"/>
  <c r="H482" i="1"/>
  <c r="L481" i="1"/>
  <c r="J481" i="1"/>
  <c r="I481" i="1"/>
  <c r="K481" i="1" s="1"/>
  <c r="H481" i="1"/>
  <c r="L480" i="1"/>
  <c r="J480" i="1"/>
  <c r="I480" i="1"/>
  <c r="K480" i="1" s="1"/>
  <c r="H480" i="1"/>
  <c r="L479" i="1"/>
  <c r="J479" i="1"/>
  <c r="I479" i="1"/>
  <c r="K479" i="1" s="1"/>
  <c r="H479" i="1"/>
  <c r="L478" i="1"/>
  <c r="J478" i="1"/>
  <c r="I478" i="1"/>
  <c r="K478" i="1" s="1"/>
  <c r="H478" i="1"/>
  <c r="L477" i="1"/>
  <c r="J477" i="1"/>
  <c r="I477" i="1"/>
  <c r="K477" i="1" s="1"/>
  <c r="H477" i="1"/>
  <c r="L476" i="1"/>
  <c r="J476" i="1"/>
  <c r="I476" i="1"/>
  <c r="K476" i="1" s="1"/>
  <c r="H476" i="1"/>
  <c r="L475" i="1"/>
  <c r="J475" i="1"/>
  <c r="I475" i="1"/>
  <c r="K475" i="1" s="1"/>
  <c r="H475" i="1"/>
  <c r="L474" i="1"/>
  <c r="J474" i="1"/>
  <c r="I474" i="1"/>
  <c r="K474" i="1" s="1"/>
  <c r="H474" i="1"/>
  <c r="L473" i="1"/>
  <c r="J473" i="1"/>
  <c r="I473" i="1"/>
  <c r="K473" i="1" s="1"/>
  <c r="H473" i="1"/>
  <c r="L472" i="1"/>
  <c r="J472" i="1"/>
  <c r="I472" i="1"/>
  <c r="K472" i="1" s="1"/>
  <c r="H472" i="1"/>
  <c r="L471" i="1"/>
  <c r="J471" i="1"/>
  <c r="I471" i="1"/>
  <c r="K471" i="1" s="1"/>
  <c r="H471" i="1"/>
  <c r="L470" i="1"/>
  <c r="J470" i="1"/>
  <c r="I470" i="1"/>
  <c r="K470" i="1" s="1"/>
  <c r="H470" i="1"/>
  <c r="L469" i="1"/>
  <c r="J469" i="1"/>
  <c r="I469" i="1"/>
  <c r="K469" i="1" s="1"/>
  <c r="H469" i="1"/>
  <c r="L468" i="1"/>
  <c r="J468" i="1"/>
  <c r="I468" i="1"/>
  <c r="K468" i="1" s="1"/>
  <c r="H468" i="1"/>
  <c r="L467" i="1"/>
  <c r="J467" i="1"/>
  <c r="I467" i="1"/>
  <c r="K467" i="1" s="1"/>
  <c r="H467" i="1"/>
  <c r="L466" i="1"/>
  <c r="J466" i="1"/>
  <c r="I466" i="1"/>
  <c r="K466" i="1" s="1"/>
  <c r="H466" i="1"/>
  <c r="L465" i="1"/>
  <c r="J465" i="1"/>
  <c r="I465" i="1"/>
  <c r="K465" i="1" s="1"/>
  <c r="H465" i="1"/>
  <c r="L464" i="1"/>
  <c r="J464" i="1"/>
  <c r="I464" i="1"/>
  <c r="K464" i="1" s="1"/>
  <c r="H464" i="1"/>
  <c r="L463" i="1"/>
  <c r="J463" i="1"/>
  <c r="I463" i="1"/>
  <c r="K463" i="1" s="1"/>
  <c r="H463" i="1"/>
  <c r="L462" i="1"/>
  <c r="J462" i="1"/>
  <c r="I462" i="1"/>
  <c r="K462" i="1" s="1"/>
  <c r="H462" i="1"/>
  <c r="L461" i="1"/>
  <c r="J461" i="1"/>
  <c r="I461" i="1"/>
  <c r="K461" i="1" s="1"/>
  <c r="H461" i="1"/>
  <c r="L460" i="1"/>
  <c r="J460" i="1"/>
  <c r="I460" i="1"/>
  <c r="K460" i="1" s="1"/>
  <c r="H460" i="1"/>
  <c r="L459" i="1"/>
  <c r="J459" i="1"/>
  <c r="I459" i="1"/>
  <c r="K459" i="1" s="1"/>
  <c r="H459" i="1"/>
  <c r="L458" i="1"/>
  <c r="J458" i="1"/>
  <c r="I458" i="1"/>
  <c r="K458" i="1" s="1"/>
  <c r="H458" i="1"/>
  <c r="L457" i="1"/>
  <c r="J457" i="1"/>
  <c r="I457" i="1"/>
  <c r="K457" i="1" s="1"/>
  <c r="H457" i="1"/>
  <c r="L456" i="1"/>
  <c r="J456" i="1"/>
  <c r="I456" i="1"/>
  <c r="K456" i="1" s="1"/>
  <c r="H456" i="1"/>
  <c r="L455" i="1"/>
  <c r="J455" i="1"/>
  <c r="I455" i="1"/>
  <c r="K455" i="1" s="1"/>
  <c r="H455" i="1"/>
  <c r="L454" i="1"/>
  <c r="J454" i="1"/>
  <c r="I454" i="1"/>
  <c r="K454" i="1" s="1"/>
  <c r="H454" i="1"/>
  <c r="L453" i="1"/>
  <c r="J453" i="1"/>
  <c r="I453" i="1"/>
  <c r="K453" i="1" s="1"/>
  <c r="H453" i="1"/>
  <c r="L452" i="1"/>
  <c r="J452" i="1"/>
  <c r="I452" i="1"/>
  <c r="K452" i="1" s="1"/>
  <c r="H452" i="1"/>
  <c r="L451" i="1"/>
  <c r="J451" i="1"/>
  <c r="I451" i="1"/>
  <c r="K451" i="1" s="1"/>
  <c r="H451" i="1"/>
  <c r="L450" i="1"/>
  <c r="J450" i="1"/>
  <c r="I450" i="1"/>
  <c r="K450" i="1" s="1"/>
  <c r="H450" i="1"/>
  <c r="L449" i="1"/>
  <c r="J449" i="1"/>
  <c r="I449" i="1"/>
  <c r="K449" i="1" s="1"/>
  <c r="H449" i="1"/>
  <c r="L448" i="1"/>
  <c r="J448" i="1"/>
  <c r="I448" i="1"/>
  <c r="K448" i="1" s="1"/>
  <c r="H448" i="1"/>
  <c r="L447" i="1"/>
  <c r="J447" i="1"/>
  <c r="I447" i="1"/>
  <c r="K447" i="1" s="1"/>
  <c r="H447" i="1"/>
  <c r="L446" i="1"/>
  <c r="J446" i="1"/>
  <c r="I446" i="1"/>
  <c r="K446" i="1" s="1"/>
  <c r="H446" i="1"/>
  <c r="L445" i="1"/>
  <c r="J445" i="1"/>
  <c r="I445" i="1"/>
  <c r="K445" i="1" s="1"/>
  <c r="H445" i="1"/>
  <c r="L444" i="1"/>
  <c r="J444" i="1"/>
  <c r="I444" i="1"/>
  <c r="K444" i="1" s="1"/>
  <c r="H444" i="1"/>
  <c r="L443" i="1"/>
  <c r="J443" i="1"/>
  <c r="I443" i="1"/>
  <c r="K443" i="1" s="1"/>
  <c r="H443" i="1"/>
  <c r="L442" i="1"/>
  <c r="J442" i="1"/>
  <c r="I442" i="1"/>
  <c r="K442" i="1" s="1"/>
  <c r="H442" i="1"/>
  <c r="L441" i="1"/>
  <c r="J441" i="1"/>
  <c r="I441" i="1"/>
  <c r="K441" i="1" s="1"/>
  <c r="H441" i="1"/>
  <c r="L440" i="1"/>
  <c r="J440" i="1"/>
  <c r="I440" i="1"/>
  <c r="K440" i="1" s="1"/>
  <c r="H440" i="1"/>
  <c r="L439" i="1"/>
  <c r="J439" i="1"/>
  <c r="I439" i="1"/>
  <c r="K439" i="1" s="1"/>
  <c r="H439" i="1"/>
  <c r="L438" i="1"/>
  <c r="J438" i="1"/>
  <c r="I438" i="1"/>
  <c r="K438" i="1" s="1"/>
  <c r="H438" i="1"/>
  <c r="L437" i="1"/>
  <c r="J437" i="1"/>
  <c r="I437" i="1"/>
  <c r="K437" i="1" s="1"/>
  <c r="H437" i="1"/>
  <c r="L436" i="1"/>
  <c r="J436" i="1"/>
  <c r="I436" i="1"/>
  <c r="K436" i="1" s="1"/>
  <c r="H436" i="1"/>
  <c r="L435" i="1"/>
  <c r="J435" i="1"/>
  <c r="I435" i="1"/>
  <c r="K435" i="1" s="1"/>
  <c r="H435" i="1"/>
  <c r="L434" i="1"/>
  <c r="J434" i="1"/>
  <c r="I434" i="1"/>
  <c r="K434" i="1" s="1"/>
  <c r="H434" i="1"/>
  <c r="L433" i="1"/>
  <c r="J433" i="1"/>
  <c r="I433" i="1"/>
  <c r="K433" i="1" s="1"/>
  <c r="H433" i="1"/>
  <c r="L432" i="1"/>
  <c r="J432" i="1"/>
  <c r="I432" i="1"/>
  <c r="K432" i="1" s="1"/>
  <c r="H432" i="1"/>
  <c r="L431" i="1"/>
  <c r="J431" i="1"/>
  <c r="I431" i="1"/>
  <c r="K431" i="1" s="1"/>
  <c r="H431" i="1"/>
  <c r="L430" i="1"/>
  <c r="J430" i="1"/>
  <c r="I430" i="1"/>
  <c r="K430" i="1" s="1"/>
  <c r="H430" i="1"/>
  <c r="L429" i="1"/>
  <c r="J429" i="1"/>
  <c r="I429" i="1"/>
  <c r="K429" i="1" s="1"/>
  <c r="H429" i="1"/>
  <c r="L428" i="1"/>
  <c r="J428" i="1"/>
  <c r="I428" i="1"/>
  <c r="K428" i="1" s="1"/>
  <c r="H428" i="1"/>
  <c r="L427" i="1"/>
  <c r="J427" i="1"/>
  <c r="I427" i="1"/>
  <c r="K427" i="1" s="1"/>
  <c r="H427" i="1"/>
  <c r="L426" i="1"/>
  <c r="J426" i="1"/>
  <c r="I426" i="1"/>
  <c r="K426" i="1" s="1"/>
  <c r="H426" i="1"/>
  <c r="L425" i="1"/>
  <c r="J425" i="1"/>
  <c r="I425" i="1"/>
  <c r="K425" i="1" s="1"/>
  <c r="H425" i="1"/>
  <c r="L424" i="1"/>
  <c r="J424" i="1"/>
  <c r="I424" i="1"/>
  <c r="K424" i="1" s="1"/>
  <c r="H424" i="1"/>
  <c r="L423" i="1"/>
  <c r="J423" i="1"/>
  <c r="I423" i="1"/>
  <c r="K423" i="1" s="1"/>
  <c r="H423" i="1"/>
  <c r="L422" i="1"/>
  <c r="J422" i="1"/>
  <c r="I422" i="1"/>
  <c r="K422" i="1" s="1"/>
  <c r="H422" i="1"/>
  <c r="L421" i="1"/>
  <c r="J421" i="1"/>
  <c r="I421" i="1"/>
  <c r="K421" i="1" s="1"/>
  <c r="H421" i="1"/>
  <c r="L420" i="1"/>
  <c r="J420" i="1"/>
  <c r="I420" i="1"/>
  <c r="K420" i="1" s="1"/>
  <c r="H420" i="1"/>
  <c r="L419" i="1"/>
  <c r="J419" i="1"/>
  <c r="I419" i="1"/>
  <c r="K419" i="1" s="1"/>
  <c r="H419" i="1"/>
  <c r="L418" i="1"/>
  <c r="J418" i="1"/>
  <c r="I418" i="1"/>
  <c r="K418" i="1" s="1"/>
  <c r="H418" i="1"/>
  <c r="L417" i="1"/>
  <c r="J417" i="1"/>
  <c r="I417" i="1"/>
  <c r="K417" i="1" s="1"/>
  <c r="H417" i="1"/>
  <c r="L416" i="1"/>
  <c r="J416" i="1"/>
  <c r="I416" i="1"/>
  <c r="K416" i="1" s="1"/>
  <c r="H416" i="1"/>
  <c r="L415" i="1"/>
  <c r="J415" i="1"/>
  <c r="I415" i="1"/>
  <c r="K415" i="1" s="1"/>
  <c r="H415" i="1"/>
  <c r="L414" i="1"/>
  <c r="J414" i="1"/>
  <c r="I414" i="1"/>
  <c r="K414" i="1" s="1"/>
  <c r="H414" i="1"/>
  <c r="L413" i="1"/>
  <c r="J413" i="1"/>
  <c r="I413" i="1"/>
  <c r="K413" i="1" s="1"/>
  <c r="H413" i="1"/>
  <c r="L412" i="1"/>
  <c r="J412" i="1"/>
  <c r="I412" i="1"/>
  <c r="K412" i="1" s="1"/>
  <c r="H412" i="1"/>
  <c r="L411" i="1"/>
  <c r="J411" i="1"/>
  <c r="I411" i="1"/>
  <c r="K411" i="1" s="1"/>
  <c r="H411" i="1"/>
  <c r="L410" i="1"/>
  <c r="J410" i="1"/>
  <c r="I410" i="1"/>
  <c r="K410" i="1" s="1"/>
  <c r="H410" i="1"/>
  <c r="L409" i="1"/>
  <c r="J409" i="1"/>
  <c r="I409" i="1"/>
  <c r="K409" i="1" s="1"/>
  <c r="H409" i="1"/>
  <c r="L408" i="1"/>
  <c r="J408" i="1"/>
  <c r="I408" i="1"/>
  <c r="K408" i="1" s="1"/>
  <c r="H408" i="1"/>
  <c r="L407" i="1"/>
  <c r="J407" i="1"/>
  <c r="I407" i="1"/>
  <c r="K407" i="1" s="1"/>
  <c r="H407" i="1"/>
  <c r="L406" i="1"/>
  <c r="J406" i="1"/>
  <c r="I406" i="1"/>
  <c r="K406" i="1" s="1"/>
  <c r="H406" i="1"/>
  <c r="L405" i="1"/>
  <c r="J405" i="1"/>
  <c r="I405" i="1"/>
  <c r="K405" i="1" s="1"/>
  <c r="H405" i="1"/>
  <c r="L404" i="1"/>
  <c r="J404" i="1"/>
  <c r="I404" i="1"/>
  <c r="K404" i="1" s="1"/>
  <c r="H404" i="1"/>
  <c r="L403" i="1"/>
  <c r="J403" i="1"/>
  <c r="I403" i="1"/>
  <c r="K403" i="1" s="1"/>
  <c r="H403" i="1"/>
  <c r="L402" i="1"/>
  <c r="J402" i="1"/>
  <c r="I402" i="1"/>
  <c r="K402" i="1" s="1"/>
  <c r="H402" i="1"/>
  <c r="L401" i="1"/>
  <c r="J401" i="1"/>
  <c r="I401" i="1"/>
  <c r="K401" i="1" s="1"/>
  <c r="H401" i="1"/>
  <c r="L400" i="1"/>
  <c r="J400" i="1"/>
  <c r="I400" i="1"/>
  <c r="K400" i="1" s="1"/>
  <c r="H400" i="1"/>
  <c r="L399" i="1"/>
  <c r="J399" i="1"/>
  <c r="I399" i="1"/>
  <c r="K399" i="1" s="1"/>
  <c r="H399" i="1"/>
  <c r="L398" i="1"/>
  <c r="J398" i="1"/>
  <c r="I398" i="1"/>
  <c r="K398" i="1" s="1"/>
  <c r="H398" i="1"/>
  <c r="L397" i="1"/>
  <c r="J397" i="1"/>
  <c r="I397" i="1"/>
  <c r="K397" i="1" s="1"/>
  <c r="H397" i="1"/>
  <c r="L396" i="1"/>
  <c r="J396" i="1"/>
  <c r="I396" i="1"/>
  <c r="K396" i="1" s="1"/>
  <c r="H396" i="1"/>
  <c r="L395" i="1"/>
  <c r="J395" i="1"/>
  <c r="I395" i="1"/>
  <c r="K395" i="1" s="1"/>
  <c r="H395" i="1"/>
  <c r="L394" i="1"/>
  <c r="J394" i="1"/>
  <c r="I394" i="1"/>
  <c r="K394" i="1" s="1"/>
  <c r="H394" i="1"/>
  <c r="L393" i="1"/>
  <c r="J393" i="1"/>
  <c r="I393" i="1"/>
  <c r="K393" i="1" s="1"/>
  <c r="H393" i="1"/>
  <c r="L392" i="1"/>
  <c r="J392" i="1"/>
  <c r="I392" i="1"/>
  <c r="K392" i="1" s="1"/>
  <c r="H392" i="1"/>
  <c r="L391" i="1"/>
  <c r="J391" i="1"/>
  <c r="I391" i="1"/>
  <c r="K391" i="1" s="1"/>
  <c r="H391" i="1"/>
  <c r="L390" i="1"/>
  <c r="J390" i="1"/>
  <c r="I390" i="1"/>
  <c r="K390" i="1" s="1"/>
  <c r="H390" i="1"/>
  <c r="L389" i="1"/>
  <c r="J389" i="1"/>
  <c r="I389" i="1"/>
  <c r="K389" i="1" s="1"/>
  <c r="H389" i="1"/>
  <c r="L388" i="1"/>
  <c r="J388" i="1"/>
  <c r="I388" i="1"/>
  <c r="K388" i="1" s="1"/>
  <c r="H388" i="1"/>
  <c r="L387" i="1"/>
  <c r="J387" i="1"/>
  <c r="I387" i="1"/>
  <c r="K387" i="1" s="1"/>
  <c r="H387" i="1"/>
  <c r="L386" i="1"/>
  <c r="J386" i="1"/>
  <c r="I386" i="1"/>
  <c r="K386" i="1" s="1"/>
  <c r="H386" i="1"/>
  <c r="L385" i="1"/>
  <c r="J385" i="1"/>
  <c r="I385" i="1"/>
  <c r="K385" i="1" s="1"/>
  <c r="H385" i="1"/>
  <c r="L384" i="1"/>
  <c r="J384" i="1"/>
  <c r="I384" i="1"/>
  <c r="K384" i="1" s="1"/>
  <c r="H384" i="1"/>
  <c r="L383" i="1"/>
  <c r="J383" i="1"/>
  <c r="I383" i="1"/>
  <c r="K383" i="1" s="1"/>
  <c r="H383" i="1"/>
  <c r="L382" i="1"/>
  <c r="J382" i="1"/>
  <c r="I382" i="1"/>
  <c r="K382" i="1" s="1"/>
  <c r="H382" i="1"/>
  <c r="L381" i="1"/>
  <c r="J381" i="1"/>
  <c r="I381" i="1"/>
  <c r="K381" i="1" s="1"/>
  <c r="H381" i="1"/>
  <c r="L380" i="1"/>
  <c r="J380" i="1"/>
  <c r="I380" i="1"/>
  <c r="K380" i="1" s="1"/>
  <c r="H380" i="1"/>
  <c r="L379" i="1"/>
  <c r="J379" i="1"/>
  <c r="I379" i="1"/>
  <c r="K379" i="1" s="1"/>
  <c r="H379" i="1"/>
  <c r="L378" i="1"/>
  <c r="J378" i="1"/>
  <c r="I378" i="1"/>
  <c r="K378" i="1" s="1"/>
  <c r="H378" i="1"/>
  <c r="L377" i="1"/>
  <c r="J377" i="1"/>
  <c r="I377" i="1"/>
  <c r="K377" i="1" s="1"/>
  <c r="H377" i="1"/>
  <c r="L376" i="1"/>
  <c r="J376" i="1"/>
  <c r="I376" i="1"/>
  <c r="K376" i="1" s="1"/>
  <c r="H376" i="1"/>
  <c r="L375" i="1"/>
  <c r="K375" i="1"/>
  <c r="J375" i="1"/>
  <c r="I375" i="1"/>
  <c r="H375" i="1"/>
  <c r="L374" i="1"/>
  <c r="J374" i="1"/>
  <c r="I374" i="1"/>
  <c r="K374" i="1" s="1"/>
  <c r="H374" i="1"/>
  <c r="L373" i="1"/>
  <c r="J373" i="1"/>
  <c r="I373" i="1"/>
  <c r="K373" i="1" s="1"/>
  <c r="H373" i="1"/>
  <c r="L372" i="1"/>
  <c r="J372" i="1"/>
  <c r="I372" i="1"/>
  <c r="K372" i="1" s="1"/>
  <c r="H372" i="1"/>
  <c r="L371" i="1"/>
  <c r="J371" i="1"/>
  <c r="I371" i="1"/>
  <c r="K371" i="1" s="1"/>
  <c r="H371" i="1"/>
  <c r="L370" i="1"/>
  <c r="J370" i="1"/>
  <c r="I370" i="1"/>
  <c r="K370" i="1" s="1"/>
  <c r="H370" i="1"/>
  <c r="L369" i="1"/>
  <c r="J369" i="1"/>
  <c r="I369" i="1"/>
  <c r="K369" i="1" s="1"/>
  <c r="H369" i="1"/>
  <c r="L368" i="1"/>
  <c r="J368" i="1"/>
  <c r="I368" i="1"/>
  <c r="K368" i="1" s="1"/>
  <c r="H368" i="1"/>
  <c r="L367" i="1"/>
  <c r="J367" i="1"/>
  <c r="I367" i="1"/>
  <c r="K367" i="1" s="1"/>
  <c r="H367" i="1"/>
  <c r="L366" i="1"/>
  <c r="J366" i="1"/>
  <c r="I366" i="1"/>
  <c r="K366" i="1" s="1"/>
  <c r="H366" i="1"/>
  <c r="L365" i="1"/>
  <c r="J365" i="1"/>
  <c r="I365" i="1"/>
  <c r="K365" i="1" s="1"/>
  <c r="H365" i="1"/>
  <c r="L364" i="1"/>
  <c r="J364" i="1"/>
  <c r="I364" i="1"/>
  <c r="K364" i="1" s="1"/>
  <c r="H364" i="1"/>
  <c r="L363" i="1"/>
  <c r="J363" i="1"/>
  <c r="I363" i="1"/>
  <c r="K363" i="1" s="1"/>
  <c r="H363" i="1"/>
  <c r="L362" i="1"/>
  <c r="J362" i="1"/>
  <c r="I362" i="1"/>
  <c r="K362" i="1" s="1"/>
  <c r="H362" i="1"/>
  <c r="L361" i="1"/>
  <c r="J361" i="1"/>
  <c r="I361" i="1"/>
  <c r="K361" i="1" s="1"/>
  <c r="H361" i="1"/>
  <c r="L360" i="1"/>
  <c r="J360" i="1"/>
  <c r="I360" i="1"/>
  <c r="K360" i="1" s="1"/>
  <c r="H360" i="1"/>
  <c r="L359" i="1"/>
  <c r="J359" i="1"/>
  <c r="I359" i="1"/>
  <c r="K359" i="1" s="1"/>
  <c r="H359" i="1"/>
  <c r="L358" i="1"/>
  <c r="J358" i="1"/>
  <c r="I358" i="1"/>
  <c r="K358" i="1" s="1"/>
  <c r="H358" i="1"/>
  <c r="L357" i="1"/>
  <c r="J357" i="1"/>
  <c r="I357" i="1"/>
  <c r="K357" i="1" s="1"/>
  <c r="H357" i="1"/>
  <c r="L356" i="1"/>
  <c r="J356" i="1"/>
  <c r="I356" i="1"/>
  <c r="K356" i="1" s="1"/>
  <c r="H356" i="1"/>
  <c r="L355" i="1"/>
  <c r="J355" i="1"/>
  <c r="I355" i="1"/>
  <c r="K355" i="1" s="1"/>
  <c r="H355" i="1"/>
  <c r="L354" i="1"/>
  <c r="J354" i="1"/>
  <c r="I354" i="1"/>
  <c r="K354" i="1" s="1"/>
  <c r="H354" i="1"/>
  <c r="L353" i="1"/>
  <c r="J353" i="1"/>
  <c r="I353" i="1"/>
  <c r="K353" i="1" s="1"/>
  <c r="H353" i="1"/>
  <c r="L352" i="1"/>
  <c r="J352" i="1"/>
  <c r="I352" i="1"/>
  <c r="K352" i="1" s="1"/>
  <c r="H352" i="1"/>
  <c r="L351" i="1"/>
  <c r="J351" i="1"/>
  <c r="I351" i="1"/>
  <c r="K351" i="1" s="1"/>
  <c r="H351" i="1"/>
  <c r="L350" i="1"/>
  <c r="J350" i="1"/>
  <c r="I350" i="1"/>
  <c r="K350" i="1" s="1"/>
  <c r="H350" i="1"/>
  <c r="L349" i="1"/>
  <c r="J349" i="1"/>
  <c r="K349" i="1" s="1"/>
  <c r="I349" i="1"/>
  <c r="H349" i="1"/>
  <c r="L348" i="1"/>
  <c r="J348" i="1"/>
  <c r="I348" i="1"/>
  <c r="K348" i="1" s="1"/>
  <c r="H348" i="1"/>
  <c r="L347" i="1"/>
  <c r="J347" i="1"/>
  <c r="I347" i="1"/>
  <c r="K347" i="1" s="1"/>
  <c r="H347" i="1"/>
  <c r="L346" i="1"/>
  <c r="J346" i="1"/>
  <c r="I346" i="1"/>
  <c r="K346" i="1" s="1"/>
  <c r="H346" i="1"/>
  <c r="L345" i="1"/>
  <c r="J345" i="1"/>
  <c r="I345" i="1"/>
  <c r="K345" i="1" s="1"/>
  <c r="H345" i="1"/>
  <c r="L344" i="1"/>
  <c r="J344" i="1"/>
  <c r="I344" i="1"/>
  <c r="K344" i="1" s="1"/>
  <c r="H344" i="1"/>
  <c r="L343" i="1"/>
  <c r="J343" i="1"/>
  <c r="I343" i="1"/>
  <c r="K343" i="1" s="1"/>
  <c r="H343" i="1"/>
  <c r="L342" i="1"/>
  <c r="J342" i="1"/>
  <c r="I342" i="1"/>
  <c r="K342" i="1" s="1"/>
  <c r="H342" i="1"/>
  <c r="L341" i="1"/>
  <c r="J341" i="1"/>
  <c r="I341" i="1"/>
  <c r="K341" i="1" s="1"/>
  <c r="H341" i="1"/>
  <c r="L340" i="1"/>
  <c r="J340" i="1"/>
  <c r="I340" i="1"/>
  <c r="K340" i="1" s="1"/>
  <c r="H340" i="1"/>
  <c r="L339" i="1"/>
  <c r="J339" i="1"/>
  <c r="I339" i="1"/>
  <c r="K339" i="1" s="1"/>
  <c r="H339" i="1"/>
  <c r="L338" i="1"/>
  <c r="J338" i="1"/>
  <c r="I338" i="1"/>
  <c r="K338" i="1" s="1"/>
  <c r="H338" i="1"/>
  <c r="L337" i="1"/>
  <c r="J337" i="1"/>
  <c r="I337" i="1"/>
  <c r="K337" i="1" s="1"/>
  <c r="H337" i="1"/>
  <c r="L336" i="1"/>
  <c r="J336" i="1"/>
  <c r="I336" i="1"/>
  <c r="K336" i="1" s="1"/>
  <c r="H336" i="1"/>
  <c r="L335" i="1"/>
  <c r="J335" i="1"/>
  <c r="I335" i="1"/>
  <c r="K335" i="1" s="1"/>
  <c r="H335" i="1"/>
  <c r="L334" i="1"/>
  <c r="J334" i="1"/>
  <c r="I334" i="1"/>
  <c r="K334" i="1" s="1"/>
  <c r="H334" i="1"/>
  <c r="L333" i="1"/>
  <c r="J333" i="1"/>
  <c r="I333" i="1"/>
  <c r="K333" i="1" s="1"/>
  <c r="H333" i="1"/>
  <c r="L332" i="1"/>
  <c r="J332" i="1"/>
  <c r="I332" i="1"/>
  <c r="K332" i="1" s="1"/>
  <c r="H332" i="1"/>
  <c r="L331" i="1"/>
  <c r="J331" i="1"/>
  <c r="I331" i="1"/>
  <c r="K331" i="1" s="1"/>
  <c r="H331" i="1"/>
  <c r="L330" i="1"/>
  <c r="J330" i="1"/>
  <c r="I330" i="1"/>
  <c r="K330" i="1" s="1"/>
  <c r="H330" i="1"/>
  <c r="L329" i="1"/>
  <c r="J329" i="1"/>
  <c r="I329" i="1"/>
  <c r="K329" i="1" s="1"/>
  <c r="H329" i="1"/>
  <c r="L328" i="1"/>
  <c r="J328" i="1"/>
  <c r="I328" i="1"/>
  <c r="K328" i="1" s="1"/>
  <c r="H328" i="1"/>
  <c r="L327" i="1"/>
  <c r="J327" i="1"/>
  <c r="I327" i="1"/>
  <c r="K327" i="1" s="1"/>
  <c r="H327" i="1"/>
  <c r="L326" i="1"/>
  <c r="J326" i="1"/>
  <c r="I326" i="1"/>
  <c r="K326" i="1" s="1"/>
  <c r="H326" i="1"/>
  <c r="L325" i="1"/>
  <c r="K325" i="1"/>
  <c r="J325" i="1"/>
  <c r="I325" i="1"/>
  <c r="H325" i="1"/>
  <c r="L324" i="1"/>
  <c r="J324" i="1"/>
  <c r="I324" i="1"/>
  <c r="K324" i="1" s="1"/>
  <c r="H324" i="1"/>
  <c r="L323" i="1"/>
  <c r="J323" i="1"/>
  <c r="I323" i="1"/>
  <c r="K323" i="1" s="1"/>
  <c r="H323" i="1"/>
  <c r="L322" i="1"/>
  <c r="J322" i="1"/>
  <c r="I322" i="1"/>
  <c r="K322" i="1" s="1"/>
  <c r="H322" i="1"/>
  <c r="L321" i="1"/>
  <c r="J321" i="1"/>
  <c r="I321" i="1"/>
  <c r="K321" i="1" s="1"/>
  <c r="H321" i="1"/>
  <c r="L320" i="1"/>
  <c r="J320" i="1"/>
  <c r="I320" i="1"/>
  <c r="K320" i="1" s="1"/>
  <c r="H320" i="1"/>
  <c r="L319" i="1"/>
  <c r="J319" i="1"/>
  <c r="I319" i="1"/>
  <c r="K319" i="1" s="1"/>
  <c r="H319" i="1"/>
  <c r="L318" i="1"/>
  <c r="J318" i="1"/>
  <c r="I318" i="1"/>
  <c r="K318" i="1" s="1"/>
  <c r="H318" i="1"/>
  <c r="L317" i="1"/>
  <c r="J317" i="1"/>
  <c r="I317" i="1"/>
  <c r="K317" i="1" s="1"/>
  <c r="H317" i="1"/>
  <c r="L316" i="1"/>
  <c r="K316" i="1"/>
  <c r="J316" i="1"/>
  <c r="I316" i="1"/>
  <c r="H316" i="1"/>
  <c r="L315" i="1"/>
  <c r="K315" i="1"/>
  <c r="J315" i="1"/>
  <c r="I315" i="1"/>
  <c r="H315" i="1"/>
  <c r="L314" i="1"/>
  <c r="K314" i="1"/>
  <c r="J314" i="1"/>
  <c r="I314" i="1"/>
  <c r="H314" i="1"/>
  <c r="L313" i="1"/>
  <c r="J313" i="1"/>
  <c r="I313" i="1"/>
  <c r="K313" i="1" s="1"/>
  <c r="H313" i="1"/>
  <c r="L312" i="1"/>
  <c r="J312" i="1"/>
  <c r="I312" i="1"/>
  <c r="K312" i="1" s="1"/>
  <c r="H312" i="1"/>
  <c r="L311" i="1"/>
  <c r="J311" i="1"/>
  <c r="I311" i="1"/>
  <c r="K311" i="1" s="1"/>
  <c r="H311" i="1"/>
  <c r="L310" i="1"/>
  <c r="J310" i="1"/>
  <c r="I310" i="1"/>
  <c r="K310" i="1" s="1"/>
  <c r="H310" i="1"/>
  <c r="L309" i="1"/>
  <c r="J309" i="1"/>
  <c r="I309" i="1"/>
  <c r="K309" i="1" s="1"/>
  <c r="H309" i="1"/>
  <c r="L308" i="1"/>
  <c r="J308" i="1"/>
  <c r="I308" i="1"/>
  <c r="K308" i="1" s="1"/>
  <c r="H308" i="1"/>
  <c r="L307" i="1"/>
  <c r="J307" i="1"/>
  <c r="I307" i="1"/>
  <c r="K307" i="1" s="1"/>
  <c r="H307" i="1"/>
  <c r="L306" i="1"/>
  <c r="J306" i="1"/>
  <c r="I306" i="1"/>
  <c r="K306" i="1" s="1"/>
  <c r="H306" i="1"/>
  <c r="L305" i="1"/>
  <c r="J305" i="1"/>
  <c r="I305" i="1"/>
  <c r="K305" i="1" s="1"/>
  <c r="H305" i="1"/>
  <c r="L304" i="1"/>
  <c r="J304" i="1"/>
  <c r="I304" i="1"/>
  <c r="K304" i="1" s="1"/>
  <c r="H304" i="1"/>
  <c r="L303" i="1"/>
  <c r="J303" i="1"/>
  <c r="I303" i="1"/>
  <c r="K303" i="1" s="1"/>
  <c r="H303" i="1"/>
  <c r="L302" i="1"/>
  <c r="J302" i="1"/>
  <c r="I302" i="1"/>
  <c r="K302" i="1" s="1"/>
  <c r="H302" i="1"/>
  <c r="L301" i="1"/>
  <c r="J301" i="1"/>
  <c r="I301" i="1"/>
  <c r="K301" i="1" s="1"/>
  <c r="H301" i="1"/>
  <c r="L300" i="1"/>
  <c r="J300" i="1"/>
  <c r="I300" i="1"/>
  <c r="K300" i="1" s="1"/>
  <c r="H300" i="1"/>
  <c r="L299" i="1"/>
  <c r="J299" i="1"/>
  <c r="I299" i="1"/>
  <c r="K299" i="1" s="1"/>
  <c r="H299" i="1"/>
  <c r="L298" i="1"/>
  <c r="J298" i="1"/>
  <c r="I298" i="1"/>
  <c r="K298" i="1" s="1"/>
  <c r="H298" i="1"/>
  <c r="L297" i="1"/>
  <c r="J297" i="1"/>
  <c r="I297" i="1"/>
  <c r="K297" i="1" s="1"/>
  <c r="H297" i="1"/>
  <c r="L296" i="1"/>
  <c r="K296" i="1"/>
  <c r="J296" i="1"/>
  <c r="I296" i="1"/>
  <c r="H296" i="1"/>
  <c r="L295" i="1"/>
  <c r="J295" i="1"/>
  <c r="I295" i="1"/>
  <c r="K295" i="1" s="1"/>
  <c r="H295" i="1"/>
  <c r="L294" i="1"/>
  <c r="J294" i="1"/>
  <c r="K294" i="1" s="1"/>
  <c r="I294" i="1"/>
  <c r="H294" i="1"/>
  <c r="L293" i="1"/>
  <c r="J293" i="1"/>
  <c r="I293" i="1"/>
  <c r="K293" i="1" s="1"/>
  <c r="H293" i="1"/>
  <c r="L292" i="1"/>
  <c r="J292" i="1"/>
  <c r="I292" i="1"/>
  <c r="K292" i="1" s="1"/>
  <c r="H292" i="1"/>
  <c r="L291" i="1"/>
  <c r="J291" i="1"/>
  <c r="I291" i="1"/>
  <c r="K291" i="1" s="1"/>
  <c r="H291" i="1"/>
  <c r="L290" i="1"/>
  <c r="J290" i="1"/>
  <c r="I290" i="1"/>
  <c r="K290" i="1" s="1"/>
  <c r="H290" i="1"/>
  <c r="L289" i="1"/>
  <c r="J289" i="1"/>
  <c r="K289" i="1" s="1"/>
  <c r="I289" i="1"/>
  <c r="H289" i="1"/>
  <c r="L288" i="1"/>
  <c r="J288" i="1"/>
  <c r="I288" i="1"/>
  <c r="K288" i="1" s="1"/>
  <c r="H288" i="1"/>
  <c r="L287" i="1"/>
  <c r="J287" i="1"/>
  <c r="I287" i="1"/>
  <c r="K287" i="1" s="1"/>
  <c r="H287" i="1"/>
  <c r="L286" i="1"/>
  <c r="J286" i="1"/>
  <c r="I286" i="1"/>
  <c r="K286" i="1" s="1"/>
  <c r="H286" i="1"/>
  <c r="L285" i="1"/>
  <c r="J285" i="1"/>
  <c r="I285" i="1"/>
  <c r="K285" i="1" s="1"/>
  <c r="H285" i="1"/>
  <c r="L284" i="1"/>
  <c r="J284" i="1"/>
  <c r="I284" i="1"/>
  <c r="K284" i="1" s="1"/>
  <c r="H284" i="1"/>
  <c r="L283" i="1"/>
  <c r="J283" i="1"/>
  <c r="I283" i="1"/>
  <c r="K283" i="1" s="1"/>
  <c r="H283" i="1"/>
  <c r="L282" i="1"/>
  <c r="J282" i="1"/>
  <c r="I282" i="1"/>
  <c r="K282" i="1" s="1"/>
  <c r="H282" i="1"/>
  <c r="L281" i="1"/>
  <c r="J281" i="1"/>
  <c r="I281" i="1"/>
  <c r="K281" i="1" s="1"/>
  <c r="H281" i="1"/>
  <c r="L280" i="1"/>
  <c r="J280" i="1"/>
  <c r="I280" i="1"/>
  <c r="K280" i="1" s="1"/>
  <c r="H280" i="1"/>
  <c r="L279" i="1"/>
  <c r="J279" i="1"/>
  <c r="I279" i="1"/>
  <c r="K279" i="1" s="1"/>
  <c r="H279" i="1"/>
  <c r="L278" i="1"/>
  <c r="J278" i="1"/>
  <c r="I278" i="1"/>
  <c r="K278" i="1" s="1"/>
  <c r="H278" i="1"/>
  <c r="L277" i="1"/>
  <c r="J277" i="1"/>
  <c r="I277" i="1"/>
  <c r="K277" i="1" s="1"/>
  <c r="H277" i="1"/>
  <c r="L276" i="1"/>
  <c r="J276" i="1"/>
  <c r="I276" i="1"/>
  <c r="K276" i="1" s="1"/>
  <c r="H276" i="1"/>
  <c r="L275" i="1"/>
  <c r="J275" i="1"/>
  <c r="I275" i="1"/>
  <c r="K275" i="1" s="1"/>
  <c r="H275" i="1"/>
  <c r="L274" i="1"/>
  <c r="J274" i="1"/>
  <c r="I274" i="1"/>
  <c r="K274" i="1" s="1"/>
  <c r="H274" i="1"/>
  <c r="L273" i="1"/>
  <c r="J273" i="1"/>
  <c r="I273" i="1"/>
  <c r="K273" i="1" s="1"/>
  <c r="H273" i="1"/>
  <c r="L272" i="1"/>
  <c r="J272" i="1"/>
  <c r="I272" i="1"/>
  <c r="K272" i="1" s="1"/>
  <c r="H272" i="1"/>
  <c r="L271" i="1"/>
  <c r="J271" i="1"/>
  <c r="I271" i="1"/>
  <c r="K271" i="1" s="1"/>
  <c r="H271" i="1"/>
  <c r="L270" i="1"/>
  <c r="J270" i="1"/>
  <c r="I270" i="1"/>
  <c r="K270" i="1" s="1"/>
  <c r="H270" i="1"/>
  <c r="L269" i="1"/>
  <c r="J269" i="1"/>
  <c r="I269" i="1"/>
  <c r="K269" i="1" s="1"/>
  <c r="H269" i="1"/>
  <c r="L268" i="1"/>
  <c r="J268" i="1"/>
  <c r="I268" i="1"/>
  <c r="K268" i="1" s="1"/>
  <c r="H268" i="1"/>
  <c r="L267" i="1"/>
  <c r="J267" i="1"/>
  <c r="I267" i="1"/>
  <c r="K267" i="1" s="1"/>
  <c r="H267" i="1"/>
  <c r="L266" i="1"/>
  <c r="J266" i="1"/>
  <c r="I266" i="1"/>
  <c r="K266" i="1" s="1"/>
  <c r="H266" i="1"/>
  <c r="L265" i="1"/>
  <c r="J265" i="1"/>
  <c r="I265" i="1"/>
  <c r="K265" i="1" s="1"/>
  <c r="H265" i="1"/>
  <c r="L264" i="1"/>
  <c r="J264" i="1"/>
  <c r="I264" i="1"/>
  <c r="K264" i="1" s="1"/>
  <c r="H264" i="1"/>
  <c r="L263" i="1"/>
  <c r="J263" i="1"/>
  <c r="I263" i="1"/>
  <c r="K263" i="1" s="1"/>
  <c r="H263" i="1"/>
  <c r="L262" i="1"/>
  <c r="J262" i="1"/>
  <c r="I262" i="1"/>
  <c r="K262" i="1" s="1"/>
  <c r="H262" i="1"/>
  <c r="L261" i="1"/>
  <c r="J261" i="1"/>
  <c r="I261" i="1"/>
  <c r="K261" i="1" s="1"/>
  <c r="H261" i="1"/>
  <c r="L260" i="1"/>
  <c r="J260" i="1"/>
  <c r="I260" i="1"/>
  <c r="K260" i="1" s="1"/>
  <c r="H260" i="1"/>
  <c r="L259" i="1"/>
  <c r="J259" i="1"/>
  <c r="I259" i="1"/>
  <c r="K259" i="1" s="1"/>
  <c r="H259" i="1"/>
  <c r="L258" i="1"/>
  <c r="J258" i="1"/>
  <c r="I258" i="1"/>
  <c r="K258" i="1" s="1"/>
  <c r="H258" i="1"/>
  <c r="L257" i="1"/>
  <c r="J257" i="1"/>
  <c r="I257" i="1"/>
  <c r="K257" i="1" s="1"/>
  <c r="H257" i="1"/>
  <c r="L256" i="1"/>
  <c r="J256" i="1"/>
  <c r="I256" i="1"/>
  <c r="K256" i="1" s="1"/>
  <c r="H256" i="1"/>
  <c r="L255" i="1"/>
  <c r="J255" i="1"/>
  <c r="I255" i="1"/>
  <c r="K255" i="1" s="1"/>
  <c r="H255" i="1"/>
  <c r="L254" i="1"/>
  <c r="J254" i="1"/>
  <c r="I254" i="1"/>
  <c r="K254" i="1" s="1"/>
  <c r="H254" i="1"/>
  <c r="L253" i="1"/>
  <c r="J253" i="1"/>
  <c r="I253" i="1"/>
  <c r="K253" i="1" s="1"/>
  <c r="H253" i="1"/>
  <c r="L252" i="1"/>
  <c r="J252" i="1"/>
  <c r="I252" i="1"/>
  <c r="K252" i="1" s="1"/>
  <c r="H252" i="1"/>
  <c r="L251" i="1"/>
  <c r="J251" i="1"/>
  <c r="I251" i="1"/>
  <c r="K251" i="1" s="1"/>
  <c r="H251" i="1"/>
  <c r="L250" i="1"/>
  <c r="J250" i="1"/>
  <c r="K250" i="1" s="1"/>
  <c r="I250" i="1"/>
  <c r="H250" i="1"/>
  <c r="L249" i="1"/>
  <c r="J249" i="1"/>
  <c r="I249" i="1"/>
  <c r="K249" i="1" s="1"/>
  <c r="H249" i="1"/>
  <c r="L248" i="1"/>
  <c r="J248" i="1"/>
  <c r="I248" i="1"/>
  <c r="K248" i="1" s="1"/>
  <c r="H248" i="1"/>
  <c r="L247" i="1"/>
  <c r="J247" i="1"/>
  <c r="I247" i="1"/>
  <c r="K247" i="1" s="1"/>
  <c r="H247" i="1"/>
  <c r="L246" i="1"/>
  <c r="J246" i="1"/>
  <c r="I246" i="1"/>
  <c r="K246" i="1" s="1"/>
  <c r="H246" i="1"/>
  <c r="L245" i="1"/>
  <c r="J245" i="1"/>
  <c r="I245" i="1"/>
  <c r="K245" i="1" s="1"/>
  <c r="H245" i="1"/>
  <c r="L244" i="1"/>
  <c r="J244" i="1"/>
  <c r="I244" i="1"/>
  <c r="K244" i="1" s="1"/>
  <c r="H244" i="1"/>
  <c r="L243" i="1"/>
  <c r="J243" i="1"/>
  <c r="I243" i="1"/>
  <c r="K243" i="1" s="1"/>
  <c r="H243" i="1"/>
  <c r="L242" i="1"/>
  <c r="J242" i="1"/>
  <c r="I242" i="1"/>
  <c r="K242" i="1" s="1"/>
  <c r="H242" i="1"/>
  <c r="L241" i="1"/>
  <c r="J241" i="1"/>
  <c r="I241" i="1"/>
  <c r="K241" i="1" s="1"/>
  <c r="H241" i="1"/>
  <c r="L240" i="1"/>
  <c r="J240" i="1"/>
  <c r="I240" i="1"/>
  <c r="K240" i="1" s="1"/>
  <c r="H240" i="1"/>
  <c r="L239" i="1"/>
  <c r="J239" i="1"/>
  <c r="I239" i="1"/>
  <c r="K239" i="1" s="1"/>
  <c r="H239" i="1"/>
  <c r="L238" i="1"/>
  <c r="J238" i="1"/>
  <c r="I238" i="1"/>
  <c r="K238" i="1" s="1"/>
  <c r="H238" i="1"/>
  <c r="L237" i="1"/>
  <c r="J237" i="1"/>
  <c r="I237" i="1"/>
  <c r="K237" i="1" s="1"/>
  <c r="H237" i="1"/>
  <c r="L236" i="1"/>
  <c r="J236" i="1"/>
  <c r="I236" i="1"/>
  <c r="K236" i="1" s="1"/>
  <c r="H236" i="1"/>
  <c r="L235" i="1"/>
  <c r="J235" i="1"/>
  <c r="I235" i="1"/>
  <c r="K235" i="1" s="1"/>
  <c r="H235" i="1"/>
  <c r="L234" i="1"/>
  <c r="J234" i="1"/>
  <c r="I234" i="1"/>
  <c r="K234" i="1" s="1"/>
  <c r="H234" i="1"/>
  <c r="L233" i="1"/>
  <c r="J233" i="1"/>
  <c r="I233" i="1"/>
  <c r="K233" i="1" s="1"/>
  <c r="H233" i="1"/>
  <c r="L232" i="1"/>
  <c r="J232" i="1"/>
  <c r="I232" i="1"/>
  <c r="K232" i="1" s="1"/>
  <c r="H232" i="1"/>
  <c r="L231" i="1"/>
  <c r="J231" i="1"/>
  <c r="I231" i="1"/>
  <c r="K231" i="1" s="1"/>
  <c r="H231" i="1"/>
  <c r="L230" i="1"/>
  <c r="J230" i="1"/>
  <c r="I230" i="1"/>
  <c r="K230" i="1" s="1"/>
  <c r="H230" i="1"/>
  <c r="L229" i="1"/>
  <c r="J229" i="1"/>
  <c r="I229" i="1"/>
  <c r="K229" i="1" s="1"/>
  <c r="H229" i="1"/>
  <c r="L228" i="1"/>
  <c r="J228" i="1"/>
  <c r="I228" i="1"/>
  <c r="K228" i="1" s="1"/>
  <c r="H228" i="1"/>
  <c r="L227" i="1"/>
  <c r="J227" i="1"/>
  <c r="I227" i="1"/>
  <c r="K227" i="1" s="1"/>
  <c r="H227" i="1"/>
  <c r="L226" i="1"/>
  <c r="J226" i="1"/>
  <c r="I226" i="1"/>
  <c r="K226" i="1" s="1"/>
  <c r="H226" i="1"/>
  <c r="L225" i="1"/>
  <c r="J225" i="1"/>
  <c r="I225" i="1"/>
  <c r="K225" i="1" s="1"/>
  <c r="H225" i="1"/>
  <c r="L224" i="1"/>
  <c r="J224" i="1"/>
  <c r="I224" i="1"/>
  <c r="K224" i="1" s="1"/>
  <c r="H224" i="1"/>
  <c r="L223" i="1"/>
  <c r="J223" i="1"/>
  <c r="I223" i="1"/>
  <c r="K223" i="1" s="1"/>
  <c r="H223" i="1"/>
  <c r="L222" i="1"/>
  <c r="J222" i="1"/>
  <c r="I222" i="1"/>
  <c r="K222" i="1" s="1"/>
  <c r="H222" i="1"/>
  <c r="L221" i="1"/>
  <c r="J221" i="1"/>
  <c r="I221" i="1"/>
  <c r="K221" i="1" s="1"/>
  <c r="H221" i="1"/>
  <c r="L220" i="1"/>
  <c r="J220" i="1"/>
  <c r="I220" i="1"/>
  <c r="K220" i="1" s="1"/>
  <c r="H220" i="1"/>
  <c r="L219" i="1"/>
  <c r="J219" i="1"/>
  <c r="I219" i="1"/>
  <c r="K219" i="1" s="1"/>
  <c r="H219" i="1"/>
  <c r="L218" i="1"/>
  <c r="J218" i="1"/>
  <c r="I218" i="1"/>
  <c r="K218" i="1" s="1"/>
  <c r="H218" i="1"/>
  <c r="L217" i="1"/>
  <c r="J217" i="1"/>
  <c r="I217" i="1"/>
  <c r="K217" i="1" s="1"/>
  <c r="H217" i="1"/>
  <c r="L216" i="1"/>
  <c r="J216" i="1"/>
  <c r="I216" i="1"/>
  <c r="K216" i="1" s="1"/>
  <c r="H216" i="1"/>
  <c r="L215" i="1"/>
  <c r="J215" i="1"/>
  <c r="I215" i="1"/>
  <c r="K215" i="1" s="1"/>
  <c r="H215" i="1"/>
  <c r="L214" i="1"/>
  <c r="J214" i="1"/>
  <c r="I214" i="1"/>
  <c r="K214" i="1" s="1"/>
  <c r="H214" i="1"/>
  <c r="L213" i="1"/>
  <c r="J213" i="1"/>
  <c r="K213" i="1" s="1"/>
  <c r="I213" i="1"/>
  <c r="H213" i="1"/>
  <c r="L212" i="1"/>
  <c r="J212" i="1"/>
  <c r="I212" i="1"/>
  <c r="K212" i="1" s="1"/>
  <c r="H212" i="1"/>
  <c r="L211" i="1"/>
  <c r="J211" i="1"/>
  <c r="I211" i="1"/>
  <c r="K211" i="1" s="1"/>
  <c r="H211" i="1"/>
  <c r="L210" i="1"/>
  <c r="J210" i="1"/>
  <c r="I210" i="1"/>
  <c r="K210" i="1" s="1"/>
  <c r="H210" i="1"/>
  <c r="L209" i="1"/>
  <c r="J209" i="1"/>
  <c r="I209" i="1"/>
  <c r="K209" i="1" s="1"/>
  <c r="H209" i="1"/>
  <c r="L208" i="1"/>
  <c r="J208" i="1"/>
  <c r="I208" i="1"/>
  <c r="K208" i="1" s="1"/>
  <c r="H208" i="1"/>
  <c r="L207" i="1"/>
  <c r="J207" i="1"/>
  <c r="I207" i="1"/>
  <c r="K207" i="1" s="1"/>
  <c r="H207" i="1"/>
  <c r="L206" i="1"/>
  <c r="J206" i="1"/>
  <c r="I206" i="1"/>
  <c r="K206" i="1" s="1"/>
  <c r="H206" i="1"/>
  <c r="L205" i="1"/>
  <c r="J205" i="1"/>
  <c r="I205" i="1"/>
  <c r="K205" i="1" s="1"/>
  <c r="H205" i="1"/>
  <c r="L204" i="1"/>
  <c r="J204" i="1"/>
  <c r="I204" i="1"/>
  <c r="K204" i="1" s="1"/>
  <c r="H204" i="1"/>
  <c r="L203" i="1"/>
  <c r="J203" i="1"/>
  <c r="I203" i="1"/>
  <c r="K203" i="1" s="1"/>
  <c r="H203" i="1"/>
  <c r="L202" i="1"/>
  <c r="J202" i="1"/>
  <c r="I202" i="1"/>
  <c r="K202" i="1" s="1"/>
  <c r="H202" i="1"/>
  <c r="L201" i="1"/>
  <c r="J201" i="1"/>
  <c r="I201" i="1"/>
  <c r="K201" i="1" s="1"/>
  <c r="H201" i="1"/>
  <c r="L200" i="1"/>
  <c r="J200" i="1"/>
  <c r="I200" i="1"/>
  <c r="K200" i="1" s="1"/>
  <c r="H200" i="1"/>
  <c r="L199" i="1"/>
  <c r="J199" i="1"/>
  <c r="I199" i="1"/>
  <c r="K199" i="1" s="1"/>
  <c r="H199" i="1"/>
  <c r="L198" i="1"/>
  <c r="J198" i="1"/>
  <c r="I198" i="1"/>
  <c r="K198" i="1" s="1"/>
  <c r="H198" i="1"/>
  <c r="L197" i="1"/>
  <c r="J197" i="1"/>
  <c r="I197" i="1"/>
  <c r="K197" i="1" s="1"/>
  <c r="H197" i="1"/>
  <c r="L196" i="1"/>
  <c r="J196" i="1"/>
  <c r="I196" i="1"/>
  <c r="K196" i="1" s="1"/>
  <c r="H196" i="1"/>
  <c r="L195" i="1"/>
  <c r="J195" i="1"/>
  <c r="I195" i="1"/>
  <c r="K195" i="1" s="1"/>
  <c r="H195" i="1"/>
  <c r="L194" i="1"/>
  <c r="J194" i="1"/>
  <c r="I194" i="1"/>
  <c r="K194" i="1" s="1"/>
  <c r="H194" i="1"/>
  <c r="L193" i="1"/>
  <c r="J193" i="1"/>
  <c r="I193" i="1"/>
  <c r="K193" i="1" s="1"/>
  <c r="H193" i="1"/>
  <c r="L192" i="1"/>
  <c r="J192" i="1"/>
  <c r="I192" i="1"/>
  <c r="K192" i="1" s="1"/>
  <c r="H192" i="1"/>
  <c r="L191" i="1"/>
  <c r="J191" i="1"/>
  <c r="I191" i="1"/>
  <c r="K191" i="1" s="1"/>
  <c r="H191" i="1"/>
  <c r="L190" i="1"/>
  <c r="J190" i="1"/>
  <c r="I190" i="1"/>
  <c r="K190" i="1" s="1"/>
  <c r="H190" i="1"/>
  <c r="L189" i="1"/>
  <c r="J189" i="1"/>
  <c r="I189" i="1"/>
  <c r="K189" i="1" s="1"/>
  <c r="H189" i="1"/>
  <c r="L188" i="1"/>
  <c r="J188" i="1"/>
  <c r="I188" i="1"/>
  <c r="K188" i="1" s="1"/>
  <c r="H188" i="1"/>
  <c r="L187" i="1"/>
  <c r="J187" i="1"/>
  <c r="I187" i="1"/>
  <c r="K187" i="1" s="1"/>
  <c r="H187" i="1"/>
  <c r="L186" i="1"/>
  <c r="J186" i="1"/>
  <c r="I186" i="1"/>
  <c r="K186" i="1" s="1"/>
  <c r="H186" i="1"/>
  <c r="L185" i="1"/>
  <c r="J185" i="1"/>
  <c r="K185" i="1" s="1"/>
  <c r="I185" i="1"/>
  <c r="H185" i="1"/>
  <c r="L184" i="1"/>
  <c r="J184" i="1"/>
  <c r="I184" i="1"/>
  <c r="K184" i="1" s="1"/>
  <c r="H184" i="1"/>
  <c r="L183" i="1"/>
  <c r="J183" i="1"/>
  <c r="I183" i="1"/>
  <c r="K183" i="1" s="1"/>
  <c r="H183" i="1"/>
  <c r="L182" i="1"/>
  <c r="J182" i="1"/>
  <c r="I182" i="1"/>
  <c r="K182" i="1" s="1"/>
  <c r="H182" i="1"/>
  <c r="L181" i="1"/>
  <c r="J181" i="1"/>
  <c r="I181" i="1"/>
  <c r="K181" i="1" s="1"/>
  <c r="H181" i="1"/>
  <c r="L180" i="1"/>
  <c r="J180" i="1"/>
  <c r="I180" i="1"/>
  <c r="K180" i="1" s="1"/>
  <c r="H180" i="1"/>
  <c r="L179" i="1"/>
  <c r="J179" i="1"/>
  <c r="I179" i="1"/>
  <c r="K179" i="1" s="1"/>
  <c r="H179" i="1"/>
  <c r="L178" i="1"/>
  <c r="J178" i="1"/>
  <c r="I178" i="1"/>
  <c r="K178" i="1" s="1"/>
  <c r="H178" i="1"/>
  <c r="L177" i="1"/>
  <c r="J177" i="1"/>
  <c r="I177" i="1"/>
  <c r="K177" i="1" s="1"/>
  <c r="H177" i="1"/>
  <c r="L176" i="1"/>
  <c r="J176" i="1"/>
  <c r="I176" i="1"/>
  <c r="K176" i="1" s="1"/>
  <c r="H176" i="1"/>
  <c r="L175" i="1"/>
  <c r="J175" i="1"/>
  <c r="I175" i="1"/>
  <c r="K175" i="1" s="1"/>
  <c r="H175" i="1"/>
  <c r="L174" i="1"/>
  <c r="K174" i="1"/>
  <c r="J174" i="1"/>
  <c r="I174" i="1"/>
  <c r="H174" i="1"/>
  <c r="L173" i="1"/>
  <c r="J173" i="1"/>
  <c r="I173" i="1"/>
  <c r="K173" i="1" s="1"/>
  <c r="H173" i="1"/>
  <c r="L172" i="1"/>
  <c r="J172" i="1"/>
  <c r="I172" i="1"/>
  <c r="K172" i="1" s="1"/>
  <c r="H172" i="1"/>
  <c r="L171" i="1"/>
  <c r="K171" i="1"/>
  <c r="J171" i="1"/>
  <c r="I171" i="1"/>
  <c r="H171" i="1"/>
  <c r="L170" i="1"/>
  <c r="J170" i="1"/>
  <c r="I170" i="1"/>
  <c r="K170" i="1" s="1"/>
  <c r="H170" i="1"/>
  <c r="L169" i="1"/>
  <c r="J169" i="1"/>
  <c r="I169" i="1"/>
  <c r="K169" i="1" s="1"/>
  <c r="H169" i="1"/>
  <c r="L168" i="1"/>
  <c r="J168" i="1"/>
  <c r="K168" i="1" s="1"/>
  <c r="I168" i="1"/>
  <c r="H168" i="1"/>
  <c r="L167" i="1"/>
  <c r="J167" i="1"/>
  <c r="I167" i="1"/>
  <c r="K167" i="1" s="1"/>
  <c r="H167" i="1"/>
  <c r="L166" i="1"/>
  <c r="J166" i="1"/>
  <c r="I166" i="1"/>
  <c r="K166" i="1" s="1"/>
  <c r="H166" i="1"/>
  <c r="L165" i="1"/>
  <c r="J165" i="1"/>
  <c r="I165" i="1"/>
  <c r="K165" i="1" s="1"/>
  <c r="H165" i="1"/>
  <c r="L164" i="1"/>
  <c r="J164" i="1"/>
  <c r="I164" i="1"/>
  <c r="K164" i="1" s="1"/>
  <c r="H164" i="1"/>
  <c r="L163" i="1"/>
  <c r="J163" i="1"/>
  <c r="I163" i="1"/>
  <c r="K163" i="1" s="1"/>
  <c r="H163" i="1"/>
  <c r="L162" i="1"/>
  <c r="J162" i="1"/>
  <c r="I162" i="1"/>
  <c r="K162" i="1" s="1"/>
  <c r="H162" i="1"/>
  <c r="L161" i="1"/>
  <c r="J161" i="1"/>
  <c r="I161" i="1"/>
  <c r="K161" i="1" s="1"/>
  <c r="H161" i="1"/>
  <c r="L160" i="1"/>
  <c r="J160" i="1"/>
  <c r="I160" i="1"/>
  <c r="K160" i="1" s="1"/>
  <c r="H160" i="1"/>
  <c r="L159" i="1"/>
  <c r="J159" i="1"/>
  <c r="I159" i="1"/>
  <c r="K159" i="1" s="1"/>
  <c r="H159" i="1"/>
  <c r="L158" i="1"/>
  <c r="J158" i="1"/>
  <c r="I158" i="1"/>
  <c r="K158" i="1" s="1"/>
  <c r="H158" i="1"/>
  <c r="L157" i="1"/>
  <c r="J157" i="1"/>
  <c r="I157" i="1"/>
  <c r="K157" i="1" s="1"/>
  <c r="H157" i="1"/>
  <c r="L156" i="1"/>
  <c r="J156" i="1"/>
  <c r="I156" i="1"/>
  <c r="K156" i="1" s="1"/>
  <c r="H156" i="1"/>
  <c r="L155" i="1"/>
  <c r="J155" i="1"/>
  <c r="I155" i="1"/>
  <c r="K155" i="1" s="1"/>
  <c r="H155" i="1"/>
  <c r="L154" i="1"/>
  <c r="J154" i="1"/>
  <c r="I154" i="1"/>
  <c r="K154" i="1" s="1"/>
  <c r="H154" i="1"/>
  <c r="L153" i="1"/>
  <c r="J153" i="1"/>
  <c r="I153" i="1"/>
  <c r="K153" i="1" s="1"/>
  <c r="H153" i="1"/>
  <c r="L152" i="1"/>
  <c r="J152" i="1"/>
  <c r="I152" i="1"/>
  <c r="K152" i="1" s="1"/>
  <c r="H152" i="1"/>
  <c r="L151" i="1"/>
  <c r="J151" i="1"/>
  <c r="I151" i="1"/>
  <c r="K151" i="1" s="1"/>
  <c r="H151" i="1"/>
  <c r="L150" i="1"/>
  <c r="J150" i="1"/>
  <c r="I150" i="1"/>
  <c r="K150" i="1" s="1"/>
  <c r="H150" i="1"/>
  <c r="L149" i="1"/>
  <c r="J149" i="1"/>
  <c r="I149" i="1"/>
  <c r="K149" i="1" s="1"/>
  <c r="H149" i="1"/>
  <c r="L148" i="1"/>
  <c r="J148" i="1"/>
  <c r="I148" i="1"/>
  <c r="K148" i="1" s="1"/>
  <c r="H148" i="1"/>
  <c r="L147" i="1"/>
  <c r="J147" i="1"/>
  <c r="I147" i="1"/>
  <c r="K147" i="1" s="1"/>
  <c r="H147" i="1"/>
  <c r="L146" i="1"/>
  <c r="J146" i="1"/>
  <c r="I146" i="1"/>
  <c r="K146" i="1" s="1"/>
  <c r="H146" i="1"/>
  <c r="L145" i="1"/>
  <c r="J145" i="1"/>
  <c r="I145" i="1"/>
  <c r="K145" i="1" s="1"/>
  <c r="H145" i="1"/>
  <c r="L144" i="1"/>
  <c r="J144" i="1"/>
  <c r="K144" i="1" s="1"/>
  <c r="I144" i="1"/>
  <c r="H144" i="1"/>
  <c r="L143" i="1"/>
  <c r="J143" i="1"/>
  <c r="I143" i="1"/>
  <c r="K143" i="1" s="1"/>
  <c r="H143" i="1"/>
  <c r="L142" i="1"/>
  <c r="J142" i="1"/>
  <c r="I142" i="1"/>
  <c r="K142" i="1" s="1"/>
  <c r="H142" i="1"/>
  <c r="L141" i="1"/>
  <c r="J141" i="1"/>
  <c r="I141" i="1"/>
  <c r="K141" i="1" s="1"/>
  <c r="H141" i="1"/>
  <c r="L140" i="1"/>
  <c r="J140" i="1"/>
  <c r="I140" i="1"/>
  <c r="K140" i="1" s="1"/>
  <c r="H140" i="1"/>
  <c r="L139" i="1"/>
  <c r="J139" i="1"/>
  <c r="I139" i="1"/>
  <c r="K139" i="1" s="1"/>
  <c r="H139" i="1"/>
  <c r="L138" i="1"/>
  <c r="J138" i="1"/>
  <c r="I138" i="1"/>
  <c r="K138" i="1" s="1"/>
  <c r="H138" i="1"/>
  <c r="L137" i="1"/>
  <c r="J137" i="1"/>
  <c r="I137" i="1"/>
  <c r="K137" i="1" s="1"/>
  <c r="H137" i="1"/>
  <c r="L136" i="1"/>
  <c r="J136" i="1"/>
  <c r="K136" i="1" s="1"/>
  <c r="I136" i="1"/>
  <c r="H136" i="1"/>
  <c r="L135" i="1"/>
  <c r="J135" i="1"/>
  <c r="I135" i="1"/>
  <c r="K135" i="1" s="1"/>
  <c r="H135" i="1"/>
  <c r="L134" i="1"/>
  <c r="J134" i="1"/>
  <c r="I134" i="1"/>
  <c r="K134" i="1" s="1"/>
  <c r="H134" i="1"/>
  <c r="L133" i="1"/>
  <c r="J133" i="1"/>
  <c r="I133" i="1"/>
  <c r="K133" i="1" s="1"/>
  <c r="H133" i="1"/>
  <c r="L132" i="1"/>
  <c r="J132" i="1"/>
  <c r="I132" i="1"/>
  <c r="K132" i="1" s="1"/>
  <c r="H132" i="1"/>
  <c r="L131" i="1"/>
  <c r="J131" i="1"/>
  <c r="I131" i="1"/>
  <c r="K131" i="1" s="1"/>
  <c r="H131" i="1"/>
  <c r="L130" i="1"/>
  <c r="J130" i="1"/>
  <c r="I130" i="1"/>
  <c r="K130" i="1" s="1"/>
  <c r="H130" i="1"/>
  <c r="L129" i="1"/>
  <c r="J129" i="1"/>
  <c r="I129" i="1"/>
  <c r="K129" i="1" s="1"/>
  <c r="H129" i="1"/>
  <c r="L128" i="1"/>
  <c r="J128" i="1"/>
  <c r="I128" i="1"/>
  <c r="K128" i="1" s="1"/>
  <c r="H128" i="1"/>
  <c r="L127" i="1"/>
  <c r="J127" i="1"/>
  <c r="I127" i="1"/>
  <c r="K127" i="1" s="1"/>
  <c r="H127" i="1"/>
  <c r="L126" i="1"/>
  <c r="J126" i="1"/>
  <c r="I126" i="1"/>
  <c r="K126" i="1" s="1"/>
  <c r="H126" i="1"/>
  <c r="L125" i="1"/>
  <c r="J125" i="1"/>
  <c r="I125" i="1"/>
  <c r="K125" i="1" s="1"/>
  <c r="H125" i="1"/>
  <c r="L124" i="1"/>
  <c r="J124" i="1"/>
  <c r="I124" i="1"/>
  <c r="K124" i="1" s="1"/>
  <c r="H124" i="1"/>
  <c r="L123" i="1"/>
  <c r="J123" i="1"/>
  <c r="I123" i="1"/>
  <c r="K123" i="1" s="1"/>
  <c r="H123" i="1"/>
  <c r="L122" i="1"/>
  <c r="J122" i="1"/>
  <c r="I122" i="1"/>
  <c r="K122" i="1" s="1"/>
  <c r="H122" i="1"/>
  <c r="L121" i="1"/>
  <c r="K121" i="1"/>
  <c r="J121" i="1"/>
  <c r="I121" i="1"/>
  <c r="H121" i="1"/>
  <c r="L120" i="1"/>
  <c r="J120" i="1"/>
  <c r="I120" i="1"/>
  <c r="K120" i="1" s="1"/>
  <c r="H120" i="1"/>
  <c r="L119" i="1"/>
  <c r="J119" i="1"/>
  <c r="I119" i="1"/>
  <c r="K119" i="1" s="1"/>
  <c r="H119" i="1"/>
  <c r="L118" i="1"/>
  <c r="J118" i="1"/>
  <c r="I118" i="1"/>
  <c r="K118" i="1" s="1"/>
  <c r="H118" i="1"/>
  <c r="L117" i="1"/>
  <c r="J117" i="1"/>
  <c r="I117" i="1"/>
  <c r="K117" i="1" s="1"/>
  <c r="H117" i="1"/>
  <c r="L116" i="1"/>
  <c r="J116" i="1"/>
  <c r="I116" i="1"/>
  <c r="K116" i="1" s="1"/>
  <c r="H116" i="1"/>
  <c r="L115" i="1"/>
  <c r="J115" i="1"/>
  <c r="I115" i="1"/>
  <c r="K115" i="1" s="1"/>
  <c r="H115" i="1"/>
  <c r="L114" i="1"/>
  <c r="J114" i="1"/>
  <c r="K114" i="1" s="1"/>
  <c r="I114" i="1"/>
  <c r="H114" i="1"/>
  <c r="L113" i="1"/>
  <c r="J113" i="1"/>
  <c r="I113" i="1"/>
  <c r="K113" i="1" s="1"/>
  <c r="H113" i="1"/>
  <c r="L112" i="1"/>
  <c r="J112" i="1"/>
  <c r="I112" i="1"/>
  <c r="K112" i="1" s="1"/>
  <c r="H112" i="1"/>
  <c r="L111" i="1"/>
  <c r="J111" i="1"/>
  <c r="I111" i="1"/>
  <c r="K111" i="1" s="1"/>
  <c r="H111" i="1"/>
  <c r="L110" i="1"/>
  <c r="J110" i="1"/>
  <c r="K110" i="1" s="1"/>
  <c r="I110" i="1"/>
  <c r="H110" i="1"/>
  <c r="L109" i="1"/>
  <c r="J109" i="1"/>
  <c r="I109" i="1"/>
  <c r="K109" i="1" s="1"/>
  <c r="H109" i="1"/>
  <c r="L108" i="1"/>
  <c r="K108" i="1"/>
  <c r="J108" i="1"/>
  <c r="I108" i="1"/>
  <c r="H108" i="1"/>
  <c r="L107" i="1"/>
  <c r="J107" i="1"/>
  <c r="I107" i="1"/>
  <c r="K107" i="1" s="1"/>
  <c r="H107" i="1"/>
  <c r="L106" i="1"/>
  <c r="J106" i="1"/>
  <c r="I106" i="1"/>
  <c r="K106" i="1" s="1"/>
  <c r="H106" i="1"/>
  <c r="L105" i="1"/>
  <c r="J105" i="1"/>
  <c r="I105" i="1"/>
  <c r="K105" i="1" s="1"/>
  <c r="H105" i="1"/>
  <c r="L104" i="1"/>
  <c r="J104" i="1"/>
  <c r="I104" i="1"/>
  <c r="K104" i="1" s="1"/>
  <c r="H104" i="1"/>
  <c r="L103" i="1"/>
  <c r="J103" i="1"/>
  <c r="I103" i="1"/>
  <c r="K103" i="1" s="1"/>
  <c r="H103" i="1"/>
  <c r="L102" i="1"/>
  <c r="J102" i="1"/>
  <c r="I102" i="1"/>
  <c r="K102" i="1" s="1"/>
  <c r="H102" i="1"/>
  <c r="L101" i="1"/>
  <c r="J101" i="1"/>
  <c r="I101" i="1"/>
  <c r="K101" i="1" s="1"/>
  <c r="H101" i="1"/>
  <c r="L100" i="1"/>
  <c r="J100" i="1"/>
  <c r="I100" i="1"/>
  <c r="K100" i="1" s="1"/>
  <c r="H100" i="1"/>
  <c r="L99" i="1"/>
  <c r="J99" i="1"/>
  <c r="I99" i="1"/>
  <c r="K99" i="1" s="1"/>
  <c r="H99" i="1"/>
  <c r="L98" i="1"/>
  <c r="J98" i="1"/>
  <c r="I98" i="1"/>
  <c r="K98" i="1" s="1"/>
  <c r="H98" i="1"/>
  <c r="L97" i="1"/>
  <c r="J97" i="1"/>
  <c r="I97" i="1"/>
  <c r="K97" i="1" s="1"/>
  <c r="H97" i="1"/>
  <c r="L96" i="1"/>
  <c r="J96" i="1"/>
  <c r="I96" i="1"/>
  <c r="K96" i="1" s="1"/>
  <c r="H96" i="1"/>
  <c r="L95" i="1"/>
  <c r="J95" i="1"/>
  <c r="I95" i="1"/>
  <c r="K95" i="1" s="1"/>
  <c r="H95" i="1"/>
  <c r="L94" i="1"/>
  <c r="J94" i="1"/>
  <c r="I94" i="1"/>
  <c r="K94" i="1" s="1"/>
  <c r="H94" i="1"/>
  <c r="L93" i="1"/>
  <c r="J93" i="1"/>
  <c r="I93" i="1"/>
  <c r="K93" i="1" s="1"/>
  <c r="H93" i="1"/>
  <c r="L92" i="1"/>
  <c r="J92" i="1"/>
  <c r="I92" i="1"/>
  <c r="K92" i="1" s="1"/>
  <c r="H92" i="1"/>
  <c r="L91" i="1"/>
  <c r="J91" i="1"/>
  <c r="I91" i="1"/>
  <c r="K91" i="1" s="1"/>
  <c r="H91" i="1"/>
  <c r="L90" i="1"/>
  <c r="J90" i="1"/>
  <c r="I90" i="1"/>
  <c r="K90" i="1" s="1"/>
  <c r="H90" i="1"/>
  <c r="L89" i="1"/>
  <c r="J89" i="1"/>
  <c r="I89" i="1"/>
  <c r="K89" i="1" s="1"/>
  <c r="H89" i="1"/>
  <c r="L88" i="1"/>
  <c r="J88" i="1"/>
  <c r="I88" i="1"/>
  <c r="K88" i="1" s="1"/>
  <c r="H88" i="1"/>
  <c r="L87" i="1"/>
  <c r="J87" i="1"/>
  <c r="I87" i="1"/>
  <c r="K87" i="1" s="1"/>
  <c r="H87" i="1"/>
  <c r="L86" i="1"/>
  <c r="J86" i="1"/>
  <c r="I86" i="1"/>
  <c r="K86" i="1" s="1"/>
  <c r="H86" i="1"/>
  <c r="L85" i="1"/>
  <c r="J85" i="1"/>
  <c r="I85" i="1"/>
  <c r="K85" i="1" s="1"/>
  <c r="H85" i="1"/>
  <c r="L84" i="1"/>
  <c r="J84" i="1"/>
  <c r="I84" i="1"/>
  <c r="K84" i="1" s="1"/>
  <c r="H84" i="1"/>
  <c r="L83" i="1"/>
  <c r="J83" i="1"/>
  <c r="I83" i="1"/>
  <c r="K83" i="1" s="1"/>
  <c r="H83" i="1"/>
  <c r="L82" i="1"/>
  <c r="J82" i="1"/>
  <c r="I82" i="1"/>
  <c r="K82" i="1" s="1"/>
  <c r="H82" i="1"/>
  <c r="L81" i="1"/>
  <c r="J81" i="1"/>
  <c r="I81" i="1"/>
  <c r="K81" i="1" s="1"/>
  <c r="H81" i="1"/>
  <c r="L80" i="1"/>
  <c r="J80" i="1"/>
  <c r="I80" i="1"/>
  <c r="K80" i="1" s="1"/>
  <c r="H80" i="1"/>
  <c r="L79" i="1"/>
  <c r="J79" i="1"/>
  <c r="I79" i="1"/>
  <c r="K79" i="1" s="1"/>
  <c r="H79" i="1"/>
  <c r="L78" i="1"/>
  <c r="J78" i="1"/>
  <c r="K78" i="1" s="1"/>
  <c r="I78" i="1"/>
  <c r="H78" i="1"/>
  <c r="L77" i="1"/>
  <c r="J77" i="1"/>
  <c r="I77" i="1"/>
  <c r="K77" i="1" s="1"/>
  <c r="H77" i="1"/>
  <c r="L76" i="1"/>
  <c r="J76" i="1"/>
  <c r="I76" i="1"/>
  <c r="K76" i="1" s="1"/>
  <c r="H76" i="1"/>
  <c r="L75" i="1"/>
  <c r="J75" i="1"/>
  <c r="I75" i="1"/>
  <c r="K75" i="1" s="1"/>
  <c r="H75" i="1"/>
  <c r="L74" i="1"/>
  <c r="J74" i="1"/>
  <c r="I74" i="1"/>
  <c r="K74" i="1" s="1"/>
  <c r="H74" i="1"/>
  <c r="L73" i="1"/>
  <c r="J73" i="1"/>
  <c r="I73" i="1"/>
  <c r="K73" i="1" s="1"/>
  <c r="H73" i="1"/>
  <c r="L72" i="1"/>
  <c r="J72" i="1"/>
  <c r="I72" i="1"/>
  <c r="K72" i="1" s="1"/>
  <c r="H72" i="1"/>
  <c r="L71" i="1"/>
  <c r="J71" i="1"/>
  <c r="I71" i="1"/>
  <c r="K71" i="1" s="1"/>
  <c r="H71" i="1"/>
  <c r="L70" i="1"/>
  <c r="J70" i="1"/>
  <c r="I70" i="1"/>
  <c r="K70" i="1" s="1"/>
  <c r="H70" i="1"/>
  <c r="L69" i="1"/>
  <c r="J69" i="1"/>
  <c r="I69" i="1"/>
  <c r="K69" i="1" s="1"/>
  <c r="H69" i="1"/>
  <c r="L68" i="1"/>
  <c r="J68" i="1"/>
  <c r="I68" i="1"/>
  <c r="K68" i="1" s="1"/>
  <c r="H68" i="1"/>
  <c r="L67" i="1"/>
  <c r="J67" i="1"/>
  <c r="I67" i="1"/>
  <c r="K67" i="1" s="1"/>
  <c r="H67" i="1"/>
  <c r="L66" i="1"/>
  <c r="J66" i="1"/>
  <c r="I66" i="1"/>
  <c r="K66" i="1" s="1"/>
  <c r="H66" i="1"/>
  <c r="L65" i="1"/>
  <c r="J65" i="1"/>
  <c r="I65" i="1"/>
  <c r="K65" i="1" s="1"/>
  <c r="H65" i="1"/>
  <c r="L64" i="1"/>
  <c r="K64" i="1"/>
  <c r="J64" i="1"/>
  <c r="I64" i="1"/>
  <c r="H64" i="1"/>
  <c r="L63" i="1"/>
  <c r="J63" i="1"/>
  <c r="I63" i="1"/>
  <c r="K63" i="1" s="1"/>
  <c r="H63" i="1"/>
  <c r="L62" i="1"/>
  <c r="J62" i="1"/>
  <c r="I62" i="1"/>
  <c r="K62" i="1" s="1"/>
  <c r="H62" i="1"/>
  <c r="L61" i="1"/>
  <c r="J61" i="1"/>
  <c r="I61" i="1"/>
  <c r="K61" i="1" s="1"/>
  <c r="H61" i="1"/>
  <c r="L60" i="1"/>
  <c r="J60" i="1"/>
  <c r="I60" i="1"/>
  <c r="K60" i="1" s="1"/>
  <c r="H60" i="1"/>
  <c r="L59" i="1"/>
  <c r="J59" i="1"/>
  <c r="I59" i="1"/>
  <c r="K59" i="1" s="1"/>
  <c r="H59" i="1"/>
  <c r="L58" i="1"/>
  <c r="J58" i="1"/>
  <c r="I58" i="1"/>
  <c r="K58" i="1" s="1"/>
  <c r="H58" i="1"/>
  <c r="L57" i="1"/>
  <c r="K57" i="1"/>
  <c r="J57" i="1"/>
  <c r="I57" i="1"/>
  <c r="H57" i="1"/>
  <c r="L56" i="1"/>
  <c r="J56" i="1"/>
  <c r="K56" i="1" s="1"/>
  <c r="I56" i="1"/>
  <c r="H56" i="1"/>
  <c r="L55" i="1"/>
  <c r="J55" i="1"/>
  <c r="I55" i="1"/>
  <c r="K55" i="1" s="1"/>
  <c r="H55" i="1"/>
  <c r="L54" i="1"/>
  <c r="J54" i="1"/>
  <c r="I54" i="1"/>
  <c r="K54" i="1" s="1"/>
  <c r="H54" i="1"/>
  <c r="L53" i="1"/>
  <c r="J53" i="1"/>
  <c r="I53" i="1"/>
  <c r="K53" i="1" s="1"/>
  <c r="H53" i="1"/>
  <c r="L52" i="1"/>
  <c r="J52" i="1"/>
  <c r="I52" i="1"/>
  <c r="K52" i="1" s="1"/>
  <c r="H52" i="1"/>
  <c r="L51" i="1"/>
  <c r="J51" i="1"/>
  <c r="I51" i="1"/>
  <c r="K51" i="1" s="1"/>
  <c r="H51" i="1"/>
  <c r="L50" i="1"/>
  <c r="J50" i="1"/>
  <c r="I50" i="1"/>
  <c r="K50" i="1" s="1"/>
  <c r="H50" i="1"/>
  <c r="L49" i="1"/>
  <c r="J49" i="1"/>
  <c r="I49" i="1"/>
  <c r="K49" i="1" s="1"/>
  <c r="H49" i="1"/>
  <c r="L48" i="1"/>
  <c r="K48" i="1"/>
  <c r="J48" i="1"/>
  <c r="I48" i="1"/>
  <c r="H48" i="1"/>
  <c r="L47" i="1"/>
  <c r="J47" i="1"/>
  <c r="I47" i="1"/>
  <c r="K47" i="1" s="1"/>
  <c r="H47" i="1"/>
  <c r="L46" i="1"/>
  <c r="J46" i="1"/>
  <c r="I46" i="1"/>
  <c r="K46" i="1" s="1"/>
  <c r="H46" i="1"/>
  <c r="L45" i="1"/>
  <c r="J45" i="1"/>
  <c r="I45" i="1"/>
  <c r="K45" i="1" s="1"/>
  <c r="H45" i="1"/>
  <c r="L44" i="1"/>
  <c r="J44" i="1"/>
  <c r="I44" i="1"/>
  <c r="K44" i="1" s="1"/>
  <c r="H44" i="1"/>
  <c r="L43" i="1"/>
  <c r="J43" i="1"/>
  <c r="I43" i="1"/>
  <c r="K43" i="1" s="1"/>
  <c r="H43" i="1"/>
  <c r="L42" i="1"/>
  <c r="J42" i="1"/>
  <c r="I42" i="1"/>
  <c r="K42" i="1" s="1"/>
  <c r="H42" i="1"/>
  <c r="L41" i="1"/>
  <c r="J41" i="1"/>
  <c r="I41" i="1"/>
  <c r="K41" i="1" s="1"/>
  <c r="H41" i="1"/>
  <c r="L40" i="1"/>
  <c r="J40" i="1"/>
  <c r="I40" i="1"/>
  <c r="K40" i="1" s="1"/>
  <c r="H40" i="1"/>
  <c r="L39" i="1"/>
  <c r="J39" i="1"/>
  <c r="I39" i="1"/>
  <c r="K39" i="1" s="1"/>
  <c r="H39" i="1"/>
  <c r="L38" i="1"/>
  <c r="J38" i="1"/>
  <c r="I38" i="1"/>
  <c r="K38" i="1" s="1"/>
  <c r="H38" i="1"/>
  <c r="L37" i="1"/>
  <c r="J37" i="1"/>
  <c r="I37" i="1"/>
  <c r="K37" i="1" s="1"/>
  <c r="H37" i="1"/>
  <c r="L36" i="1"/>
  <c r="J36" i="1"/>
  <c r="I36" i="1"/>
  <c r="K36" i="1" s="1"/>
  <c r="H36" i="1"/>
  <c r="L35" i="1"/>
  <c r="J35" i="1"/>
  <c r="I35" i="1"/>
  <c r="K35" i="1" s="1"/>
  <c r="H35" i="1"/>
  <c r="L34" i="1"/>
  <c r="J34" i="1"/>
  <c r="I34" i="1"/>
  <c r="K34" i="1" s="1"/>
  <c r="H34" i="1"/>
  <c r="L33" i="1"/>
  <c r="J33" i="1"/>
  <c r="K33" i="1" s="1"/>
  <c r="I33" i="1"/>
  <c r="H33" i="1"/>
  <c r="L32" i="1"/>
  <c r="J32" i="1"/>
  <c r="I32" i="1"/>
  <c r="K32" i="1" s="1"/>
  <c r="H32" i="1"/>
  <c r="L31" i="1"/>
  <c r="J31" i="1"/>
  <c r="I31" i="1"/>
  <c r="K31" i="1" s="1"/>
  <c r="H31" i="1"/>
  <c r="L30" i="1"/>
  <c r="J30" i="1"/>
  <c r="K30" i="1" s="1"/>
  <c r="I30" i="1"/>
  <c r="H30" i="1"/>
  <c r="L29" i="1"/>
  <c r="J29" i="1"/>
  <c r="I29" i="1"/>
  <c r="K29" i="1" s="1"/>
  <c r="H29" i="1"/>
  <c r="L28" i="1"/>
  <c r="J28" i="1"/>
  <c r="I28" i="1"/>
  <c r="K28" i="1" s="1"/>
  <c r="H28" i="1"/>
  <c r="L27" i="1"/>
  <c r="J27" i="1"/>
  <c r="I27" i="1"/>
  <c r="K27" i="1" s="1"/>
  <c r="H27" i="1"/>
  <c r="L26" i="1"/>
  <c r="J26" i="1"/>
  <c r="I26" i="1"/>
  <c r="K26" i="1" s="1"/>
  <c r="H26" i="1"/>
  <c r="L25" i="1"/>
  <c r="J25" i="1"/>
  <c r="I25" i="1"/>
  <c r="K25" i="1" s="1"/>
  <c r="H25" i="1"/>
  <c r="L24" i="1"/>
  <c r="J24" i="1"/>
  <c r="I24" i="1"/>
  <c r="K24" i="1" s="1"/>
  <c r="H24" i="1"/>
  <c r="L23" i="1"/>
  <c r="J23" i="1"/>
  <c r="I23" i="1"/>
  <c r="K23" i="1" s="1"/>
  <c r="H23" i="1"/>
  <c r="L22" i="1"/>
  <c r="J22" i="1"/>
  <c r="I22" i="1"/>
  <c r="K22" i="1" s="1"/>
  <c r="H22" i="1"/>
  <c r="L21" i="1"/>
  <c r="J21" i="1"/>
  <c r="I21" i="1"/>
  <c r="K21" i="1" s="1"/>
  <c r="H21" i="1"/>
  <c r="L20" i="1"/>
  <c r="J20" i="1"/>
  <c r="I20" i="1"/>
  <c r="K20" i="1" s="1"/>
  <c r="H20" i="1"/>
  <c r="L19" i="1"/>
  <c r="J19" i="1"/>
  <c r="I19" i="1"/>
  <c r="K19" i="1" s="1"/>
  <c r="H19" i="1"/>
  <c r="L18" i="1"/>
  <c r="J18" i="1"/>
  <c r="I18" i="1"/>
  <c r="K18" i="1" s="1"/>
  <c r="H18" i="1"/>
  <c r="L17" i="1"/>
  <c r="J17" i="1"/>
  <c r="I17" i="1"/>
  <c r="K17" i="1" s="1"/>
  <c r="H17" i="1"/>
  <c r="L16" i="1"/>
  <c r="J16" i="1"/>
  <c r="I16" i="1"/>
  <c r="K16" i="1" s="1"/>
  <c r="H16" i="1"/>
  <c r="L15" i="1"/>
  <c r="J15" i="1"/>
  <c r="I15" i="1"/>
  <c r="K15" i="1" s="1"/>
  <c r="H15" i="1"/>
  <c r="L14" i="1"/>
  <c r="J14" i="1"/>
  <c r="I14" i="1"/>
  <c r="K14" i="1" s="1"/>
  <c r="H14" i="1"/>
  <c r="L13" i="1"/>
  <c r="J13" i="1"/>
  <c r="I13" i="1"/>
  <c r="K13" i="1" s="1"/>
  <c r="H13" i="1"/>
  <c r="L12" i="1"/>
  <c r="J12" i="1"/>
  <c r="I12" i="1"/>
  <c r="K12" i="1" s="1"/>
  <c r="H12" i="1"/>
  <c r="L11" i="1"/>
  <c r="J11" i="1"/>
  <c r="I11" i="1"/>
  <c r="K11" i="1" s="1"/>
  <c r="H11" i="1"/>
  <c r="L10" i="1"/>
  <c r="J10" i="1"/>
  <c r="I10" i="1"/>
  <c r="K10" i="1" s="1"/>
  <c r="H10" i="1"/>
  <c r="L9" i="1"/>
  <c r="J9" i="1"/>
  <c r="I9" i="1"/>
  <c r="K9" i="1" s="1"/>
  <c r="H9" i="1"/>
  <c r="L8" i="1"/>
  <c r="J8" i="1"/>
  <c r="I8" i="1"/>
  <c r="K8" i="1" s="1"/>
  <c r="H8" i="1"/>
  <c r="L7" i="1"/>
  <c r="J7" i="1"/>
  <c r="I7" i="1"/>
  <c r="K7" i="1" s="1"/>
  <c r="H7" i="1"/>
  <c r="L6" i="1"/>
  <c r="J6" i="1"/>
  <c r="I6" i="1"/>
  <c r="K6" i="1" s="1"/>
  <c r="H6" i="1"/>
  <c r="L5" i="1"/>
  <c r="J5" i="1"/>
  <c r="I5" i="1"/>
  <c r="K5" i="1" s="1"/>
  <c r="H5" i="1"/>
  <c r="L4" i="1"/>
  <c r="J4" i="1"/>
  <c r="I4" i="1"/>
  <c r="K4" i="1" s="1"/>
  <c r="H4" i="1"/>
  <c r="L3" i="1"/>
  <c r="J3" i="1"/>
  <c r="I3" i="1"/>
  <c r="K3" i="1" s="1"/>
  <c r="H3" i="1"/>
  <c r="L2" i="1"/>
  <c r="J2" i="1"/>
  <c r="I2" i="1"/>
  <c r="K2" i="1" s="1"/>
  <c r="H2" i="1"/>
</calcChain>
</file>

<file path=xl/sharedStrings.xml><?xml version="1.0" encoding="utf-8"?>
<sst xmlns="http://schemas.openxmlformats.org/spreadsheetml/2006/main" count="3612" uniqueCount="2087">
  <si>
    <t>Area</t>
  </si>
  <si>
    <t>Name</t>
  </si>
  <si>
    <t>Rating</t>
  </si>
  <si>
    <t>Total Ratings</t>
  </si>
  <si>
    <t>Address</t>
  </si>
  <si>
    <t>Latitude</t>
  </si>
  <si>
    <t>Longitude</t>
  </si>
  <si>
    <t>Popularity Score</t>
  </si>
  <si>
    <t>Estimated Monthly Visitors</t>
  </si>
  <si>
    <t>Average Spend</t>
  </si>
  <si>
    <t>Estimated Revenue</t>
  </si>
  <si>
    <t>Cafe Category</t>
  </si>
  <si>
    <t>Colaba</t>
  </si>
  <si>
    <t>Cafe Basilico - Colaba</t>
  </si>
  <si>
    <t>Sentinel House, Ground Floor, Arthur Bunder Rd, Azmi Street, Colaba, Mumbai, Maharashtra 400005, India</t>
  </si>
  <si>
    <t>Leopold Cafe</t>
  </si>
  <si>
    <t>Police Station, Shahid Bhagat Singh Road, Colaba Causeway, near Colaba, Mumbai, Maharashtra 400001, India</t>
  </si>
  <si>
    <t>Bay view Cafe</t>
  </si>
  <si>
    <t>25, PJ Ramchandani Marg, Apollo Bandar, Colaba, Mumbai, Maharashtra 400001, India</t>
  </si>
  <si>
    <t>Cafe Churchill</t>
  </si>
  <si>
    <t>East West Court Building, Colaba Causeway, Apollo Bandar, Colaba, Mumbai, Maharashtra 400001, India</t>
  </si>
  <si>
    <t>Mag St.</t>
  </si>
  <si>
    <t>Mag St., 4, Mandlik Rd, Apollo Bandar, Colaba, Mumbai, Maharashtra 400001, India</t>
  </si>
  <si>
    <t>Cafe Mondegar</t>
  </si>
  <si>
    <t>Metro House, Colaba Causeway, near Regal Cinema, Apollo Bandar, Colaba, Mumbai, Maharashtra 400001, India</t>
  </si>
  <si>
    <t>Olympia Coffee House</t>
  </si>
  <si>
    <t>Rahim Mansion, 1, Shahid Bhagat Singh Rd, Scindia Society, Police Colony, Apollo Bandar, Colaba, Mumbai, Maharashtra 400039, India</t>
  </si>
  <si>
    <t>Colaba SOCIAL</t>
  </si>
  <si>
    <t>B K Boman Behram Marg Shop 24, Ground Floor, Apollo Bandar, Colaba, Mumbai, Maharashtra 400001, India</t>
  </si>
  <si>
    <t>Bake House Cafe</t>
  </si>
  <si>
    <t>WRHJ+6XF, Chamber of Commerce Ln, Kala Ghoda, Fort, Mumbai, Maharashtra 400001, India</t>
  </si>
  <si>
    <t>Kala Ghoda Cafe</t>
  </si>
  <si>
    <t>10, Rope Walk Ln, Kala Ghoda, Fort, Mumbai, Maharashtra 400001, India</t>
  </si>
  <si>
    <t>Zen Cafe</t>
  </si>
  <si>
    <t>Fort Foundation Building, Bake House Ln, Kala Ghoda, Fort, Mumbai, Maharashtra 400001, India</t>
  </si>
  <si>
    <t>Kuckeliku Breakfast House</t>
  </si>
  <si>
    <t>First Floor, Kamal Mansion, 4/25, Arthur Bunder Rd, near Radio Club, Apollo Bandar, Colaba, Mumbai, Maharashtra 400005, India</t>
  </si>
  <si>
    <t>Banyan Tree Cafe</t>
  </si>
  <si>
    <t>7, 9, Calicut Rd, Ballard Estate, Fort, Mumbai, Maharashtra 400001, India</t>
  </si>
  <si>
    <t>Theobroma</t>
  </si>
  <si>
    <t>Shop No 24, Cusrow Baug, Shahid Bhagat Singh Road, Colaba Causeway, Colaba, Mumbai, Maharashtra 400005, India</t>
  </si>
  <si>
    <t>ARAKU Coffee</t>
  </si>
  <si>
    <t>No. 1, Sunny House, Mandlik Rd, behind The Taj Mahal Palace, Apollo Bandar, Colaba, Mumbai, Maharashtra 400001, India</t>
  </si>
  <si>
    <t>Cafe Marina</t>
  </si>
  <si>
    <t>Sea Palace Hotel Mumbai, 26, PJ Ramchandani Marg, Apollo Bandar, Colaba, Mumbai, Maharashtra 400001, India</t>
  </si>
  <si>
    <t>The Cacao Mill by Subko</t>
  </si>
  <si>
    <t>2nd Pasta Lane, Market, Badhwar Park, Apollo Bandar, Colaba, Mumbai, Maharashtra 400005, India</t>
  </si>
  <si>
    <t>US Club Fine Dine Cafe Lounge</t>
  </si>
  <si>
    <t>WR24+52C, Mosque Ln, Navy Nagar, Colaba, Mumbai, Maharashtra 400005, India</t>
  </si>
  <si>
    <t>Kitchen Garden</t>
  </si>
  <si>
    <t>Nowroji Mansion, Roosevelt House, Furdonji Road, behind Taj Hotel, Apollo Bandar, Colaba, Mumbai, Maharashtra 400001, India</t>
  </si>
  <si>
    <t>Smoke House Deli Colaba</t>
  </si>
  <si>
    <t>B K Boman Behram Marg Ground Floor, Building 24, Apollo Bandar, Colaba, Mumbai, Maharashtra 400001, India</t>
  </si>
  <si>
    <t>Third Wave Coffee</t>
  </si>
  <si>
    <t>Ground Floor, Star Mansion, Plot No 66, Wodehouse Rd, Cuffe Parade, Mumbai, Maharashtra 400005, India</t>
  </si>
  <si>
    <t>Mockingbird Cafe Bar</t>
  </si>
  <si>
    <t>80, Veer Nariman Rd, Churchgate, Mumbai, Maharashtra 400020, India</t>
  </si>
  <si>
    <t>Shamiana</t>
  </si>
  <si>
    <t>The Taj Mahal Palace Hotel, B K Boman Behram Marg, Apollo Bandar, Colaba, Mumbai, Maharashtra 400001, India</t>
  </si>
  <si>
    <t>Cafe Universal RESTAURANT &amp;BAR</t>
  </si>
  <si>
    <t>299, Shahid Bhagat Singh Rd, opp. Geo Chem Laboratories, Ballard Estate, Fort, Mumbai, Maharashtra 400001, India</t>
  </si>
  <si>
    <t>Mews Cafe</t>
  </si>
  <si>
    <t>Taj Wellington Mews, 33, Nathalal Parikh Marg, Cusrow Baug Colony, Apollo, Bandar, Maharashtra 400001, India</t>
  </si>
  <si>
    <t>Madras Cafe</t>
  </si>
  <si>
    <t>Aziz Mansion, Shahid Bhagat Singh Rd, Railway Colony, Apollo Bandar, Colaba, Mumbai, Maharashtra 400005, India</t>
  </si>
  <si>
    <t>The Table</t>
  </si>
  <si>
    <t>Ground Floor, Kalapesi Trust Building, opposite Dhanraj Mahal, Apollo Bandar, Colaba, Mumbai, Maharashtra 400039, India</t>
  </si>
  <si>
    <t>Cafe Paris</t>
  </si>
  <si>
    <t>56 A, Makani Mansion, Shahid Bhagat Singh Rd, Marg, Colaba, Mumbai, Maharashtra 400005, India</t>
  </si>
  <si>
    <t>Sea Lounge</t>
  </si>
  <si>
    <t>The Taj Mahal Palace Hotel, Apollo Bandar, Colaba, Mumbai, Maharashtra 400001, India</t>
  </si>
  <si>
    <t>Souk</t>
  </si>
  <si>
    <t>The Taj Mahal Palace Hotel, Apollo Bunder, Colaba, Colaba, Mumbai, Maharashtra 400001, India</t>
  </si>
  <si>
    <t>Starbucks - Taj Palace (S003)</t>
  </si>
  <si>
    <t>opp. Gateway Of India, Apollo Bandar, Colaba, Mumbai, Maharashtra 400005, India</t>
  </si>
  <si>
    <t>Neuma</t>
  </si>
  <si>
    <t>Garden Chalet, 4/6, Mandlik Rd, near Regal Cinema, Apollo Bandar, Colaba, Mumbai, Maharashtra 400001, India</t>
  </si>
  <si>
    <t>145 Kala Ghoda</t>
  </si>
  <si>
    <t>Temple Bar Building, 145, Mahatma Gandhi Road, Kala Ghoda, Fort, Mumbai, Maharashtra 400001, India</t>
  </si>
  <si>
    <t>Woodside Inn</t>
  </si>
  <si>
    <t>Indian Mercantile Mansion, Wodehouse Road, Opposite Regal Cinema, Colaba Causeway, Colaba, Mumbai, Maharashtra 400039, India</t>
  </si>
  <si>
    <t>Bombay Coffee House Fort</t>
  </si>
  <si>
    <t>3, SS Ram Gulam Marg, Ballard Estate, Fort, Mumbai, Maharashtra 400001, India</t>
  </si>
  <si>
    <t>Koyla - Ethnic Cuisine</t>
  </si>
  <si>
    <t>Kamal Mansion, 3/23, N.A. Azmi Road, next to Radio Club, Apollo Bandar, Colaba, Mumbai, Maharashtra 400005, India</t>
  </si>
  <si>
    <t>Cafe Excelsior</t>
  </si>
  <si>
    <t>Kitab Mahal, 23, AK Nayak Marg, opp. Excelsior Cinema, Azad Maidan, Fort, Mumbai, Maharashtra 400001, India</t>
  </si>
  <si>
    <t>Mini Room Cafe</t>
  </si>
  <si>
    <t>East West Court, Colaba Causeway, Apollo Bandar, Colaba, east, Mumbai, Maharashtra 400039, India</t>
  </si>
  <si>
    <t>Bake Live Studio - Colaba</t>
  </si>
  <si>
    <t>Shop no- 3 &amp; 4, Sukh Nivas, SBS Road, 3rd Pasta Ln, Mumbai, Maharashtra 400005, India</t>
  </si>
  <si>
    <t>Cloud 9 Cafe</t>
  </si>
  <si>
    <t>Hotel Godwin, 41, Garden Rd, Apollo Bandar, Colaba, Mumbai, Maharashtra 400001, India</t>
  </si>
  <si>
    <t>Chikita Cafe</t>
  </si>
  <si>
    <t>Oriental Mansion Building, Nathalal Parikh Marg, opposite Regal Cinema, Dr Ambedkar Statue Chowk Area, Colaba, Mumbai, Maharashtra 400001, India</t>
  </si>
  <si>
    <t>Bademiya</t>
  </si>
  <si>
    <t>Bademiya, Tulloch Rd, Apollo Bandar, Colaba, Mumbai, Maharashtra 400039, India</t>
  </si>
  <si>
    <t>Bagdadi Restaurant</t>
  </si>
  <si>
    <t>Inter Continental Hotel, Tulloch Rd, behind The Taj Mahal Palace Hotel, Apollo Bandar, Colaba, Mumbai, Maharashtra 400039, India</t>
  </si>
  <si>
    <t>The Nutcracker</t>
  </si>
  <si>
    <t>Dr, Forbes St, Kala Ghoda, Fort, Mumbai, Maharashtra 400023, India</t>
  </si>
  <si>
    <t>Effingut - Colaba</t>
  </si>
  <si>
    <t>Dhanraj Mahal, next to The Bentley Showroom, Colaba, Mumbai, Maharashtra 400005, India</t>
  </si>
  <si>
    <t>Colaba's Paradise (Authentic Parsi Cuisine)</t>
  </si>
  <si>
    <t>Shop No.5, Ground Floor, 71 - Seaview Terrace, opp. Charagh DIn, Colaba, Mumbai, Maharashtra 400005, India</t>
  </si>
  <si>
    <t>Bayroute</t>
  </si>
  <si>
    <t>Minoo Manor Building, 7, Captain Prakash Pethe Marg, Badhwar Park, Apollo Bandar, Cuffe Parade, Mumbai, Maharashtra 400005, India</t>
  </si>
  <si>
    <t>Subko Mini at Abode Bombay</t>
  </si>
  <si>
    <t>First Floor, Lansdowne House, MB Marg, near Regal Cinema, Apollo Bandar, Colaba, Mumbai, Maharashtra 400001, India</t>
  </si>
  <si>
    <t>Ling's Pavilion</t>
  </si>
  <si>
    <t>building number 19, 21, MB Marg, regal cinema Apollo Bandar, Apollo Bandar, Colaba, Mumbai, Maharashtra 400001, India</t>
  </si>
  <si>
    <t>Nandini Cafe Moo- Mumbai Flagship Store</t>
  </si>
  <si>
    <t>3, Pheroze Building, Chhatrapati Shivaji Maharaj Marg, opp. Dhanraj Mahal, Apollo Bandar, Colaba, Mumbai, Maharashtra 400001, India</t>
  </si>
  <si>
    <t>Rustico</t>
  </si>
  <si>
    <t>Ground Floor 1, 48 Bank, Khattau Building, opposite Shahid Bhagat Singh Road, Kala Ghoda, Colaba, Mumbai, Maharashtra 400001, India</t>
  </si>
  <si>
    <t>Bombay Brasserie Colaba</t>
  </si>
  <si>
    <t>Dhanraj Mahal, Chhatrapati Shivaji Maharaj Marg, Apollo Bandar, Colaba, Mumbai, Maharashtra 400001, India</t>
  </si>
  <si>
    <t>Verandah, Mumbai</t>
  </si>
  <si>
    <t>Verandah lounge ,Lobby Level, Trident Nariman Point, Near Air India, Building,, Mumbai, Maharashtra 400005, India</t>
  </si>
  <si>
    <t>Chotu Chai Wala</t>
  </si>
  <si>
    <t>WRGH+7VC, Dr Ambedkar Statue Chowk Area, Colaba, Mumbai, Maharashtra 400001, India</t>
  </si>
  <si>
    <t>All Stir Fry</t>
  </si>
  <si>
    <t>Ground Floor, 5, Battery St, Apollo Bandar, Colaba, Mumbai, Maharashtra 400005, India</t>
  </si>
  <si>
    <t>Olive Greens JIMMY BOY</t>
  </si>
  <si>
    <t>AOMI, Pilot Bandar Rd, opposite Afghan Church, Navy Nagar, Colaba, Mumbai, Maharashtra 400005, India</t>
  </si>
  <si>
    <t>La Patisserie</t>
  </si>
  <si>
    <t>Suzette</t>
  </si>
  <si>
    <t>A1, Atlanta Building, Ground Floor, Nariman Point, Mumbai, Maharashtra 400021, India</t>
  </si>
  <si>
    <t>Starbucks</t>
  </si>
  <si>
    <t>Block No 1, Ram Mahal, Building No 8, Ground Floor, Dinshaw Vacha Rd, near KC College, Churchgate, Mumbai, Maharashtra 400020, India</t>
  </si>
  <si>
    <t>The Courtyard</t>
  </si>
  <si>
    <t>400005, Nofra, Navy Nagar, Colaba, Mumbai, Maharashtra 400005, India</t>
  </si>
  <si>
    <t>Churchgate</t>
  </si>
  <si>
    <t>Chaayos Cafe at Churchgate</t>
  </si>
  <si>
    <t>Express Building, Shop No. 1, Ground Floor, Part B, 14, IMC Marg, opposite Govt. Law College, Mumbai, Maharashtra 400020, India</t>
  </si>
  <si>
    <t>Cafe Oval</t>
  </si>
  <si>
    <t>Kambatta Building, Maharshi Karve Rd, Churchgate, Mumbai, Maharashtra 400020, India</t>
  </si>
  <si>
    <t>Coffee By Di Bella Churchgate</t>
  </si>
  <si>
    <t>Jamshedji Tata Road, near Eros cenima, Churchgate, Mumbai, Maharashtra 400020, India</t>
  </si>
  <si>
    <t>Cafe Bharat</t>
  </si>
  <si>
    <t>Cafe Bharat, Railway Station, IMC Marg, opp. Churchgate, Churchgate, Mumbai, Maharashtra 400020, India</t>
  </si>
  <si>
    <t>Cafe Markiv's</t>
  </si>
  <si>
    <t>Ground Floor, Industrial Assurance Building, Jamshedji Tata Road, opposite Eros Cinema, Churchgate, Mumbai, Maharashtra 400020, India</t>
  </si>
  <si>
    <t>Cococart &amp; CocoCafe - Jiji House</t>
  </si>
  <si>
    <t>Jiji House, Raveline Street Damodar Sukhadwala Marg, 17, D Sukhadwala Rd, Azad Maidan, Fort, Mumbai, Maharashtra 400001, India</t>
  </si>
  <si>
    <t>CafÃ© Coffee Day</t>
  </si>
  <si>
    <t>Ground Floor, Sea Green, Marine Drive, Churchgate, Mumbai, Maharashtra 400020, India</t>
  </si>
  <si>
    <t>The J</t>
  </si>
  <si>
    <t>Shop 3, Ground Floor, Vaswani Mansion, Dinshaw Vacha Rd, opp. HR College, Churchgate, Mumbai, Maharashtra 400020, India</t>
  </si>
  <si>
    <t>The Beer CafÃ©</t>
  </si>
  <si>
    <t>Shop No 6,7, Ground Floor, Cambata Building, Churchgate, Mumbai, Maharashtra 400020, India</t>
  </si>
  <si>
    <t>Unit No 240/242, Gr Flr, Nirmal Building Barrister Rajni Patel Marg, Road, near Backbay Reclamation, Nariman Point, Mumbai, Maharashtra 400021, India</t>
  </si>
  <si>
    <t>Ground Floor, Elphistone Building, 10-Veer Nariman Road, Horniman Circle, Fort, Mumbai, Maharashtra 400023, India</t>
  </si>
  <si>
    <t>Earth Cafe @ Churchgate</t>
  </si>
  <si>
    <t>Ground Floor, Ram Mahal, Dinshaw Vacha Rd, near KC College, Churchgate, Mumbai, Maharashtra 400020, India</t>
  </si>
  <si>
    <t>Sassanian</t>
  </si>
  <si>
    <t>Metro, 98, Marine View, 1st Marine St, Cross Road, Dhobi Talao, Mumbai, Maharashtra 400002, India</t>
  </si>
  <si>
    <t>Cafe Military</t>
  </si>
  <si>
    <t>Alli Chambers, Nagindas Master Rd, Fort, Mumbai, Maharashtra 400001, India</t>
  </si>
  <si>
    <t>210 Degree Churchgate</t>
  </si>
  <si>
    <t>Prem Court, Bldg, Jamshedji Tata Road, Churchgate, Mumbai, Maharashtra 400020, India</t>
  </si>
  <si>
    <t>Gaylord Restaurant</t>
  </si>
  <si>
    <t>Mayfair Building, V N Rd, Churchgate, Mumbai, Maharashtra 400020, India</t>
  </si>
  <si>
    <t>Flavors Cafe at The Ambassador</t>
  </si>
  <si>
    <t>Located in- The Ambassador Hotel, Veer Nariman Rd, Churchgate, Mumbai, Maharashtra 400020, India</t>
  </si>
  <si>
    <t>Geoffrey's</t>
  </si>
  <si>
    <t>No. 29, Hotel Marine Plaza, Opposite C. C. I Club, Marine Drive, Marine Lines, Mumbai, Maharashtra 400020, India</t>
  </si>
  <si>
    <t>Beat House Cafe</t>
  </si>
  <si>
    <t>CAFE, SAPNA, BEAT HOUSE, MARINEMarine Ln, next to HOTEL, opp. GOL MASJID, Pathak Wadi, Sonapur, Marine Lines, Mumbai, Maharashtra 400002, India</t>
  </si>
  <si>
    <t>L&amp;S Bistro &amp; Pizzeria</t>
  </si>
  <si>
    <t>Intercontinental 135 Marine Drive, Netaji Subhash Chandra Bose Rd, Churchgate, Mumbai, Maharashtra 400020, India</t>
  </si>
  <si>
    <t>CafÃ© New York</t>
  </si>
  <si>
    <t>44, Dabholkar Building, N S Patkar Marg, Mumbai, Maharashtra 400007, India</t>
  </si>
  <si>
    <t>Quattro Bistro Churchgate</t>
  </si>
  <si>
    <t>3, Jamshedji Tata Road, behind Eros cinema, opposite Satyam Collection, Churchgate, Mumbai, Maharashtra 400020, India</t>
  </si>
  <si>
    <t>Mish Cafe</t>
  </si>
  <si>
    <t>shop no 9, Hinduja College, Mehta bhavan, lane, Raja Ram Mohan Roy Rd, Mumbai, Maharashtra 400004, India</t>
  </si>
  <si>
    <t>K. Rustoms &amp; co. Ice Cream Parlour</t>
  </si>
  <si>
    <t>Brabourne Stadium, 86, Veer Nariman Rd, Churchgate, Mumbai, Maharashtra 400020, India</t>
  </si>
  <si>
    <t>Mani's Cafe</t>
  </si>
  <si>
    <t>Stall, Vidhan Bhavan Marg, opposite Air India Building, Nariman Point, Mumbai, Maharashtra 400021, India</t>
  </si>
  <si>
    <t>Cafe Free India</t>
  </si>
  <si>
    <t>24 A, Ramdev Hotel, Bansi Lal Building, Cafe free india, C/O, Mumbai Samachar Marg, Fort, Mumbai, Maharashtra 400023, India</t>
  </si>
  <si>
    <t>SBI Cafestoria</t>
  </si>
  <si>
    <t>State Bank Bhavan, Madame Cama Rd, Nariman Point, Mumbai, Maharashtra 400021, India</t>
  </si>
  <si>
    <t>Cafe Unwind</t>
  </si>
  <si>
    <t>WRVH+5H9, New Marine Lines, Marine Lines, Mumbai, Maharashtra 400020, India</t>
  </si>
  <si>
    <t>The Cravin' Pantry</t>
  </si>
  <si>
    <t>Ground floor, Bansi Lal Building, 15-A, Homi Modi St, opposite Bombay House, Kala Ghoda, Fort, Mumbai, Maharashtra 400001, India</t>
  </si>
  <si>
    <t>Relish International Veg Cuisine</t>
  </si>
  <si>
    <t>1, Dinshaw Vacha Rd, Churchgate, Mumbai, Maharashtra 400020, India</t>
  </si>
  <si>
    <t>Malido Cafe</t>
  </si>
  <si>
    <t>15-17-19, Burjorji, Bharucha Marg, Kala Ghoda, Fort, Mumbai, Maharashtra 400001, India</t>
  </si>
  <si>
    <t>Blue Tokai Coffee Roasters | Nariman Point</t>
  </si>
  <si>
    <t>Unit No 25 &amp; 26, Ground Floor, Commercial Center, CR2, Nariman Point, Mumbai, Maharashtra 400020, India</t>
  </si>
  <si>
    <t>Poetry by Love and Cheesecake</t>
  </si>
  <si>
    <t>Ground Floor, Machinery House, 3, Bharucha Marg, beside Gazal Gupta, Kala Ghoda, Fort, Mumbai, Maharashtra 400001, India</t>
  </si>
  <si>
    <t>Flavourzy by Harsh Taylor</t>
  </si>
  <si>
    <t>Shop no-4, Ishwar Bhawan, 89, Khadilkar Rd, next to rimzim soda, Charni Road, Urankawadi, Kandewadi, Girgaon, Mumbai, Maharashtra 400004, India</t>
  </si>
  <si>
    <t>Plot No 29, Dr N A Purandare Marg Chowpatty Marine Lines, Girgaon, Mumbai, Maharashtra 400007, India</t>
  </si>
  <si>
    <t>Cafe metro Family Restaurant</t>
  </si>
  <si>
    <t>Jehangir Mansion, 5/A, Anandilal Podar Marg, beside Metro Cinema, New Marine Lines, Marine Lines, Mumbai, Maharashtra 400020, India</t>
  </si>
  <si>
    <t>Rajasthan Tam Tam Tea Point</t>
  </si>
  <si>
    <t>Ground Floor, Baba Stall, opp. Hotel Balwas, New Marine Lines, Churchgate, Mumbai, Maharashtra 400020, India</t>
  </si>
  <si>
    <t>Tea Post</t>
  </si>
  <si>
    <t>34, Kakad House, opp. Bombay Hospital, New Marine Lines, Marine Lines, Mumbai, Maharashtra 400020, India</t>
  </si>
  <si>
    <t>Pizza By The Bay</t>
  </si>
  <si>
    <t>Soona Mahal, 143, Marine Dr, Churchgate, Mumbai, Maharashtra 400020, India</t>
  </si>
  <si>
    <t>Subko Mini At Kitab Khana</t>
  </si>
  <si>
    <t>45, Ground Floor, Flora Fountain Somaiya Bhavan, 47, Mahatma Gandhi Road, Fort, Mumbai, Maharashtra 400001, India</t>
  </si>
  <si>
    <t>Cafe Ideal</t>
  </si>
  <si>
    <t>Fulchand Niwas, Dr. Purandare Marg, Chowpatty Seaface, Girgaon, Mumbai, Maharashtra 400007, India</t>
  </si>
  <si>
    <t>Dadar</t>
  </si>
  <si>
    <t>Grandmama's Cafe, Dadar East</t>
  </si>
  <si>
    <t>Dharamputra Pritam Estate, 20 &amp; 21, Dr Babasaheb Ambedkar Marg, Dadar East, Dadar, Mumbai, Maharashtra 400014, India</t>
  </si>
  <si>
    <t>Mumbai Bistro - The Cafe</t>
  </si>
  <si>
    <t>Building by, SUGEE SADAN by SUGEE GROUP, Shop No.3, Sugi Sadan, Gokhale Rd, Dadar West, Dadar, Mumbai, Maharashtra 400028, India</t>
  </si>
  <si>
    <t>Cafe Trofima</t>
  </si>
  <si>
    <t>Raja Badhe Chowk Opp. Raja Rani Travels Shivaji Park Road Number 2, Lady Jamshedji Rd, Mumbai, Maharashtra 400016, India</t>
  </si>
  <si>
    <t>Brew Haus Cafe</t>
  </si>
  <si>
    <t>Bhavani Shankar Cross Road, opposite JaiGopal Industries, Near Kabutar khana, Dadar West, Dadar, Mumbai, Maharashtra 400028, India</t>
  </si>
  <si>
    <t>CafÃ© 792</t>
  </si>
  <si>
    <t>792, Outhouse, Dina Manzil, Jame Jamshed Rd, Central Railway Colony, Mahavir Nagar, Parsee Colony, Dadar, Mumbai, Maharashtra 400014, India</t>
  </si>
  <si>
    <t>Fully Loaded</t>
  </si>
  <si>
    <t>Shop No.5, Lumiere Apartment, Purandhare Wadi, Gokhale Rd N, Dadar West, Mumbai, Maharashtra 400028, India</t>
  </si>
  <si>
    <t>Rahulâ€™s Cafe</t>
  </si>
  <si>
    <t>26, SS Wagh Marg, Radhika Saikripa Co-op Society, Naigaon, Dadar, Mumbai, Maharashtra 400014, India</t>
  </si>
  <si>
    <t>Chaos Control Cafe</t>
  </si>
  <si>
    <t>Gr. Floor, Crystal Towers St. Xavier's Street, Parel, Mumbai, Maharashtra 400012, India</t>
  </si>
  <si>
    <t>Cafe Colony Stores &amp; Restaurant</t>
  </si>
  <si>
    <t>Shrikant Lodge, Tilak Rd, near Tilak Bridge, Dadar TT, Dadar East, Dadar, Mumbai, Maharashtra 400014, India</t>
  </si>
  <si>
    <t>Reap-Eat Cafe</t>
  </si>
  <si>
    <t>Tilak Bhavan, Parel Railway Station, Shop no. 2, Bhori Chawl, Senapati Bapat Marg, West, opposite One International Center, Parel, Mumbai, Maharashtra 400028, India</t>
  </si>
  <si>
    <t>Mutuswami Cafe</t>
  </si>
  <si>
    <t>Ground Floor, Ramee Guestline Hotel, opp. Swaminarayan Temple, Dadar East, Dadar, Mumbai, Maharashtra 400014, India</t>
  </si>
  <si>
    <t>Nude Food Cafe</t>
  </si>
  <si>
    <t>364, Dhuru Apartment, Swatantryaveer Savarkar Rd, Dadar West, Prabhadevi, Mumbai, Maharashtra 400028, India</t>
  </si>
  <si>
    <t>Cheezy Freezy</t>
  </si>
  <si>
    <t>Chaityabhoomi Shop no 05, Park Apartment, Dadar West, Shivaji Park, Mumbai, Maharashtra 400028, India</t>
  </si>
  <si>
    <t>Cafe Delicia Legacy</t>
  </si>
  <si>
    <t>Shop B-9, Shivaji Park House, Lady Jamshedji Rd, Dadar West, Dadar, Mumbai, Maharashtra 400016, India</t>
  </si>
  <si>
    <t>The Urban Platter Cafe in Dadar West Mumbai</t>
  </si>
  <si>
    <t>Shop no 2, 1st Floor, CHS, SUGEE SADAN, Baburao Parulekar Marg, off Gokhale Road South, Dadar West, Dadar, Mumbai, Maharashtra 400028, India</t>
  </si>
  <si>
    <t>Cafe MadrasÂ®ï¸</t>
  </si>
  <si>
    <t>GROUND FLOOR, KAMAKSHI BUILDING, 391/B, Bhaudaji Rd, Matunga East, Mumbai, Maharashtra 400019, India</t>
  </si>
  <si>
    <t>Prajakta Cafe</t>
  </si>
  <si>
    <t>Shop No 2, Om Nanda Deep CHS, Prajakta Cafe, Mahim West, Shivaji Park, Mumbai, Maharashtra 400016, India</t>
  </si>
  <si>
    <t>Ground Floor, Dwarka Sadan, Keluskar Rd, Dadar West, Shivaji Park, Mumbai, Maharashtra 400028, India</t>
  </si>
  <si>
    <t>Unit no.58, Ground, Ram Mahal, Tip Road, Senapati Bapat Marg, Station, Mahim, Mumbai, Maharashtra 400016, India</t>
  </si>
  <si>
    <t>Cafe Anna</t>
  </si>
  <si>
    <t>Shop no.7, Makwana Building, 4, Kakasaheb Gadgil Marg, opp. Essgee Options, Elphistone, Dadar, Mumbai, Maharashtra 400028, India</t>
  </si>
  <si>
    <t>Cafe Irani Chaii</t>
  </si>
  <si>
    <t>Rosary Building, Mia Mohd Chhotani Rd, Geeta Nagar, Mahim West, Mahim, Mumbai, Maharashtra 400016, India</t>
  </si>
  <si>
    <t>Milkbar</t>
  </si>
  <si>
    <t>10/744 Kohinoor Mill Compound, S S Wagh Marg Road, Naigaon Rd, near Sharda Cinema, Dadar East, Mumbai, Maharashtra 400014, India</t>
  </si>
  <si>
    <t>Coffee By Di Bella Mahim</t>
  </si>
  <si>
    <t>West Wind Apartment, West Wind Building, Cadell Road, Mahim West, Kataria Colony, Shivaji Park, Swatantryaveer Savarkar Rd, above Cafe Di Bella, near Hinduja Hospitals, Dadar, Mumbai, Maharashtra 400016, India</t>
  </si>
  <si>
    <t>Cafe Marine</t>
  </si>
  <si>
    <t>2RGM+HWF, Dadar West, Shivaji Park, Mumbai, Maharashtra 400028, India</t>
  </si>
  <si>
    <t>Barista</t>
  </si>
  <si>
    <t>Jilkar House, 15 A, Keluskar Rd N, next to Bank Of Baroda, Dadar West, Shivaji Park, Mumbai, Maharashtra 400028, India</t>
  </si>
  <si>
    <t>Hungry Owl</t>
  </si>
  <si>
    <t>Raghukul, 1st Floor, Bhavani Shankar Rd, opp. Kingâ€™s Crest, Dadar West, Mumbai, Maharashtra 400028, India</t>
  </si>
  <si>
    <t>Pranav's corner</t>
  </si>
  <si>
    <t>2R9P+MRW, SK Bole Rd, opp. Nabar Guruji School, Omkar Society, Dadar West, Dadar, Mumbai, Maharashtra 400028, India</t>
  </si>
  <si>
    <t>Cafe Panama</t>
  </si>
  <si>
    <t>Lower Parel Compound, SJ Marg, Lower Parel, Mumbai, Maharashtra 400013, India</t>
  </si>
  <si>
    <t>My Regular Place, Dadar</t>
  </si>
  <si>
    <t>Dharamputra Pritam Estate, Dr Babasaheb Ambedkar Marg, Lokmanya Tilak Colony, Dadar, Mumbai, Maharashtra 400014, India</t>
  </si>
  <si>
    <t>Dadar Social</t>
  </si>
  <si>
    <t>Shop 2, Kohinoor Square, East Tower, N C. Kelkar Rd, Ram Ganesh Gadkari Chowk, Dadar West, Mumbai, Maharashtra 400028, India</t>
  </si>
  <si>
    <t>Blue Tokai Coffee Roasters | Kohinoor Square Dadar</t>
  </si>
  <si>
    <t>Kohinoor Square, 4602, N C. Kelkar Marg, Dadar West, Dadar, Mumbai, Maharashtra 400028, India</t>
  </si>
  <si>
    <t>Ground Floor, 39/41, NM Joshi Marg, opposite Deepak Cinema, Lower Parel West, Parel, Mumbai, Maharashtra 400013, India</t>
  </si>
  <si>
    <t>Light of Bharat Restaurant</t>
  </si>
  <si>
    <t>Meher Building, Ranade Rd, opp. Senapati Bapat Statue, Dadar West, Shivaji Park, Mumbai, Maharashtra 400028, India</t>
  </si>
  <si>
    <t>Desire Instant Chai Maza Aajaye!</t>
  </si>
  <si>
    <t>2R9P+QF5, Gokhale Rd N, Near Kabutar khana, Dadar West, Dadar, Mumbai, Maharashtra 400028, India</t>
  </si>
  <si>
    <t>Cafe 19</t>
  </si>
  <si>
    <t>2VG4+XRG, Nathalal Parekh Marg, Matunga East, Mumbai, Maharashtra 400019, India</t>
  </si>
  <si>
    <t>Zane's Cafe</t>
  </si>
  <si>
    <t>RR House, Todi Mill Compound, Senapati Bapat Marg, opposite Ideal Industrial Estate, Railway Colony, Lower Parel, Mumbai, Maharashtra 400013, India</t>
  </si>
  <si>
    <t>Shirke'S</t>
  </si>
  <si>
    <t>Dadar, Mumbai, Maharashtra 400019, India</t>
  </si>
  <si>
    <t>SAZ CafÃ©</t>
  </si>
  <si>
    <t>NRK House, 1, Senapati Bapat Marg, next to Kamala Mills gate, Lower Parel, Mumbai, Maharashtra 400013, India</t>
  </si>
  <si>
    <t>HOME CHEF</t>
  </si>
  <si>
    <t>Meher Premises, Shivaji Park, Dadar West, Dadar, Mumbai, Maharashtra 400028, India</t>
  </si>
  <si>
    <t>Terttulia</t>
  </si>
  <si>
    <t>Ground Floor, The Kin Hotel, Shivaji Park, Sea Face, off Old Cadel Road, Dadar West, Mumbai, Maharashtra 400028, India</t>
  </si>
  <si>
    <t>UGF, Century Bhavan, Sadanand Hasu Tandel Marg, Century Bazaar, Worli, Mumbai, Maharashtra 400030, India</t>
  </si>
  <si>
    <t>Cafe Reed Mumbai</t>
  </si>
  <si>
    <t>8th Floor, Tower 2A, One World Center, Lower Parel, Mumbai, Maharashtra 400013, India</t>
  </si>
  <si>
    <t>Mani's cafe</t>
  </si>
  <si>
    <t>Shop 7, Plot 120, Ground Floor, Shaakuntala, Dadar West, Shivaji Park, Mumbai, Maharashtra 400028, India</t>
  </si>
  <si>
    <t>Shop No 2, Ground Floor, Mon Desir, Old Cadel Rd, Dadar West, Shivaji Park, Mumbai, Maharashtra 400028, India</t>
  </si>
  <si>
    <t>Krishna's Cafe</t>
  </si>
  <si>
    <t>near Hindmata 1,2,3,7,FLOOR-GRD,221 GOHAR TAJ BUILDING, DR BABASAHEB AMBEDKAR ROAD, NAIGAON, Dadar East, Mumbai, Maharashtra 400014, India</t>
  </si>
  <si>
    <t>Amba Bhavan Coffee Club</t>
  </si>
  <si>
    <t>King's Circle Flyover, 373, Bhandarkar Rd, Matunga East, Mumbai, Maharashtra 400019, India</t>
  </si>
  <si>
    <t>Cafe Bae</t>
  </si>
  <si>
    <t>Monorail Station, Shop No 14 Shivaji Nagar N M Joshi Marg, Delisle Rd, below Lower Parel, Lower Parel East, Mumbai, Maharashtra 400013, India</t>
  </si>
  <si>
    <t>The Dessert RepublicÂ® - Matunga</t>
  </si>
  <si>
    <t>Maheshwari Udhyaan, Kalyan Bhuvan, Dr Babasaheb Ambedkar Marg, near Oasiss, Matunga East, Mumbai, Maharashtra 400019, India</t>
  </si>
  <si>
    <t>Momos Cafe</t>
  </si>
  <si>
    <t>Shop No 1, Dadar West, Dadar, Mumbai, Maharashtra 400025, India</t>
  </si>
  <si>
    <t>Cafe Cadell</t>
  </si>
  <si>
    <t>Shop no 8, Bhagirathi Sadan, Swatantryaveer Savarkar Rd, near Yes Bank, Kataria Colony, Mahim, Mumbai, Maharashtra 400016, India</t>
  </si>
  <si>
    <t>Shanti Coffee House</t>
  </si>
  <si>
    <t>Dr. Ambedkar Road, Opposite Chitra Cinema, Shop No. 5,6&amp;7, Dadar East, Mumbai, Maharashtra 400014, India</t>
  </si>
  <si>
    <t>Koolar &amp; Co</t>
  </si>
  <si>
    <t>541, Dr Babasaheb Ambedkar Marg, Matunga East, Mumbai, Maharashtra 400019, India</t>
  </si>
  <si>
    <t>Cafenately Coffee - Matunga</t>
  </si>
  <si>
    <t>Chandavarkar Rd, opp. Trilok Family Restaurant &amp; Bar, Matunga (C.R.), Matunga East, Mumbai, Maharashtra 400019, India</t>
  </si>
  <si>
    <t>Costa Coffee</t>
  </si>
  <si>
    <t>W, Shop No 6, Ground Floor, 377 Amarkunj society Veer Savarkar Marg, Shivaji Park, Old Cadel Rd, Dadar, Mumbai, Maharashtra 400028, India</t>
  </si>
  <si>
    <t>Oven Fresh Restaurant Dadar</t>
  </si>
  <si>
    <t>Kiran Building, 4/68, Ranade Rd, Chandrakant Dhuru Wadi, Dadar, Mumbai, Maharashtra 400028, India</t>
  </si>
  <si>
    <t>Cafe Mysore</t>
  </si>
  <si>
    <t>Durlabh Niwas, 1/461, Dr Babasaheb Ambedkar Marg, Opp B.N. Maheshwari Udyan, Matunga East, Mumbai, Maharashtra 400019, India</t>
  </si>
  <si>
    <t>CAFE V J T I</t>
  </si>
  <si>
    <t>Pushpraj Building, 191, David S Barretto Rd, Wadala West, Mumbai, Maharashtra 400031, India</t>
  </si>
  <si>
    <t>First Floor Lobby Indiabulls Finance Centre Center Point Building, Parel, Mumbai, Maharashtra 400013, India</t>
  </si>
  <si>
    <t>Edhas Cafe</t>
  </si>
  <si>
    <t>F&amp;B, 2nd floor, Kohinoor Square, Unit no 2, N C. Kelkar Marg, Dadar West, Mumbai, Maharashtra 400028, India</t>
  </si>
  <si>
    <t>Cafe Curious</t>
  </si>
  <si>
    <t>Noble Plus Pharmacy, Shop 4, Vaibhav Mahim Building, Swatantryaveer Savarkar Rd, Opposite, Mahim West, Mumbai, Maharashtra 400016, India</t>
  </si>
  <si>
    <t>Worli</t>
  </si>
  <si>
    <t>Light House Cafe &amp; Bar</t>
  </si>
  <si>
    <t>Sunville Building, Dr.Annie Besant Road, Love Grove Flyover, Siddharth Nagar, Worli, Mumbai, Maharashtra 400018, India</t>
  </si>
  <si>
    <t>Cafe Noir</t>
  </si>
  <si>
    <t>World Crest, Unit no.1A &amp; 1B, Lodha, Upper Worli, Lower Parel, Mumbai, Maharashtra 400013, India</t>
  </si>
  <si>
    <t>Stand By Coffee</t>
  </si>
  <si>
    <t>Shop No. 3, Kakad Estate, 4 &amp; 5, Dr RG Thadani Marg, opposite Baskin Robbins, B Wing, Siddharth Nagar, Worli, Mumbai, Maharashtra 400018, India</t>
  </si>
  <si>
    <t>Toise Coffee Roastery + Brewstudio</t>
  </si>
  <si>
    <t>Shop No.1, Madhuhans, Dr Annie Besant Rd, Adarsh Nagar, Worli, Mumbai, Maharashtra 400030, India</t>
  </si>
  <si>
    <t>Iteeha Coffee</t>
  </si>
  <si>
    <t>Ground Floor, Urmi Axis Building, West, behind Famous studio, opp. Doctor Elijah Moses Road, Mahalakshmi, Mumbai, Maharashtra 400011, India</t>
  </si>
  <si>
    <t>Teasy Express</t>
  </si>
  <si>
    <t>L-15, Dainik Shivner Marg, Gandhi Nagar, Upper Worli, Worli, Mumbai, Maharashtra 400018, India</t>
  </si>
  <si>
    <t>Brunch &amp; Cake Mumbai</t>
  </si>
  <si>
    <t>Unit no G - 04, Altimus, Dr, GM Bhosale Marg, opp. worli mahindra towers, B Wing, BDD Chawls Worli, Worli, Mumbai, Maharashtra 400018, India</t>
  </si>
  <si>
    <t>Diablo Mumbai</t>
  </si>
  <si>
    <t>Pandurang Budhkar Marg, Worli, Mumbai, Maharashtra 400013, India</t>
  </si>
  <si>
    <t>Slink &amp; Bardot</t>
  </si>
  <si>
    <t>Thadani House 329/A Opposite Indian Coast Guard Worli Village, Mumbai, Maharashtra 400030, India</t>
  </si>
  <si>
    <t>145 The Mill</t>
  </si>
  <si>
    <t>Unit 906, Trade World, Kamala Mills Compound, C Wing, Senapati Bapat Marg, Lower Parel, W, Maharashtra 400013, India</t>
  </si>
  <si>
    <t>Praia Bar &amp; Kitchen</t>
  </si>
  <si>
    <t>Atria Rooftop, above Inox, Lotus Colony, Worli, Mumbai, Maharashtra 400018, India</t>
  </si>
  <si>
    <t>Lay Bhari Cafe</t>
  </si>
  <si>
    <t>Janata Colony, BPT Colony, Worli, Mumbai, Maharashtra 400030, India</t>
  </si>
  <si>
    <t>Lord of the Drinks Worli</t>
  </si>
  <si>
    <t>Utopia City, 3rd Floor Trade View Building, gate 4, Pandurang Budhkar Marg, Lower Parel, Mumbai, Maharashtra 400013, India</t>
  </si>
  <si>
    <t>Palladium Social</t>
  </si>
  <si>
    <t>Shop 462, Third Floor, Palladium Mall, Senapati Bapat Marg, Lower Parel, Mumbai, Maharashtra 400013, India</t>
  </si>
  <si>
    <t>New Modern Cafe And Lunch Home</t>
  </si>
  <si>
    <t>Dr. A, B. Road, Adarsh Nagar, Worli, Mumbai, Maharashtra 400030, India</t>
  </si>
  <si>
    <t>Ground Fl, Victoria Mills Senapati Bapat Marg, near Smaash, Lower Parel, Mumbai, Maharashtra 400019, India</t>
  </si>
  <si>
    <t>Dhaba Cafe Lower Parel</t>
  </si>
  <si>
    <t>287/7, Mariyam Mansion, Ganpatrao Kadam Marg, Opp. A To Z Industrial Estate, Lower Parel West, Mumbai, Maharashtra 400013, India</t>
  </si>
  <si>
    <t>KIOSK KAFFEE</t>
  </si>
  <si>
    <t>14, Ganpatrao Kadam Marg, Upper, Worli, Mumbai, Maharashtra 400013, India</t>
  </si>
  <si>
    <t>CaffÃ© Allora</t>
  </si>
  <si>
    <t>Ground Floor, East Zone, Phoenix Palladium, Senapati Bapat Marg, Lower Parel, Mumbai, Maharashtra 400013, India</t>
  </si>
  <si>
    <t>Bougain Villa, Lower Parel, Mumbai</t>
  </si>
  <si>
    <t>71, Ground floor, Dainik Shivner Marg, opposite Lady Ratan Tower, Gandhi Nagar, Upper Worli, Lower Parel, Mumbai, Maharashtra 400018, India</t>
  </si>
  <si>
    <t>Palladium, 2nd Floor, 462, Senapati Bapat Marg, Lower Parel, Mumbai, Maharashtra 400013, India</t>
  </si>
  <si>
    <t>Kamala Mills Compound, Trade Tower B, Senapati Bapat Marg, Lower Parel, Mumbai, Maharashtra 400013, India</t>
  </si>
  <si>
    <t>Farzi Cafe</t>
  </si>
  <si>
    <t>Unit No. C-10B, Ground floor, Courtyard, High Street Phoenix, 462, Senapati Bapat Marg, Lower Parel, Mumbai, Maharashtra 400050, India</t>
  </si>
  <si>
    <t>Shivin Cafe n More..</t>
  </si>
  <si>
    <t>Shop No. 1, Narkar Chawl, near worli mahindra towers, opp. Milan Punjab Hotel, BDD Chawls Worli, Worli, Mumbai, Maharashtra 400018, India</t>
  </si>
  <si>
    <t>Glocal</t>
  </si>
  <si>
    <t>Ground Floor, Nehru Centre, Dr. Annie Besant Road, AB Nair Rd, Opposite Nehru Planetarium, Worli, Mumbai, Maharashtra 400018, India</t>
  </si>
  <si>
    <t>Atria-The Millennium Mall, No 1b/2, Dr Annie Besant Rd, West, Worli, Mumbai, Maharashtra 400018, India</t>
  </si>
  <si>
    <t>Euphoria Cafe Lalbaug</t>
  </si>
  <si>
    <t>Shop No. 9 , Anant Niwas , Sane Guruji Marg, station, near Chinchpokli, Lal Baug, Mumbai, Maharashtra 400012, India</t>
  </si>
  <si>
    <t>Circle Sixty Nine</t>
  </si>
  <si>
    <t>69, Sir Pochkhanawala Rd, B Wing, Worli, Mumbai, Maharashtra 400030, India</t>
  </si>
  <si>
    <t>Barista Cafe Urmi axis</t>
  </si>
  <si>
    <t>1st Floor, Urmi Axis Building, behind Famous Studio, Mahalakshmi, Mumbai, Maharashtra 400011, India</t>
  </si>
  <si>
    <t>The Coffee Bean &amp; Tea Leaf</t>
  </si>
  <si>
    <t>XRQH+5FH, Shastri Nagar, Adarsh Nagar, Lower Parel, Mumbai, Maharashtra 400013, India</t>
  </si>
  <si>
    <t>Steps Cafe</t>
  </si>
  <si>
    <t>Steps CafÃ©, Tertulian Rd, off Doctor Peter Dias Road, Mount Mary, Bandra West, Mumbai, Maharashtra 400050, India</t>
  </si>
  <si>
    <t>Art Cafe</t>
  </si>
  <si>
    <t>XRQ8+F56, Lotus Colony, Worli, Mumbai, Maharashtra 400018, India</t>
  </si>
  <si>
    <t>Chai Pe Charcha</t>
  </si>
  <si>
    <t>Prabhavinayak Building, Shop no. 3, New Prabhadevi Marg, society, Prabhadevi, Mumbai, Maharashtra 400025, India</t>
  </si>
  <si>
    <t>Copper Chimney - North Indian Family Restaurant in Worli</t>
  </si>
  <si>
    <t>Ground Floor, Door No.12-A, Lotus Court, Dr Annie Besant Rd, Lotus Colony, Worli, Mumbai, Maharashtra 400018, India</t>
  </si>
  <si>
    <t>Imperial Lounge (NSCI)</t>
  </si>
  <si>
    <t>XRP8+97J, Lotus Colony, Worli, Mumbai, Maharashtra 400018, India</t>
  </si>
  <si>
    <t>Wilson's Tea house @ St Regis Mumbai</t>
  </si>
  <si>
    <t>XRVF+GMR, Extension of Entry Rd to Phoenix, Lower Parel, Mumbai, Maharashtra 400013, India</t>
  </si>
  <si>
    <t>Bharat Coffee House</t>
  </si>
  <si>
    <t>Mentri House 114 Ganapatrao Kadam Marg, Ganpati Jadhav Marg, Worli Naka, Mumbai, Maharashtra 400018, India</t>
  </si>
  <si>
    <t>AER</t>
  </si>
  <si>
    <t>34th Floor, 1/136, Dr Elijah Moses Rd, Gandhi Nagar, Upper Worli, Worli, Mumbai, Maharashtra 400018, India</t>
  </si>
  <si>
    <t>Cafe kadak special</t>
  </si>
  <si>
    <t>Parel East, Parel, Mumbai, Maharashtra 400012, India</t>
  </si>
  <si>
    <t>Elementaria Bakery Cafe</t>
  </si>
  <si>
    <t>B, Kamala Mills Compound, Unit no 7, Trade World, Lower Parel, Mumbai, Maharashtra 400013, India</t>
  </si>
  <si>
    <t>Aromas cafe</t>
  </si>
  <si>
    <t>Hurry chutney,Apurva estate, Opp BDD chawl, no 115, SS apurva marg, Worli, Mumbai, Maharashtra 400013, India</t>
  </si>
  <si>
    <t>Ellipsis Bakery</t>
  </si>
  <si>
    <t>Recondo Estate, inside Asphalt Garage BMC Compound, Sudam Kalu Ahire Marg, next to Rna Mirage, Mumbai, Maharashtra 400030, India</t>
  </si>
  <si>
    <t>Subko at Museum of Solutions</t>
  </si>
  <si>
    <t>First floor, Victoria House, Lower Parel, Mumbai, Maharashtra 400013, India</t>
  </si>
  <si>
    <t>The Bombay Cartel</t>
  </si>
  <si>
    <t>Kamala Mills Compound, Shop 4-5, 1st Floor Bombay Hub, Z - Wing, Senapati Bapat Marg, Lower Parel, Mumbai, Maharashtra 400013, India</t>
  </si>
  <si>
    <t>The Coffee</t>
  </si>
  <si>
    <t>Ground Floor, North Sky zone, Senapati Bapat Marg, Lower Parel, Mumbai, Maharashtra 400013, India</t>
  </si>
  <si>
    <t>Bandra</t>
  </si>
  <si>
    <t>Boojee Cafe</t>
  </si>
  <si>
    <t>Shop No 6, New Kantwadi Rd, off Perry Cross Road, Bandra West, Mumbai, Maharashtra 400050, India</t>
  </si>
  <si>
    <t>Pali Village CafÃ©</t>
  </si>
  <si>
    <t>10, Pali Mala Rd, Adarsh Nagar, Bandra West, Mumbai, Maharashtra 400050, India</t>
  </si>
  <si>
    <t>Candies</t>
  </si>
  <si>
    <t>5AA Pali Hill, Bandra (W), next to Learners Academy School, Mumbai, Maharashtra 400050, India</t>
  </si>
  <si>
    <t>Earth Cafe @ Waterfield</t>
  </si>
  <si>
    <t>Durga Chambers, Waterfield Road, above Pernia's Pop Up MEN, Bandra West, Mumbai, Maharashtra 400050, India</t>
  </si>
  <si>
    <t>Bombay Coffee House</t>
  </si>
  <si>
    <t>248, Neelkamal Building, Waterfield Road, opposite National College, Bandra West, Mumbai, Maharashtra 400050, India</t>
  </si>
  <si>
    <t>Tea Villa CafÃ©</t>
  </si>
  <si>
    <t>Hill Rd, opp. Marks &amp; Spencer, Santosh Nagar, Bandra West, Mumbai, Maharashtra 400050, India</t>
  </si>
  <si>
    <t>Blue Tokai Coffee Roasters | Bandra</t>
  </si>
  <si>
    <t>Shop No 1, Mayflower Building, 33, New Kant Wadi Lane, Perry Cross Rd, Bandra West, Mumbai, Maharashtra 400050, India</t>
  </si>
  <si>
    <t>Cafe BANDRA</t>
  </si>
  <si>
    <t>3R6J+XCM, Mumbai Pali, Village, Bandra West, Mumbai, Maharashtra 400050, India</t>
  </si>
  <si>
    <t>CafÃ© Andora</t>
  </si>
  <si>
    <t>10, St Domnic Rd, Bandra West, Mumbai, Maharashtra 400050, India</t>
  </si>
  <si>
    <t>Aromas CafÃ© &amp; Bistro</t>
  </si>
  <si>
    <t>Ground Floor, Mamta Building, Waterfield Road, Linking Rd, near National College, Bandra West, Mumbai, Maharashtra 400050, India</t>
  </si>
  <si>
    <t>Chantilly - The CafÃ©</t>
  </si>
  <si>
    <t>Chantilly, Shop no. 2, Darvesh Royale Building, Perry Road, Turner Rd, opposite Kotak Mahindra Bank, Junction, Bandra West, Mumbai, Maharashtra 400050, India</t>
  </si>
  <si>
    <t>Grounded Cafe</t>
  </si>
  <si>
    <t>Shop no.1, Natalwala Bungalow, 41, BJ Road, Mount Mary, Bandra West, Mumbai, Maharashtra 400050, India</t>
  </si>
  <si>
    <t>Mokai Cafe</t>
  </si>
  <si>
    <t>Chapel Rd, St Sebastian Colony, Ranwar, Bandra West, Mumbai, Maharashtra 400050, India</t>
  </si>
  <si>
    <t>Breve Cafe</t>
  </si>
  <si>
    <t>Shop No.12, Pearl Haven Apartments, Chapel Rd, St Sebastian Colony, Mount Mary, Bandra West, Mumbai, Maharashtra 400050, India</t>
  </si>
  <si>
    <t>Old Street Cafe &amp; Bar</t>
  </si>
  <si>
    <t>No-95, Fernandes Villa, Hill Rd, near St Andrew's Church, Ranwar, Bandra West, Mumbai, Maharashtra 400050, India</t>
  </si>
  <si>
    <t>The Village Shop</t>
  </si>
  <si>
    <t>5AA, Mac Ronells Bungalow, Saint Andrews Ext, next to Learnerâ€™s Academy, Bandra West, Mumbai, Maharashtra 400050, India</t>
  </si>
  <si>
    <t>The Bagel Shop</t>
  </si>
  <si>
    <t>30, Pali Mala Rd, Pali Hill, Mumbai, Maharashtra 400050, India</t>
  </si>
  <si>
    <t>Mary Lodge by Subko</t>
  </si>
  <si>
    <t>Ground Floor, Mary Lodge, 21A, Chapel Rd, Ranwar, Bandra West, Mumbai, Maharashtra 400050, India</t>
  </si>
  <si>
    <t>Morii cafe</t>
  </si>
  <si>
    <t>36/A, îƒˆ Sanatan Pereira Bungalow, St John Baptist Rd, Mount Mary, Bandra West, Mumbai, Maharashtra 400050, India</t>
  </si>
  <si>
    <t>The Nest Bandra</t>
  </si>
  <si>
    <t>1st Floor, Hotel Metro Palace, Hill Rd, opposite Marks &amp; Spencer, above Barbeque Nation, Bandra West, Mumbai, Maharashtra 400050, India</t>
  </si>
  <si>
    <t>The Bandstand Pantry</t>
  </si>
  <si>
    <t>Bandstand Apartments, Shop 1, BJ Road, next to Barista Cafe, Bandra West, Mumbai, Maharashtra 400050, India</t>
  </si>
  <si>
    <t>Method Bandra</t>
  </si>
  <si>
    <t>Shop No.5, Pearl Haven Apartments, Chapel Rd, St Sebastian Colony, Mount Mary, Bandra West, W, Mumbai, Maharashtra 400050, India</t>
  </si>
  <si>
    <t>Bokka Coffee</t>
  </si>
  <si>
    <t>Shop No 1 &amp; 2, Salad Co, Rita Appartment, 16th Rd, opposite Canara Bank, Bandra West, Mumbai, Maharashtra 400050, India</t>
  </si>
  <si>
    <t>The Library Cafe</t>
  </si>
  <si>
    <t>355(6, Carter Road, opp. Gagangiri Apartment, next to Carter's Blue, Hanuman Nagar, Bandra West, Mumbai, Maharashtra 400052, India</t>
  </si>
  <si>
    <t>Brooke Bond Taj Mahal Tea House</t>
  </si>
  <si>
    <t>Sanatan Pereira Bungalow, 36/A, St John Baptist Rd, Mount Mary, Bandra West, Mumbai, Maharashtra 400050, India</t>
  </si>
  <si>
    <t>St John Baptist Rd, St Sebastian Colony, Mount Mary, Bandra West, Mumbai, Maharashtra 400050, India</t>
  </si>
  <si>
    <t>Poetry by Love and Cheesecake, Bandra W</t>
  </si>
  <si>
    <t>Kamal VIshranti Kutir opposite St Theresa School, 24th Road, Plot 104, D Bandra West, Khar West, Mumbai, Maharashtra 400052, India</t>
  </si>
  <si>
    <t>Greenr Cafe</t>
  </si>
  <si>
    <t>Greenr, 57/116, Drego House, Pali Naka, Dr Ambedkar Rd, Bandra West, Mumbai, Maharashtra 400050, India</t>
  </si>
  <si>
    <t>Shop No.2, Bandstand Apartments, BJ Road, near Mannat Building, Mount Mary, Bandra West, Mumbai, Maharashtra 400050, India</t>
  </si>
  <si>
    <t>Mitron Bar &amp; Cafe - Bandra</t>
  </si>
  <si>
    <t>of 24th, Crystal Shoppers Paradise Mall 498, Off Link Road Junction, and, 33rd Rd, Bandra West, Mumbai, Maharashtra 400050, India</t>
  </si>
  <si>
    <t>Candies at Bandra Reclamation</t>
  </si>
  <si>
    <t>ONGC Complex, Bandra Reclamation, near Lilavati Hospital, Mumbai, Maharashtra 400050, India</t>
  </si>
  <si>
    <t>Coffee By Di Bella Carter Road</t>
  </si>
  <si>
    <t>Gagangiri Premises Building, Sangeet Samrat Naushad Ali Rd, Bandra West, Mumbai, Maharashtra 400052, India</t>
  </si>
  <si>
    <t>Kabira's Cafe</t>
  </si>
  <si>
    <t>Shop no, National Centre For Training And Research 1, 88, KC Marg, Nityanand Nagar, Reclamation, Bandra West, Mumbai, Maharashtra 400050, India</t>
  </si>
  <si>
    <t>KCROASTERS By Koinonia</t>
  </si>
  <si>
    <t>6, Chuim Village Rd, Khar, Chuim Village, Danda, Khar West, Mumbai, Maharashtra 400052, India</t>
  </si>
  <si>
    <t>145 Bandra</t>
  </si>
  <si>
    <t>101, HSBC Building, 1st Floor, Pali Road Off Turner Road, near Golds Gym, Bandra West, Mumbai, Maharashtra 400050, India</t>
  </si>
  <si>
    <t>Brakefree Cafe</t>
  </si>
  <si>
    <t>Title Waves, St Paul Media Complex, ST. PAUL'S INSTITUTE OF COMMUNICATION EDUCATION, Rd Number 24, opp. Duruelo Convent School, Bandra West, Mumbai, Maharashtra 400050, India</t>
  </si>
  <si>
    <t>Eat Around the Corner</t>
  </si>
  <si>
    <t>24th, High School, Junction of, &amp;, 30th Rd, opp. St. Theresa's Boys, TPS III, Bandra West, Mumbai, Maharashtra 400050, India</t>
  </si>
  <si>
    <t>I CAFE (Bandra West)</t>
  </si>
  <si>
    <t>Ranwar, Bandra West, Mumbai, Maharashtra 400050, India</t>
  </si>
  <si>
    <t>Boojee cafe</t>
  </si>
  <si>
    <t>Sat Kartar building, 16th Rd, Bandra West, Mumbai, Maharashtra 400050, India</t>
  </si>
  <si>
    <t>RITUAL daily coffee</t>
  </si>
  <si>
    <t>Dr Ambedkar Rd, Pali Market, Pali Hill, Mumbai, Maharashtra 400050, India</t>
  </si>
  <si>
    <t>Sugar Daddy</t>
  </si>
  <si>
    <t>Ground Floor, Noorie House, 4 Rajan Road, Off Carter Rd, Bandra West, Mumbai, Maharashtra 400050, India</t>
  </si>
  <si>
    <t>Subko Mini at Art and Charlie</t>
  </si>
  <si>
    <t>New Red House, 71A, inside Pali Village, Pali Village, Bandra West, Mumbai, Maharashtra 400050, India</t>
  </si>
  <si>
    <t>The Bluebop Cafe</t>
  </si>
  <si>
    <t>318, Linking Rd, Khar, Khar West, Mumbai, Maharashtra 400052, India</t>
  </si>
  <si>
    <t>Carter Road SOCIAL</t>
  </si>
  <si>
    <t>Gagangiri CHS Ltd, Plot 21, Sangeet Samrat Naushad Ali Rd, opposite Carter Promenade, Union Park, Pali Hill, Mumbai, Maharashtra 400052, India</t>
  </si>
  <si>
    <t>Chocolateria San Churro</t>
  </si>
  <si>
    <t>Shop no 2, Simple Apartments, 16th Rd, Bandra West, Mumbai, Maharashtra 400050, India</t>
  </si>
  <si>
    <t>Cafe Duco</t>
  </si>
  <si>
    <t>Trimurti Building, Pyari Nagar, Danda, Khar Danda, Mumbai, Maharashtra 400050, India</t>
  </si>
  <si>
    <t>Ray's Cafe &amp; Pizzeria</t>
  </si>
  <si>
    <t>133, Gazebo House, Hill Rd, Bandra West, Mumbai, Maharashtra 400050, India</t>
  </si>
  <si>
    <t>Coffee By Di Bella</t>
  </si>
  <si>
    <t>1, Perry Cross Rd, Bandra West, Mumbai, Maharashtra 400050, India</t>
  </si>
  <si>
    <t>Farmer Cafe</t>
  </si>
  <si>
    <t>Shop No.1, Celeste Bldg, Plot No. 470, Kinchin CHS, 14th Rd, Khar, Khar West, Mumbai, Maharashtra 400052, India</t>
  </si>
  <si>
    <t>Chaayos Cafe at Chapel Road, Bandra West</t>
  </si>
  <si>
    <t>Unit No - 1,GF, 80, Chapel Rd, nr. Lilavati Hospital, St Sebastian Colony, Mount Mary, Bandra West, Mumbai, Maharashtra 400050, India</t>
  </si>
  <si>
    <t>Grey Soul Coffee Roasters (Bandra West)</t>
  </si>
  <si>
    <t>Dr Ambedkar Rd, next to Wellness Forever, opp. Zig Zag Road, Pali Village, Bandra West, Mumbai, Maharashtra 400050, India</t>
  </si>
  <si>
    <t>Earth Cafe @ Juhu</t>
  </si>
  <si>
    <t>Janki Kutir, Juhu Tara, Juhu, Mumbai, Maharashtra 400049, India</t>
  </si>
  <si>
    <t>No 2/3, Vinco Apartment, Chapel Rd, near Saltwater Cafe, Reclamation, Bandra West, Mumbai, Maharashtra 400050, India</t>
  </si>
  <si>
    <t>Javaphile Carter road</t>
  </si>
  <si>
    <t>Javaphile cafe, Sangeet Samrat Naushad Ali Rd, next to Oceanic, Shirley, Pali Hill, Mumbai, Maharashtra 400050, India</t>
  </si>
  <si>
    <t>Beyond Cafe Bandra West</t>
  </si>
  <si>
    <t>29th Rd, Bandra West, Mumbai, Maharashtra 400050, India</t>
  </si>
  <si>
    <t>Records.coffee by Veranda</t>
  </si>
  <si>
    <t>331, Bloom Boutique Dr. BR Ambedkar Road, Pali Hill Rd, Bandra West, Mumbai, Maharashtra 400050, India</t>
  </si>
  <si>
    <t>Noa by The Nutcracker</t>
  </si>
  <si>
    <t>Shop No. 3 &amp; 4, 384 Kamal VIshranti Kutir opposite St Theresa School, 24th Road, Plot 104, D, Bandra West, Mumbai, Maharashtra 400050, India</t>
  </si>
  <si>
    <t>Baked In Bombay By Bread Boulevard</t>
  </si>
  <si>
    <t>Shop No, 61, Waroda Rd, Ranwar, Bandra West, Mumbai, Maharashtra 400050, India</t>
  </si>
  <si>
    <t>Madras Diaries</t>
  </si>
  <si>
    <t>Shop No. 7, Ground Floor, Muzaffar Manor, 28th Rd, Bandra West, Mumbai, Maharashtra 400050, India</t>
  </si>
  <si>
    <t>Andheri</t>
  </si>
  <si>
    <t>August Cafe</t>
  </si>
  <si>
    <t>A-3, Sastri Nagar Rd, Sundervan Complex, Shastri Nagar, Andheri West, Mumbai, Maharashtra 400053, India</t>
  </si>
  <si>
    <t>Aromas Cafe &amp; Bistro</t>
  </si>
  <si>
    <t>Shop no-13/14/19, Beside Oshiwara police station, Ground floor, Oshiwara link plaza, Mhada Colony, Andheri West, Mumbai, Maharashtra 400102, India</t>
  </si>
  <si>
    <t>Leaping Windows</t>
  </si>
  <si>
    <t>Corner View, 3, Dr.Ashok Chopra Marg, Opp. Bianca Towers, Amit Nagar, Versova, Andheri West, Mumbai, Maharashtra 400061, India</t>
  </si>
  <si>
    <t>Bombay To Barcelona Library Cafe</t>
  </si>
  <si>
    <t>Timmy Arcade, 778, Makwana Rd, Gamdevi, Marol, Andheri East, Mumbai, Maharashtra 400059, India</t>
  </si>
  <si>
    <t>The Homemade Cafe</t>
  </si>
  <si>
    <t>Shop No. 4, 41, kaveri Building, Near, Oshiwara Police Station Rd, Anand Nagar, Andheri West, Mumbai, Maharashtra 400102, India</t>
  </si>
  <si>
    <t>Poolside Cafe</t>
  </si>
  <si>
    <t>VITS Hotel, International Airport Zone, Andheri - Kurla Rd, Bhim Nagar, Andheri East, Mumbai, Maharashtra 400059, India</t>
  </si>
  <si>
    <t>Momo Cafe</t>
  </si>
  <si>
    <t>CTS 215, Andheri - Kurla Rd, opposite Carnival Cinemas, Hanuman Nagar, Andheri East, Mumbai, Maharashtra 400059, India</t>
  </si>
  <si>
    <t>Gokul Regency, V.M Shah Marg, Taruvel CHS, Wing-C, J B Nagar, Andheri East, Andheri, Mumbai, Maharashtra 400099, India</t>
  </si>
  <si>
    <t>Cafe Holiday Versova</t>
  </si>
  <si>
    <t>Social, Meera Apts, 7/11, Juhu Versova Link Rd, opp. Versova, Gharkul Society, Seven Bunglow, Andheri West, Mumbai, Maharashtra 400053, India</t>
  </si>
  <si>
    <t>145 Andheri</t>
  </si>
  <si>
    <t>Plot no B, Ghanshyam Chambers, 1st Floor, Andheri West Above RBL Bank, Opp Citi Mall, New Link Rd, Veera Desai Industrial Estate, Mumbai, Maharashtra 400053, India</t>
  </si>
  <si>
    <t>Love &amp; Latte Lokhandwala</t>
  </si>
  <si>
    <t>Shop 7, Ground Flr, N G Eclat, Millat Nagar External Rd, Yamuna Nagar, Andheri West, Mumbai, Maharashtra 400047, India</t>
  </si>
  <si>
    <t>Pachinco - Cafe &amp; More</t>
  </si>
  <si>
    <t>Ground Floor, Crescent Royale, Veera Desai Road, off link road Behind Crescent Tower, Andheri West, Mumbai, Maharashtra 400053, India</t>
  </si>
  <si>
    <t>Blue Tokai Coffee Roasters | Versova</t>
  </si>
  <si>
    <t>Shop Number 6, JP Rd, opposite Palm Beach Apartment, Aram Nagar Part 1, Machlimar, Versova, Andheri West, Mumbai, Maharashtra 400061, India</t>
  </si>
  <si>
    <t>CafÃ© Barra 12</t>
  </si>
  <si>
    <t>Shop No.4, Varsha Apartments, Gharkul Society, Seven Bunglow, Andheri West, Mumbai, Maharashtra 400061, India</t>
  </si>
  <si>
    <t>Gallery cafe</t>
  </si>
  <si>
    <t>Cluster_mumbai Suburban_714, X - 22, MIDC Central Rd, Hanuman Nagar, Andheri East, Mumbai, Maharashtra 400093, India</t>
  </si>
  <si>
    <t>CocoBroma Coffee Cafe Andheri west</t>
  </si>
  <si>
    <t>Shop no 12, Sterling apt, Sundervan Complex, Shastri Nagar, Andheri West, Mumbai, Maharashtra 400053, India</t>
  </si>
  <si>
    <t>Love &amp; Latte Versova</t>
  </si>
  <si>
    <t>10A&amp;B, JP Rd, Aram Nagar Part 2, Machlimar, Versova, Andheri West, Mumbai, Maharashtra 400061, India</t>
  </si>
  <si>
    <t>Coffee By Di Bella Versova</t>
  </si>
  <si>
    <t>CHS, LTD, Beach Queen Apartments, Shop no 6 and 7, JP Rd, Versova, Andheri West, Mumbai, Maharashtra 400061, India</t>
  </si>
  <si>
    <t>Coffee By Di Bella Lokhandwala</t>
  </si>
  <si>
    <t>Shop 16, Plot 98-A/116, Greenville Co-Operative Housing Society Limited,, Opposite Samarth Vaibhav Lokhandwala Complex, Andheri Lokhandwala, Andheri, West, Mumbai, Maharashtra 400053, India</t>
  </si>
  <si>
    <t>Spring Leaf Cooperative Housing Society, JP Rd, opposite to Nana Nani Garden, Versova, Andheri West, Mumbai, Maharashtra 400061, India</t>
  </si>
  <si>
    <t>Roots Cafe</t>
  </si>
  <si>
    <t>Airport Rd, Bori Colony, Marol, Andheri East, Mumbai, Maharashtra 400059, India</t>
  </si>
  <si>
    <t>E, SN 5, Kanakia Wall St, Andheri - Kurla Rd, near KFC, A-Wing, Chakala, Hanuman Nagar, Andheri, Mumbai, Maharashtra 400053, India</t>
  </si>
  <si>
    <t>Ground floor, Green Ville CHS, opposite Samarth Vaibhav, Lokhandwala Complex, Andheri West, Mumbai, Maharashtra 400053, India</t>
  </si>
  <si>
    <t>Dinshawâ€™s Xpress Cafe</t>
  </si>
  <si>
    <t>Shop No.6, Windermere, New Link Rd, off Oshiwara, Mhada Colony, Andheri West, Mumbai, Maharashtra 400053, India</t>
  </si>
  <si>
    <t>Da Studio Cafe</t>
  </si>
  <si>
    <t>Ground floor , Plot No 1 , Compound. 1, Marol Cooperative Industrial Estate, Marol Maroshi Rd, Marol, Andheri East, Mumbai, Maharashtra 400059, India</t>
  </si>
  <si>
    <t>The Trans Cafe</t>
  </si>
  <si>
    <t>Bunglow 30/33, Old, Mhada Rd, opposite Laxmi Dairy, near Hanuman Mandir Lane, SV Patel Nagar, Andheri West, Mumbai, Maharashtra 400053, India</t>
  </si>
  <si>
    <t>Ohh My Dog Pefe</t>
  </si>
  <si>
    <t>Pratisthan Bunglow,Yamuna Nagar, Back Road, opp. Fairy Land School, beside RNA Eclat, Lokhandwala Complex, Andheri West, Mumbai, Maharashtra 400053, India</t>
  </si>
  <si>
    <t>CAFE MAROL</t>
  </si>
  <si>
    <t>Shop no : 1, 2 ,3, Everjoy Apartments, opp: silver inn, Bori Colony, Marol, Andheri East, Mumbai, Maharashtra 400059, India</t>
  </si>
  <si>
    <t>JW Cafe</t>
  </si>
  <si>
    <t>Chhatrapati Shivaji International Airport Area, Navpada, Vile Parle East, Vile Parle, Mumbai, Maharashtra 400099, India</t>
  </si>
  <si>
    <t>Idlay Cafe (Western Express Highway)</t>
  </si>
  <si>
    <t>82, Andheri - Kurla Rd, near Cine Magic Cinema, Gundavali, Andheri East, Mumbai, Maharashtra 400093, India</t>
  </si>
  <si>
    <t>Prithvi Cafe</t>
  </si>
  <si>
    <t>Apartment, Alongside, Prithvi Theatre, 20, Juhu Rd, Janki Kutir, Juhu, Mumbai, Maharashtra 400049, India</t>
  </si>
  <si>
    <t>Magari</t>
  </si>
  <si>
    <t>Jawaharban Apartment, Magari, Shop Number 9, society, opposite Kokilaben Hospital, Four Bungalows, Andheri West, Mumbai, Maharashtra 400053, India</t>
  </si>
  <si>
    <t>The Backyard Brew</t>
  </si>
  <si>
    <t>Shop No. 1 &amp; 2, Poseidon Apartment, Inlaks Nagar, Versova, Andheri West, Mumbai, Maharashtra 400061, India</t>
  </si>
  <si>
    <t>TBHC -The Buddies Huddle Cafe</t>
  </si>
  <si>
    <t>Shop No. 5, Ameya House CHSL, Mumbai, Maharashtra 400058, India</t>
  </si>
  <si>
    <t>The Turquoise Bean Cafe</t>
  </si>
  <si>
    <t>Oberoi Raviraj Complex, Shop No. 14, Mayfair Apartment, New Link Rd, Andheri West, Mumbai, Maharashtra 400053, India</t>
  </si>
  <si>
    <t>Cafe White Lama - European Eatery</t>
  </si>
  <si>
    <t>Shop No.1, Samarth Vaibhav, Society, Lokhandwala Rd, near IDBI Bank, Tarapore Gardens, Oshiwara, Andheri West, Mumbai, Maharashtra 400102, India</t>
  </si>
  <si>
    <t>Pair A Dice Cafe</t>
  </si>
  <si>
    <t>1st Floor, Link Plaza Commercial Complex, 53, above Fire Bowl Restaurant, Andheri West, Mumbai, Maharashtra 400102, India</t>
  </si>
  <si>
    <t>Cafe Tandoor 69</t>
  </si>
  <si>
    <t>Flt No - 31, Sai Kripa Compound Telli Galli Road, Outhouse, near Imperial Hotel, Andheri East, Mumbai, Maharashtra 400069, India</t>
  </si>
  <si>
    <t>Idlay Cafe, J.B Nagar, Andheri ( E )</t>
  </si>
  <si>
    <t>Shop no 9, Srinivas, Ashish Apartment, Shriniwas Bagarka Rd, Akal Society, Kanti Nagar, J B Nagar, Andheri East, Mumbai, Maharashtra 400059, India</t>
  </si>
  <si>
    <t>No 8, GF, Infiniti Mall, New Link Rd Kavivar, Pandit Indra Marg, next to Raheja Classique Complex, Oshiwara, Mumbai, Maharashtra 400053, India</t>
  </si>
  <si>
    <t>Shop.No 2, Bharat Ark, Veera Desai Rd, Mhada Colony, Azad Nagar, Andheri West, Mumbai, Maharashtra 400053, India</t>
  </si>
  <si>
    <t>BEST BUDDY'S CAFE</t>
  </si>
  <si>
    <t>SHOP NO. 1, BUILDING NO. 42, MATRUCHHAY CHSL, Oshiwara Police Station Road, ,Andheri West, Mumbai, Maharashtra 400102, India</t>
  </si>
  <si>
    <t>Shop no. 2, Reporters Bungalow, 120, Swami Vivekananda Rd, nr. Shoppers Stop, Navpada, Andheri West, Mumbai, Maharashtra 400058, India</t>
  </si>
  <si>
    <t>Barista Coffee</t>
  </si>
  <si>
    <t>Shop No Gala No.2, Part 1, JP Rd, Aram Nagar Part 1, Aram Nagar, Versova, Andheri West, Mumbai, Maharashtra 400061, India</t>
  </si>
  <si>
    <t>Blue Tokai Coffee Roasters | Andheri East</t>
  </si>
  <si>
    <t>Unit G-2, Amba Shanti Chambers, Andheri - Kurla Rd, Bori Colony, Vijay Nagar Colony West, Marol, Andheri East, Mumbai, Maharashtra 400056, India</t>
  </si>
  <si>
    <t>Cafe Lounge - Kohinoor Continental</t>
  </si>
  <si>
    <t>Lobby, Hotel Kohinoor Continental, Andheri - Kurla Rd, J B Nagar, Andheri East, Mumbai, Maharashtra 400059, India</t>
  </si>
  <si>
    <t>Shetty Building, Swami Vivekananda Rd, Fish Market Area, Navneeth Colony, Andheri West, Mumbai, Maharashtra 400058, India</t>
  </si>
  <si>
    <t>GinGin Cafe and Bar</t>
  </si>
  <si>
    <t>4th floor, westside, Sai Kanwal corporation, 427/428, JP Rd, off indira nagar, opposite Cosmos Plaza, Sonal Co operative Hsg Society, Manish Nagar, Four Bungalows, Andheri West, Andheri, Mumbai, Maharashtra 400053, India</t>
  </si>
  <si>
    <t>Cafe savera</t>
  </si>
  <si>
    <t>Shop no2, shukhmani building, Swami Vivekananda Rd, near fedai baug, opp. Nadco market, Shree Ram Nagar, Andheri West, Mumbai, Maharashtra 400058, India</t>
  </si>
  <si>
    <t>Cafe Popo</t>
  </si>
  <si>
    <t>36, Lallubhai Park Rd, Andheri West, Mumbai, Maharashtra 400058, India</t>
  </si>
  <si>
    <t>Coffee By Di Bella, Sher E Punjab</t>
  </si>
  <si>
    <t>Shop no.1 &amp; 2, New Malinee Chs Ldt, Mahakali Caves Rd, opposite Cannosa School, Subhash Nagar, Andheri East, Mumbai, Maharashtra 400093, India</t>
  </si>
  <si>
    <t>Opa! Bar &amp; Cafe</t>
  </si>
  <si>
    <t>Sakinaka Junction Hotel Peninsula Grand, Lokmanya Tilak Nagar, Andheri East, Mumbai, Maharashtra 400072, India</t>
  </si>
  <si>
    <t>Vaibhav Cafe</t>
  </si>
  <si>
    <t>Ground Floor, Syndicate Chamber, opp. Sahar Road, Railway Colony, Andheri East, Mumbai, Maharashtra 400069, India</t>
  </si>
  <si>
    <t>KEFI Eatery &amp; Cafe</t>
  </si>
  <si>
    <t>Shop No. 11, Mayfair Apartments, Sundervan Complex Rd, near Hotel Empressa, Shastri Nagar, Andheri West, Mumbai, Maharashtra 400053, India</t>
  </si>
  <si>
    <t>Cafe O</t>
  </si>
  <si>
    <t>2, Sagar Pallazio, Sakinaka, Magan Nathuram Rd, opposite Hotel Chakra, Safed Pul, Andheri East, Mumbai, Maharashtra 400072, India</t>
  </si>
  <si>
    <t>ESPATO - My Learn Coffee</t>
  </si>
  <si>
    <t>Shop No. 14, Karthik Complex, New Link Rd, opp. Laxmi Business Park, Veera Desai Industrial Estate, Andheri West, Mumbai, Maharashtra 400053, India</t>
  </si>
  <si>
    <t>DAILY TRIP CAFE</t>
  </si>
  <si>
    <t>SHOP NO 29, Link Plaza Commercial Complex, near Om Heera Panna Mall, Mhada Colony, Andheri West, Mumbai, Maharashtra 400053, India</t>
  </si>
  <si>
    <t>Moon Shine Cafe and Bar</t>
  </si>
  <si>
    <t>4RQJ+QR3, Veera Desai Industrial Estate, Andheri West, Mumbai, Maharashtra 400047, India</t>
  </si>
  <si>
    <t>Kruti Coffee Oshiwara</t>
  </si>
  <si>
    <t>Plot R, Ekdant Society, 13, Bhau Tatoba Toraskar Marg, near Ganapati Temple, Oshiwara, Andheri West, Mumbai, Maharashtra 400053, India</t>
  </si>
  <si>
    <t>Pachinco Andheri East</t>
  </si>
  <si>
    <t>Near Andheri, Metro Station Andheri, Sir M.V. Road, Andheri - Kurla Rd, E, Mumbai, Maharashtra 400069, India</t>
  </si>
  <si>
    <t>Goregaon</t>
  </si>
  <si>
    <t>Coffee Connect Food Pvt Ltd.</t>
  </si>
  <si>
    <t>SHOP NO.8, Tulsi Deep CHS Ltd, Swami Vivekananda Rd, next to Enrich Salon, Kumud Nagar, Goregaon West, Mumbai, Maharashtra 400104, India</t>
  </si>
  <si>
    <t>Lord's Cafe</t>
  </si>
  <si>
    <t>Shop No.6, Topiwala CHS, Station-West, opp. Topiwala Mall, Kakaji Nagar, Jawahar Nagar, Goregaon, Mumbai, Maharashtra 400104, India</t>
  </si>
  <si>
    <t>Mumbai Times Cafe</t>
  </si>
  <si>
    <t>Emerald Club, Royal Palms, Aarey Colony, Goregaon, Mumbai, Maharashtra 400065, India</t>
  </si>
  <si>
    <t>Blue Tokai Coffee Roasters | Goregaon West</t>
  </si>
  <si>
    <t>Shop No 7, Ekta Tripolis, Siddharth Nagar Rd, Motilal Nagar I, Goregaon West, Mumbai, Maharashtra 400104, India</t>
  </si>
  <si>
    <t>Unit no- 2, Third floor, Oberoi Mall, Off, Western Urban Rd, Yashodham, Goregaon, Mumbai, Maharashtra 400063, India</t>
  </si>
  <si>
    <t>Arkish cafe</t>
  </si>
  <si>
    <t>Shop no 15,M.C.G.M. Shopping center, Mahatma Gandhi Rd, Mitha Nagar, Goregaon West, w, Maharashtra 400104, India</t>
  </si>
  <si>
    <t>Third Floor, Oberoi Mall, Unit T, off Western Urban Road, beside PVR, Yashodham, Goregaon, Mumbai, Maharashtra 400063, India</t>
  </si>
  <si>
    <t>Blue Tokai Coffee Roasters | Goregaon East</t>
  </si>
  <si>
    <t>Shop No.2, Ground Floor, Om shree Ganesh Building, Vishveshwar Nagar Rd, opp. ICICI bank, Churi Wadi, Goregaon, Mumbai, Maharashtra 400063, India</t>
  </si>
  <si>
    <t>West End Bistro</t>
  </si>
  <si>
    <t>Shop no. 9, Shauket Mansion, Aarey Fatak road, opp. DNS bank, Goregaon West, Mumbai, Maharashtra 400104, India</t>
  </si>
  <si>
    <t>Cooling Tower Cafe</t>
  </si>
  <si>
    <t>NIRLON KNOWLEDGE PARK, Pahadi Village Off, Western Express Highway, Cama Industrial Estate, Goregaon, Mumbai, Maharashtra 400063, India</t>
  </si>
  <si>
    <t>Crank It! Cafe</t>
  </si>
  <si>
    <t>B/204, behind Mastermind 3, next to Moroccan Apts, Royal Palms Estate, Aarey Colony, Goregaon, Mumbai, Maharashtra 400063, India</t>
  </si>
  <si>
    <t>Oberoi Garden City, Oberoi Mall, G1 &amp; G2, near International Business Park, Goregaon, Mumbai, Maharashtra 400063, India</t>
  </si>
  <si>
    <t>Olive Bistro</t>
  </si>
  <si>
    <t>Third Floor, Oberoi Mall General AK Vidya Marg, Western Urban Rd, Yashodham, Goregaon, Mumbai, Maharashtra 400063, India</t>
  </si>
  <si>
    <t>Coffee By Di Bella Exclusive Malad</t>
  </si>
  <si>
    <t>Movie Time Cinema, Shop 3, Ground Floor, A-2 Wing Jagdamba Commercial Complex, New Link Rd, Kanchpada, Malad West, Mumbai, Maharashtra 400064, India</t>
  </si>
  <si>
    <t>Oberoi Mall, Yashodham, Goregaon, Mumbai, Maharashtra 400063, India</t>
  </si>
  <si>
    <t>Shop Unit No. 8, Ekta Tripolis, Siddharth Nagar Rd, Motilal Nagar I, Goregaon West, Mumbai, Maharashtra 400104, India</t>
  </si>
  <si>
    <t>Cafe Dlite</t>
  </si>
  <si>
    <t>5, Tirupati Udyog, I. B. Patel Road, Off, Western Urban Rd, Unnat Nagar, Jay Prakash Nagar, Goregaon, Mumbai, Maharashtra 400063, India</t>
  </si>
  <si>
    <t>GF, Lobby Commerz 2, International Business Park, near Western Urban Road, Yashodham, Goregaon, Mumbai, Maharashtra 400063, India</t>
  </si>
  <si>
    <t>Sufi Irani Cafe</t>
  </si>
  <si>
    <t>5V95+VMX, Dudhsagar Society, Aarey Colony, Goregaon, Mumbai, Maharashtra 400063, India</t>
  </si>
  <si>
    <t>Slay Coffee</t>
  </si>
  <si>
    <t>Shop 36, Virwani Industrial Estate, Western Urban Rd, Hanuman Tekdi, Goregaon West, Mumbai, Maharashtra 400063, India</t>
  </si>
  <si>
    <t>D-2, CHS Limited, Shop No.14 &amp; 15, Satellite Garden Phase 2, Azad Nagar, Gokuldham Colony, Goregaon, Mumbai, Maharashtra 400063, India</t>
  </si>
  <si>
    <t>Goregaon SOCIAL</t>
  </si>
  <si>
    <t>Oberoi Mall, Western Urban Rd, Yashodham, Goregaon, Mumbai, Maharashtra 400063, India</t>
  </si>
  <si>
    <t>CafÃ© IDlish Goregaon</t>
  </si>
  <si>
    <t>4S Mini Madras Cafe, Gokuldham Shopping Centre, 10, Aba Karmarkar Rd, near Royal Challenge Restaurant, Yashodham, Goregaon, Mumbai, Maharashtra 400063, India</t>
  </si>
  <si>
    <t>The C Spot Cafe</t>
  </si>
  <si>
    <t>Shop no 15, Building no 4, ONGC Colony, off Krishna Chandra Marg, beside candies, Reclamation, Bandra West, Mumbai, Maharashtra 400050, India</t>
  </si>
  <si>
    <t>Garden Alfresco</t>
  </si>
  <si>
    <t>4/277 I B Patel Road, Pahadi Rd, behind H.P. Petrol Pump Village, Goregaon, Mumbai, Maharashtra 400063, India</t>
  </si>
  <si>
    <t>Cafe Sadar Fa</t>
  </si>
  <si>
    <t>New Link Rd, Azad Nagar, Colony No 2, Laxmi Nagar, Goregaon West, Mumbai, Maharashtra 400104, India</t>
  </si>
  <si>
    <t>The Burrow Cafe</t>
  </si>
  <si>
    <t>Shop 10, 11, 12, Springfield 1, Sunder Ln, Malad, Orlem, Malad West, Mumbai, Maharashtra 400064, India</t>
  </si>
  <si>
    <t>Cococart &amp; Cafe (Oberoi Mall)</t>
  </si>
  <si>
    <t>White House Cafe</t>
  </si>
  <si>
    <t>Shop no 09, rakhsha hospital, near Atharva college, Malad, Charkop Naka, Asmita Jyoti Housing Society, Malad West, Mumbai, Maharashtra 400095, India</t>
  </si>
  <si>
    <t>Love &amp; Latte Malad</t>
  </si>
  <si>
    <t>Ground Flr, INTERFACE-11, MDP Rd, behind New Infiniti Mall, off New Link Road, Malad, Mindspace, Malad West, Mumbai, Maharashtra 400064, India</t>
  </si>
  <si>
    <t>The Nature Bar - Goregaon</t>
  </si>
  <si>
    <t>Yashodham, Goregaon, Mumbai, Maharashtra 400063, India</t>
  </si>
  <si>
    <t>Tea Pea CafÃ© | Best Cafe in Malad | Goregaon</t>
  </si>
  <si>
    <t>Shop No.1, Corporate Corner, near Dalmia College, Mandlik Nagar, Sunder Nagar, Malad West, Mumbai, Maharashtra 400104, India</t>
  </si>
  <si>
    <t>L'ttle Miss Cafe</t>
  </si>
  <si>
    <t>Bungalow no. 114, Smokey &amp; Charlie, Lane No. 1, opposite planet cast, Royal Palms Estate, Aarey Colony, Goregaon, Mumbai, Maharashtra 400065, India</t>
  </si>
  <si>
    <t>Kitchen Garden by Suzette Oberoi Mall</t>
  </si>
  <si>
    <t>Unit No 07, 2nd Floor, Oberoi Mall, off Western Urban Road, Yashodham, Goregaon, Mumbai, Maharashtra 400063, India</t>
  </si>
  <si>
    <t>Cafe Delhi Heights, Inorbit Mall, Malad</t>
  </si>
  <si>
    <t>Unit No. 1, Second Floor, Inorbit Mall, New Link Rd, Malad, Malad West, Mumbai, Maharashtra 400064, India</t>
  </si>
  <si>
    <t>Fleur Restaurant - The Fern Hotel Goregaon</t>
  </si>
  <si>
    <t>4/277, IB Patel Rd, Behind H.P Petrol, Jay Prakash Nagar, Goregaon, Mumbai, Maharashtra 400063, India</t>
  </si>
  <si>
    <t>RUNWAL GREENS, Shop No G 40 and G 41, R-Galleria, Mulund - Goregaon Link Rd, Mulund West, Mumbai, Maharashtra 400078, India</t>
  </si>
  <si>
    <t>Trupti's kitchen</t>
  </si>
  <si>
    <t>Anamika (A-52), Sai Rd, Gokuldham Colony, Goregaon, Mumbai, Maharashtra 400063, India</t>
  </si>
  <si>
    <t>Lobby, NESCO IT Park, Ram Mandir Rd, NESCO, Goregaon, Mumbai, Maharashtra 400063, India</t>
  </si>
  <si>
    <t>The Brew Cafe - Thakur Village</t>
  </si>
  <si>
    <t>Shop no: 1, Viceroy Court, Kandivali, Dattani Park, Thakur Village, Kandivali East, Mumbai, Maharashtra 400101, India</t>
  </si>
  <si>
    <t>Cafe Recess</t>
  </si>
  <si>
    <t>Shop no 10, Jaibhavani CHS, Satellite Garden Phase 2, A wing, Aarey Bhaskar Rd, Azad Nagar, Gokuldham Colony, Goregaon, Mumbai, Maharashtra 400063, India</t>
  </si>
  <si>
    <t>TeaZahn</t>
  </si>
  <si>
    <t>Shop No. 4, Ashoka Palace, Malad, Matanpur Nagar, Malad East, Mumbai, Maharashtra 400097, India</t>
  </si>
  <si>
    <t>Coffee Connect Food Pvt Ltd</t>
  </si>
  <si>
    <t>Ground Floor, Anushka Building, Coffee Connect , Shop No 03, Opp, Oshiwara Police Station Rd, Jogeshwari West, Mumbai, Maharashtra 400047, India</t>
  </si>
  <si>
    <t>Gate 3, NESCO Center, NESCO IT 4 lobby, Goregaon, Mumbai, Maharashtra 400063, India</t>
  </si>
  <si>
    <t>Star cafe</t>
  </si>
  <si>
    <t>ground floor,orchard mall 400065, Royal Palms, Aarey Colony, Goregaon, Mumbai, Maharashtra 400065, India</t>
  </si>
  <si>
    <t>Shakey Wakey Oshiwara</t>
  </si>
  <si>
    <t>Shop no 1 building no 12 , ground floor , Lotus CHS Ltd, Mumbai, Maharashtra 400053, India</t>
  </si>
  <si>
    <t>Retaliate Gaming Cafe</t>
  </si>
  <si>
    <t>2/16, First floor back side, 3, Mahatma Gandhi Rd, Unnat Nagar, Goregaon West, Mumbai, Maharashtra 400104, India</t>
  </si>
  <si>
    <t>Ground Floor, New Link Rd, Malad, Malad West, Mumbai, Maharashtra 400064, India</t>
  </si>
  <si>
    <t>Ground Floor, Building No. 4, Nesco Pvt Ltd, North C-wing, Western Urban Rd, inside Food court, Goregaon, Mumbai, India</t>
  </si>
  <si>
    <t>Coffee King</t>
  </si>
  <si>
    <t>Mind Space, Malad, Mindspace, Malad West, Mumbai, Maharashtra 400064, India</t>
  </si>
  <si>
    <t>Blue Tokai Coffee Roasters | Malad West</t>
  </si>
  <si>
    <t>Shop No 6, Ground Floor, Raj Infinia, Khandelwal Layout, Evershine Nagar, Malad West, Mumbai, Maharashtra 400064, India</t>
  </si>
  <si>
    <t>Mamma's cafe</t>
  </si>
  <si>
    <t>bus stand, Aarey Rd, behind Peru bag, Peru Baug, Churi Wadi, Goregaon West, Mumbai, Maharashtra 400063, India</t>
  </si>
  <si>
    <t>Borivali</t>
  </si>
  <si>
    <t>Kaffeine: Cafe &amp; Kitchen</t>
  </si>
  <si>
    <t>Shop No 1, Ground &amp; First Floor, Sakshat, Navkar Paradise, Shimpoli Rd, opp. Mega Party Hall, Mini Zaveri Bazaar, Mhatre Wadi, Borivali West, Mumbai, Maharashtra 400092, India</t>
  </si>
  <si>
    <t>Final Plot No 90, B Wing, Shop No 4-5, Ground Floor, Floor, Emerald, Roshan Nagar, Borivali West, Mumbai, Maharashtra 400092, India</t>
  </si>
  <si>
    <t>CAFE METER ON</t>
  </si>
  <si>
    <t>Shop No 3, Meghkamal CHS, opp. IDFC Bank, I C Colony, Borivali West, Mumbai, Maharashtra 400103, India</t>
  </si>
  <si>
    <t>Blue Tokai Coffee Roasters | Borivali West</t>
  </si>
  <si>
    <t>Shop No 3, Ground Floor, TG School, Chikuwadi Rd, next to Phoenix Hospital, Padma Nagar, Borivali, Mumbai, Maharashtra 400092, India</t>
  </si>
  <si>
    <t>Village Side Cafe</t>
  </si>
  <si>
    <t>Village Side Cafe, Kutchi Sarvoday Trust Ground, nr. Pixcy Kennel, Yogi Nagar Marg, Yogi Nagar, Mumbai, Maharashtra 400092, India</t>
  </si>
  <si>
    <t>Shop no 213, Ground Floor, Bhattad Tower, RM Bhattad Rd, opposite Kora Kendra Ground 2, Dalvi Nagar, Borivali West, Mumbai, Maharashtra 400092, India</t>
  </si>
  <si>
    <t>Cafe Pibatie</t>
  </si>
  <si>
    <t>shop no:1, Avanti B CHS, Shimpoli Rd, Haridas Nagar, Borivali West, Mumbai, Maharashtra 400092, India</t>
  </si>
  <si>
    <t>Gosssip Corner</t>
  </si>
  <si>
    <t>Shop no.1, Ekta Elegance, New Link Rd, opposite Eskay Club, Yogi Nagar, Borivali West, Mumbai, Maharashtra 400091, India</t>
  </si>
  <si>
    <t>Gigil Brasserie ..... The Food Lovers cafe</t>
  </si>
  <si>
    <t>RM Bhattad Rd, Dalvi Nagar, Borivali West, Mumbai, Maharashtra 400092, India</t>
  </si>
  <si>
    <t>Tea Pea CafÃ© | Best Cafe in Borivali</t>
  </si>
  <si>
    <t>Shop 2, Dama Villa, Kalpana Chawla Chowk, near Kora Kendra Ground 2, Haridas Nagar, Borivali West, Mumbai, Maharashtra 400092, India</t>
  </si>
  <si>
    <t>Bustle - At the rooftop</t>
  </si>
  <si>
    <t>7th floor, Tanishq showroom, Vini Elegance, L.T. Rd, Mini Zaveri Bazaar, Mhatre Wadi, Borivali, Mumbai, Maharashtra 400092, India</t>
  </si>
  <si>
    <t>Panchayat- The Kulhad cafe(Borivali West)</t>
  </si>
  <si>
    <t>Shop No. 1, Avanti, Soni Paradise C.H.S. Ltd., Shimpoli Rd, Haridas Nagar, Borivali West, Mumbai, Maharashtra 400092, India</t>
  </si>
  <si>
    <t>Blabber All Day</t>
  </si>
  <si>
    <t>Esspee Tower, Dattapada Rd, Ekta Bhoomi Gardens III, Food Corporation of India Warehouse, Borivali East, Mumbai, Maharashtra 400066, India</t>
  </si>
  <si>
    <t>The Chocolate Heaven</t>
  </si>
  <si>
    <t>Shop No. 7, Silver Arch, CHS, Kalpana Chawla Chowk, opp. Sony Tower, Ram Nagar, Sheetal Co-op Housing Society, Borivali West, Mumbai, Maharashtra 400092, India</t>
  </si>
  <si>
    <t>Shop No 3 &amp; 4, Gr Flr, The Corner Bldg Devidas Lane, Road, opposite Eskay Resort, Eksar, Borivali West, Mumbai, Maharashtra 400103, India</t>
  </si>
  <si>
    <t>Bombay Cycle Cafe</t>
  </si>
  <si>
    <t>Shop no 3, Churchway building, next to Churchway fruits and vegetables, I C Colony, C Colony, Borivali West, Mumbai, Maharashtra 400103, India</t>
  </si>
  <si>
    <t>Dinshaw's Xpress Cafe Khimani Hospitality</t>
  </si>
  <si>
    <t>Shop Number 2, Ground Floor jitnedra bhavan CHS LTD.punjabi lane, L.T. Rd, Borivali West, Mumbai, Maharashtra 400092, India</t>
  </si>
  <si>
    <t>Terreza Cafe and Bar</t>
  </si>
  <si>
    <t>4th floor, The Hub link, New Link Rd, opposite Shanti Ashram Signal, Eksar Village, Eksar, Borivali West, Mumbai, Maharashtra 400103, India</t>
  </si>
  <si>
    <t>Blue Tokai Coffee Roasters | IC Colony, Borivali</t>
  </si>
  <si>
    <t>Shop No 2, Gound Floor, Acropolis Apartment, Laxman Mhatre Rd, I C Colony, Marian Colony, Borivali West, Mumbai, Maharashtra 400103, India</t>
  </si>
  <si>
    <t>The Fusion Kitchen</t>
  </si>
  <si>
    <t>Shop no 1, Holy Cross Rd, opp. Veda Apartment, I C Colony, Kandarpada, Borivali West, Mumbai, Maharashtra 400103, India</t>
  </si>
  <si>
    <t>BHAJIYAWALA &amp; CO.</t>
  </si>
  <si>
    <t>Bhattad Tower, 08, GF, RM Bhattad Rd, opp. KORAKENDRA GROUND, Borivali, W, Maharashtra 400092, India</t>
  </si>
  <si>
    <t>Oriv Resto Cafee Bar</t>
  </si>
  <si>
    <t>Metro Line, Starbucks Coffee, Near Eksar Metro Station, 2A Besides, New Link Rd, near Lotus Multispeciality Hospital, Eksar, Borivali West, Mumbai, Maharashtra 400091, India</t>
  </si>
  <si>
    <t>Tea Pea Cafe |</t>
  </si>
  <si>
    <t>Shop No. 10, Avirahi Homes, New Link Rd, B Wing, I C Colony, Borivali West, Mumbai, Maharashtra 400103, India</t>
  </si>
  <si>
    <t>Shop no.2&amp;3, Avirahi Homes, IC Colony Ext, I C Colony, Borivali West, Mumbai, Maharashtra 400103, India</t>
  </si>
  <si>
    <t>Chai Chulha- Mumbai - (Borivali -East)</t>
  </si>
  <si>
    <t>Shop No. 1, Manohar Niwas, Kasturba Road No. 1, opposite Kasturba Police Station, Borivali East, Mumbai, Maharashtra 400066, India</t>
  </si>
  <si>
    <t>Shop No 2C, Ground Floor, V-Souk, Sai Baba Extension Road, Mahavir Nagar Kandivali West, opposite Sachin Tendulkar Sports Club, Borivali West, Mumbai, Maharashtra 400092, India</t>
  </si>
  <si>
    <t>MASTEE Pure Veg restaurant in Borivali</t>
  </si>
  <si>
    <t>Shop 4, Ground Floor, A, Telephone Exchange, AHCL HOMES, New Link Rd, opposite Shimpoli, Shimpoli, Borivali, Mumbai, Maharashtra 400092, India</t>
  </si>
  <si>
    <t>312House</t>
  </si>
  <si>
    <t>IC Colony Cross Rd Number 4, Devki Nagar, Borivali West, Mumbai, Maharashtra 400103, India</t>
  </si>
  <si>
    <t>Coffee Craft</t>
  </si>
  <si>
    <t>Outside Bhavdevi Compound, New Link Rd, Kandarpada, Dahisar West, Mumbai, Maharashtra 400068, India</t>
  </si>
  <si>
    <t>The Peace Story</t>
  </si>
  <si>
    <t>4th Floor, Sun Plaza, L.T. Rd, opp. Diamond Talkies, Gyan Nagar, Mhatre Wadi, Borivali West, Mumbai, Maharashtra 400091, India</t>
  </si>
  <si>
    <t>Helly and Chilly Cafe The white wolf cafe</t>
  </si>
  <si>
    <t>Shop no. 13A, Shripal Nagar, opp. Malpani ground, Satya Nagar, Borivali West, Mumbai, Maharashtra 400092, India</t>
  </si>
  <si>
    <t>Love &amp; Latte Borivali</t>
  </si>
  <si>
    <t>Shop No 4, Ground Floor, TG School, Chikuwadi Rd, next to Phoenix Hospital, Padma Nagar, Borivali, Mumbai, Maharashtra 400092, India</t>
  </si>
  <si>
    <t>The Chai Fusion</t>
  </si>
  <si>
    <t>New Link Rd, I C Colony, Borivali West, Mumbai, Maharashtra 400103, India</t>
  </si>
  <si>
    <t>Torque Cafe</t>
  </si>
  <si>
    <t>Shop No. 6, Amita Apartment, Kasturba, Rd Number 5, Chinchpada, Borivali East, Mumbai, Maharashtra 400066, India</t>
  </si>
  <si>
    <t>Vividh NX Bar &amp; Cafe Modern World Cuisine</t>
  </si>
  <si>
    <t>Shop No. 1, Gayatri Shivam Apartment Western Express Highway Service Road Opp. Carnival Cinema, Kandivali East, Mumbai, Maharashtra 400101, India</t>
  </si>
  <si>
    <t>Chaayos Cafe at Borivali</t>
  </si>
  <si>
    <t>Unit No 1, Rishab Raj Suraj 2, Shimpoli Rd, Rameshwar Darshan CHS, Babhai Naka, Borivali West, Mumbai, Maharashtra 400092, India</t>
  </si>
  <si>
    <t>Cafe Delight Family Restaurant (Borivali East)</t>
  </si>
  <si>
    <t>6VJ5+HX5, Mahatma Gandhi Rd, opposite S.T. Depot, Chinchpada, Borivali East, Mumbai, Maharashtra 400066, India</t>
  </si>
  <si>
    <t>Barista - Borivali</t>
  </si>
  <si>
    <t>Greenwood Complex, New Link Rd, near Metro Station Shimpoli, Shimpoli, Borivali, Mumbai, Maharashtra 400092, India</t>
  </si>
  <si>
    <t>Signature Premium Cafe &amp; Resto</t>
  </si>
  <si>
    <t>Shop no. 14, B-NO. 6B, Mandpeshwar Civic Federation Udyan Marg, Prem Nagar, Borivali West, Mumbai, Maharashtra 400092, India</t>
  </si>
  <si>
    <t>Lotus Leaf</t>
  </si>
  <si>
    <t>ESKAY RESORTS, Off Link Road, Eksar Village, Eksar, Borivali West, Mumbai, Maharashtra 400091, India</t>
  </si>
  <si>
    <t>TAVOLA FINE DINE,BAR , DIESEL CAFE</t>
  </si>
  <si>
    <t>2, next to Sai star cable, Thakur Village, Kandivali East, Mumbai, Maharashtra 400101, India</t>
  </si>
  <si>
    <t>Nuvola Cafe</t>
  </si>
  <si>
    <t>Shop No. 8, Soni Paradise C.H.S. Ltd., Om Shivam Premises, Shimpoli Rd, Haridas Nagar, Borivali West, Mumbai, Maharashtra 400092, India</t>
  </si>
  <si>
    <t>My Story Cafe</t>
  </si>
  <si>
    <t>New Link Rd, Shimpoli, Borivali West, Mumbai, Maharashtra 400092, India</t>
  </si>
  <si>
    <t>Quartz Cave - Restobar Banquets Lounge</t>
  </si>
  <si>
    <t>Annex Mall, Western Urban Rd, Siddharth Nagar, Borivali East, Mumbai, Maharashtra 400092, India</t>
  </si>
  <si>
    <t>Farmhouse Palladium Rest-O-Bar</t>
  </si>
  <si>
    <t>I C Colony, Borivali, Mumbai, Maharashtra 400103, India</t>
  </si>
  <si>
    <t>Bombay Eatery</t>
  </si>
  <si>
    <t>Railway Station, 4th Floor, Thakkar shopping Center, Opposite Borivali, Swami Vivekananda Rd, Borivali West, Mumbai, Maharashtra 400092, India</t>
  </si>
  <si>
    <t>Siddhivinayak CHS, 86/853, Petrol pump lane, Kandivali, Mahavir Nagar, Kandivali West, Mumbai, Maharashtra 400067, India</t>
  </si>
  <si>
    <t>Borivali AC Waiting Lounge and Restaurant</t>
  </si>
  <si>
    <t>Platform No. 10, BORIVALI RAILWAY STATION, Chinchpada, E, Mumbai, Maharashtra 400066, India</t>
  </si>
  <si>
    <t>Farmhouse Brass Anchor</t>
  </si>
  <si>
    <t>Ground Floor, Jamuna Darshan Building, Natakwala Lane, opposite Shimpoli Road, Mumbai, Maharashtra 400092, India</t>
  </si>
  <si>
    <t>The Betel House</t>
  </si>
  <si>
    <t>Shop No 2, Visamo Building, TPS Rd, opp. Veer Savarkar Garden, Babhai Naka, Borivali West, Mumbai, Maharashtra 400092, India</t>
  </si>
  <si>
    <t>Madrasi Kaapi House - I C Colony</t>
  </si>
  <si>
    <t>Shop No.4, A1, CHS LTD, Audumber Chhaya, I C Colony, Borivali West, Mumbai, Maharashtra 400103, India</t>
  </si>
  <si>
    <t>Ek Batta Do</t>
  </si>
  <si>
    <t>Do, 7, Shiv Darshan, Ek Batta, Shimpoli Rd, near Veg Treat, Kastur Park, Borivali West, Mumbai, Maharashtra 400092, India</t>
  </si>
  <si>
    <t>TeaMax Cafe Borivali West Mumbai</t>
  </si>
  <si>
    <t>Shreepal Building, SHRIPAL BUILDING, Shop no.13 A, opp. Malpani ground, Satya Nagar, Borivali West, Mumbai, Maharashtra 400092, India</t>
  </si>
  <si>
    <t>The London Shakes</t>
  </si>
  <si>
    <t>Shop no 9, Shroff Tower, Sodawala Ln, opposite Croma, Borivali West, Mumbai, Maharashtra 400092, India</t>
  </si>
  <si>
    <t>Dessert Junction Borivali</t>
  </si>
  <si>
    <t>Shop no 8, Natraj Cooperative Housing Society, Ramdas Sutrale Marg, near Tata Croma, Himmat Nagar, Borivali West, Mumbai, Maharashtra 400092, India</t>
  </si>
  <si>
    <t>First We Vibe Cafe</t>
  </si>
  <si>
    <t>Metro Station Ic Colony, Avirahi Homes, 8, New Link Rd, near mandapeshwar, B Wing, I C Colony, Borivali West, Mumbai, Maharashtra 400103, India</t>
  </si>
  <si>
    <t>Cream Lounge</t>
  </si>
  <si>
    <t>Shop No.5, Brindavan Apartments, Besides Aura Veg Restaurant, Juncton Of Link Road, &amp;, Yogi Nagar Marg, Yogi Nagar, Borivali West, Mumbai, Maharashtra 400091, India</t>
  </si>
  <si>
    <t>Banana Leaf Restaurant borivali</t>
  </si>
  <si>
    <t>Ground Floor Aditya Building, Gala No. 1 to, 8, New Link Rd, Shimpoli, Borivali West, Mumbai, Maharashtra 400092, India</t>
  </si>
  <si>
    <t>The mocktail club</t>
  </si>
  <si>
    <t>Shop no 10 plot no 66 sai, Gharkul CHS, opp. pepsi ground, near dr pillai global academy, Amrut Co-Operative Housing Society, Gorai 2, Borivali West, Mumbai, Maharashtra 400092, India</t>
  </si>
  <si>
    <t>The Basil Cafe</t>
  </si>
  <si>
    <t>Shop number: 1, LTD, Rajkamal CHS, 92, Yogi Nagar Marg, near Gossip restaurant, Yogi Nagar, Borivali West, Mumbai, Maharashtra 400092, India</t>
  </si>
  <si>
    <t>Kurla</t>
  </si>
  <si>
    <t>Coffee Culture</t>
  </si>
  <si>
    <t>Shop 38 - 39, Lal Bahadur Shastri Marg, Kamani, Kurla West, Kurla, Mumbai, Maharashtra 400070, India</t>
  </si>
  <si>
    <t>PONDICHÃ‰RY CAFÃ‰ - ALL-DAY DINING</t>
  </si>
  <si>
    <t>C 57, G Block BKC, Bandra Kurla Complex, Bandra East, Mumbai, Maharashtra 400051, India</t>
  </si>
  <si>
    <t>Equinox Tower 3, Lal Bahadur Shastri Road, Road, off BKC, Ambedkar Nagar, Kurla, Mumbai, Maharashtra 400070, India</t>
  </si>
  <si>
    <t>Cafe Flavours</t>
  </si>
  <si>
    <t>Shop 7, Durga Sadan, Rd Number 12, Chembur West, Tilak Nagar, Kurla, Mumbai, Maharashtra 400089, India</t>
  </si>
  <si>
    <t>Shop 1, godrej jetairways building, G Block BKC, Mumbai, Maharashtra 400051, India</t>
  </si>
  <si>
    <t>The Cold Hearted</t>
  </si>
  <si>
    <t>Khot Chawl, Muktadevi Mandir Marg, Sarveshwar Mandir Rd, nr. Shiv Sena Shakha, Kurla West, Mumbai, Maharashtra 400070, India</t>
  </si>
  <si>
    <t>Chaayos Cafe - Phoenix Marketcity, Kurla</t>
  </si>
  <si>
    <t>Unit F, 43, Lal Bahadur Shastri Marg, Ashok Nagar, Kurla, Mumbai, Maharashtra 400070, India</t>
  </si>
  <si>
    <t>Blah!</t>
  </si>
  <si>
    <t>Ground Floor, G-4, The Capital, G Block, Bandra Kurla Complex, Bandra East, Mumbai, Maharashtra 400051, India</t>
  </si>
  <si>
    <t>Cafe Delhi Heights</t>
  </si>
  <si>
    <t>Unit No. S-21 Second Floor, PHOENIX MARKETCITY, Mall, Lal Bahadur Shastri Marg, Kurla West, Kurla, Mumbai, Maharashtra 400070, India</t>
  </si>
  <si>
    <t>Steamy Mugs</t>
  </si>
  <si>
    <t>Bldg No: 11, Shop No: 1, Pushpanjali CHS, next to Krushna Classes, near Sahyadri Ground, Tilak Nagar, Chembur, Mumbai, Maharashtra 400089, India</t>
  </si>
  <si>
    <t>Blue Tokai Coffee Roasters | Phoenix Marketcity Kurla</t>
  </si>
  <si>
    <t>Unit No UG 99, Upper Ground, PHOENIX MARKETCITY, Lal Bahadur Shastri Marg, Ashok Nagar, Kurla, Mumbai, Maharashtra 400070, India</t>
  </si>
  <si>
    <t>Cafe Sahil</t>
  </si>
  <si>
    <t>63, Lal Bahadur Shastri Marg, Christian Gaon, Kurla West, Mumbai, Maharashtra 400070, India</t>
  </si>
  <si>
    <t>CAFE 9/10 Multicuisine Restaurant</t>
  </si>
  <si>
    <t>Shop No 15 Nr Vidyavihar Station, Vidyavihar West, Mumbai, Maharashtra 400070, India</t>
  </si>
  <si>
    <t>Cafe Milan Bakery</t>
  </si>
  <si>
    <t>SHOP NO 3, Qureshi Nagar, Kurla, Mumbai, Maharashtra 400070, India</t>
  </si>
  <si>
    <t>Phoenix Market City, 15, Lal Bahadur Shastri Marg, Ashok Nagar, Kurla, Mumbai, Maharashtra 400072, India</t>
  </si>
  <si>
    <t>Food Quarter</t>
  </si>
  <si>
    <t>Anjuman Masjid, Santacruz â€“ Chembur Link Rd, near Masrani Estate service road, Kurla West, Mumbai, Maharashtra 400070, India</t>
  </si>
  <si>
    <t>Cafe Madina</t>
  </si>
  <si>
    <t>253, Shop No.2/ Fatima Bai Building, 3, Lal Bahadur Shastri Marg, Kurla West, Mumbai, Maharashtra 400070, India</t>
  </si>
  <si>
    <t>Phoenix Market City, Kamani L.B.S.Marg, West, Ashok Nagar, Kurla, Mumbai, Maharashtra 400070, India</t>
  </si>
  <si>
    <t>abCoffee Art Guild Kurla</t>
  </si>
  <si>
    <t>Experience Center, Phoenix Marketcity, Lal Bahadur Shastri Marg, West, West, Nav Pada, Kurla, Mumbai, Maharashtra 400070, India</t>
  </si>
  <si>
    <t>Unit No F44, PMC Mall, Lal Bahadur Shastri Marg, Kurla West, Kurla, Mumbai, Maharashtra 400070, India</t>
  </si>
  <si>
    <t>The Irish House, Kurla</t>
  </si>
  <si>
    <t>Level 1, PHOENIX MARKETCITY, Mall, Ashok Nagar, Kurla, Mumbai, Maharashtra 400070, India</t>
  </si>
  <si>
    <t>Cafe &amp; Concessionaire</t>
  </si>
  <si>
    <t>Phoenix Market City Mall, Lal Bahadur Shastri Marg, Kurla West, Central, Mumbai, Maharashtra 400070, India</t>
  </si>
  <si>
    <t>La Cane Bistro - BEST CAFE IN KURLA</t>
  </si>
  <si>
    <t>3rd floor, la cane bistro, east point mall, Kurla Kajrolkar CHSL, Nehru Nagar, Kurla, Mumbai, Maharashtra 400024, India</t>
  </si>
  <si>
    <t>Clove Bistro</t>
  </si>
  <si>
    <t>Shop No. 2, Thakur Dham Complex, Lal Bahadur Shastri Marg, opposite Asha Petrol Pump, Kurla West, Kurla, Mumbai, Maharashtra 400070, India</t>
  </si>
  <si>
    <t>Amazonia</t>
  </si>
  <si>
    <t>Unit No. 5, Godrej BKC, G Block BKC, Bandra Kurla Complex, Bandra East, Mumbai, Maharashtra 400051, India</t>
  </si>
  <si>
    <t>Butterfly High</t>
  </si>
  <si>
    <t>Unit no. 4, Ground Floor, Jet Airways Godrej BKC, G Block, next to MCA, Bandra Kurla Complex, Ban, Mumbai, Maharashtra 400051, India</t>
  </si>
  <si>
    <t>Ground Floor, Platina, C-59, G Block, Bandra Kurla Complex, Bandra East, Mumbai, Maharashtra 400098, India</t>
  </si>
  <si>
    <t>Vadapav Cafe (Food Stall)</t>
  </si>
  <si>
    <t>Backside of Mahaveer Petrol pump, Police Station, Ganesh Baug Ln, near Kurla, Kurla West, Kurla, Mumbai, Maharashtra 400070, India</t>
  </si>
  <si>
    <t>Chaayos Cafe at One BKC</t>
  </si>
  <si>
    <t>Unit C, ONE BKC, 66, G Block Rd, G Block BKC, Bandra Kurla Complex, Bandra East, Mumbai, Maharashtra 400051, India</t>
  </si>
  <si>
    <t>Mumbai get way of India</t>
  </si>
  <si>
    <t>3VGH+93R, Lower Parel, Friends Colony, Kurla West, Kurla, Mumbai, Maharashtra 400070, India</t>
  </si>
  <si>
    <t>The Sassy CafÃ©</t>
  </si>
  <si>
    <t>Jio World Drive, Bandra Kurla Complex, Bandra East, Mumbai, Maharashtra 400051, India</t>
  </si>
  <si>
    <t>Persian Darbar</t>
  </si>
  <si>
    <t>Shop no, Kanakia Zillion, 17, Lal Bahadur Shastri Marg, Kurla West, Kurla, Mumbai, Maharashtra 400070, India</t>
  </si>
  <si>
    <t>Cafe Amber</t>
  </si>
  <si>
    <t>A 63 Kismat Nagar, CST Road, Kurla West, Mumbai, Maharashtra 400070, India</t>
  </si>
  <si>
    <t>Theobroma Bakery and Cake Shop - Bandra Kurla Complex, Mumbai</t>
  </si>
  <si>
    <t>Ground Floor, BANK OF INDIA STAR AVAS, The Capital, opp. ICICI Bank, Bandra East, Mumbai, Maharashtra 400051, India</t>
  </si>
  <si>
    <t>SAZ American Brasserie</t>
  </si>
  <si>
    <t>Ground Floor, Jio World Drive, MAKER MAXITY, Bandra Kurla Complex, Bandra East, Mumbai, Maharashtra 400051, India</t>
  </si>
  <si>
    <t>Ossoor coffee</t>
  </si>
  <si>
    <t>Seven olives hotel, Andheri - Kurla Rd, Saki Naka, Mumbai, Maharashtra 400072, India</t>
  </si>
  <si>
    <t>Cafe Maharashtra</t>
  </si>
  <si>
    <t>Building No 15, Lal Bahadur Shastri Marg, Friends Colony, Kurla West, Kurla, Mumbai, Maharashtra 400070, India</t>
  </si>
  <si>
    <t>SHRI KRISHNA CHANA BHANDAR</t>
  </si>
  <si>
    <t>Shop no 3, majeed apartment, near karthika school, Friends Colony, Kurla West, Kurla, Mumbai, Maharashtra 400070, India</t>
  </si>
  <si>
    <t>Hi Cafe</t>
  </si>
  <si>
    <t>3VGG+8MG, Kapadia Nagar, Kurla West, Mumbai, Maharashtra 400070, India</t>
  </si>
  <si>
    <t>Restaurants near me - Iranian Hub</t>
  </si>
  <si>
    <t>opposite Sahara hotel, near fauzia hospital, Friends Colony, Kurla West, Kurla, Mumbai, Maharashtra 400070, India</t>
  </si>
  <si>
    <t>Cafe 7 Tea</t>
  </si>
  <si>
    <t>No 6a, Mumbai - Old Agra Rd, near fauziya hospital, Friends Colony, Kurla West, Kurla, Mumbai, Maharashtra 400070, India</t>
  </si>
  <si>
    <t>Cafe Simply Hungry</t>
  </si>
  <si>
    <t>SARVA MANGAL CHSL, SHOP NO 7, GROUND FLOOR, BUILDING NO 15, Rd Number 12, Tilak Nagar, Kurla, Mumbai, Maharashtra 400089, India</t>
  </si>
  <si>
    <t>CAFE MADINA HOTEL</t>
  </si>
  <si>
    <t>New Mill Rd, Friends Colony, Kurla West, Kurla, Mumbai, Maharashtra 400070, India</t>
  </si>
  <si>
    <t>(Cafe Gulab) Saroj Bar and Restaurant</t>
  </si>
  <si>
    <t>S.G Barve Marg Buddhu Master Chawl, near Nasheman Hotel, Kurla West, Mumbai, Maharashtra 400070, India</t>
  </si>
  <si>
    <t>Vapei &amp; store smart Mumbai</t>
  </si>
  <si>
    <t>Vape shop, Shell Colony Rd, opp. national bakery, Shramjivi Nagar, Sai Baba Nagar, Kurla, Mumbai, Maharashtra 400071, India</t>
  </si>
  <si>
    <t>Jio World Drive, Bandra Kurla Complex, BKC, Mumbai, Maharashtra 400005, India</t>
  </si>
  <si>
    <t>Kayko Terrace Cafe</t>
  </si>
  <si>
    <t>2nd floor, Amul commercial society Ltd E, Rd No. 1, opp. BMC Office, Chembur Gaothan, Chembur, Mumbai, Maharashtra 400071, India</t>
  </si>
  <si>
    <t>Cream Centre</t>
  </si>
  <si>
    <t>Unit F, 42 / F - 43, Lal Bahadur Shastri Marg, Ashok Nagar, Kurla, Mumbai, Maharashtra 400070, India</t>
  </si>
  <si>
    <t>Venus</t>
  </si>
  <si>
    <t>Shop No 17/18, Opposite Dugad Market, Station Road, Kurla West, Mumbai - 400070, India</t>
  </si>
  <si>
    <t>Cafe Naaz Restaurant</t>
  </si>
  <si>
    <t>SG Barve Marg, Jagruti Nagar, Nehru Nagar, Kurla, Mumbai, Maharashtra 400024, India</t>
  </si>
  <si>
    <t>Poetry by Love and Cheesecake, OneBKC</t>
  </si>
  <si>
    <t>Unit 107, ONE BKC, G Block BKC, Bandra Kurla Complex, Bandra East, Mumbai, Maharashtra 400051, India</t>
  </si>
  <si>
    <t>MOJZA Moments With Cakes</t>
  </si>
  <si>
    <t>shop no 8\A, HI-Tech Co-op soc LTD, near lig colony, Vinobha Bhave Nagar, Kurla West, Mumbai, Maharashtra 400070, India</t>
  </si>
  <si>
    <t>Kurla chai shop</t>
  </si>
  <si>
    <t>3V7G+XJQ, Kurla West, Kurla, Mumbai, Maharashtra 400070, India</t>
  </si>
  <si>
    <t>Cst Tea &amp; Coffee</t>
  </si>
  <si>
    <t>No.3, CST Road, Friends Colony, Kurla West, Kurla, Mumbai, Maharashtra 400070, India</t>
  </si>
  <si>
    <t>Cafe Bostan</t>
  </si>
  <si>
    <t>Shop No 142, Taar Gali. 1, Ak Road, West, near Jarimari, Jarimari, Kurla, Mumbai, Maharashtra 400072, India</t>
  </si>
  <si>
    <t>New Star Cafe</t>
  </si>
  <si>
    <t>Shop No. 18, Opposit Best Depot, Chunchunwala Compound, Lal Bahadur Shastri Marg, Shanti Nagar, Kurla West, Kurla, Mumbai, Maharashtra 400070, India</t>
  </si>
  <si>
    <t>Scoop Gelateria - Premium Italian Ice Cream (Gelato)</t>
  </si>
  <si>
    <t>Shop No. 3-B, Thakur Dham Apt, Plot No. 303, Lal Bahadur Shastri Marg, Kurla West, Kurla, W, Mumbai, Maharashtra 400070, India</t>
  </si>
  <si>
    <t>Cafe Gulshan</t>
  </si>
  <si>
    <t>BKC CST Link Rd, Kolivery Village, MMRDA Area, Bandra Kurla Complex, Santacruz East, Mumbai, Maharashtra 400098, India</t>
  </si>
  <si>
    <t>Barbeque Nation Mumbai Kurla</t>
  </si>
  <si>
    <t>Unit S - 49 , 50, Lal Bahadur Shastri Marg, Patelwadi.Kurla, Kurla West, Kurla, Mumbai, Maharashtra 400070, India</t>
  </si>
  <si>
    <t>Ghatkopar</t>
  </si>
  <si>
    <t>KICK CAFE</t>
  </si>
  <si>
    <t>Billi Bungalow, behind Vodafone Gallery, opp. Sindhu wadi, Ghatkopar East, Mumbai, Maharashtra 400077, India</t>
  </si>
  <si>
    <t>Backbenchers Cafeteria</t>
  </si>
  <si>
    <t>Patel Chowk, RB Mehta Marg, near Neelyog Square, Saibaba Nagar, Pant Nagar, Ghatkopar East, Mumbai, Maharashtra 400077, India</t>
  </si>
  <si>
    <t>Pokket cafe Ghatkopar West</t>
  </si>
  <si>
    <t>Shop No 15, SNDT Woman Collage, Camalane, Ghatkopar West, Mumbai, Maharashtra 400086, India</t>
  </si>
  <si>
    <t>Grandmama's Cafe - Ghatkopar</t>
  </si>
  <si>
    <t>R City Mall, Ground Floor, Courtyard, Ghatkopar West, Mumbai, Maharashtra 400086, India</t>
  </si>
  <si>
    <t>The Chocolate Room</t>
  </si>
  <si>
    <t>Shop No. 1, Ground Floor, Vallabh Vihar, Mahatma Gandhi Rd, opp. Kotak Mahindra Bank, Rajawadi Colony, Ghatkopar East, Mumbai, Maharashtra 400077, India</t>
  </si>
  <si>
    <t>Maajaamaa Cafe</t>
  </si>
  <si>
    <t>Shop no.8, Nand Ashish C.H.S. Ltd., Patel Chowk, RB Mehta Marg, Saibaba Nagar, Pant Nagar, Ghatkopar East, Mumbai, Maharashtra 400077, India</t>
  </si>
  <si>
    <t>Tea Trails</t>
  </si>
  <si>
    <t>panchsheel bldg, B-29, Vidyabhavan Rd, opp. Vidya bhavan school, Sudarshan Society, Nath Pai Nagar, Ghatkopar East, Mumbai, Maharashtra 400077, India</t>
  </si>
  <si>
    <t>Bharat Cafe</t>
  </si>
  <si>
    <t>Shraddhanand Rd, opp. Ghatkopar Railway Station, Bhatwadi, Kapol wadi, Ghatkopar West, Mumbai, Maharashtra 400077, India</t>
  </si>
  <si>
    <t>Cafe Unwind by INOX R-City Ghatkopar</t>
  </si>
  <si>
    <t>R City Mall, Lal Bahadur Shastri Marg, Amrut Nagar, Ghatkopar West, Mumbai, Maharashtra 400086, India</t>
  </si>
  <si>
    <t>The Fusion Hack</t>
  </si>
  <si>
    <t>Surya House, ONGC Colony, Vidya Vihar East, Vidyavihar, Mumbai, Maharashtra 400086, India</t>
  </si>
  <si>
    <t>Cafebeats Ghatkopar</t>
  </si>
  <si>
    <t>Shop 2, Madhav Apartment, Jawahar Rd, Ghatkopar, Saibaba Nagar, Pant Nagar, Ghatkopar East, Mumbai, Maharashtra 400077, India</t>
  </si>
  <si>
    <t>R City Mall, G 73A, Lal Bahadur Shastri Marg, Amrut Nagar, Ghatkopar West, Mumbai, Maharashtra 400086, India</t>
  </si>
  <si>
    <t>Love &amp; Latte R-City</t>
  </si>
  <si>
    <t>3rd, Lal Bahadur Shastri Marg, Amrut Nagar, Ghatkopar West, Mumbai, Maharashtra 400086, India</t>
  </si>
  <si>
    <t>Krishna Cafe</t>
  </si>
  <si>
    <t>Shop No 1A Lakshminarayan ln, Mahatma Gandhi Rd, Ghatkopar East, Mumbai, Maharashtra 400077, India</t>
  </si>
  <si>
    <t>TkafÃ©</t>
  </si>
  <si>
    <t>Kailash Plaza, 14(a)(b, Vallabh Baug Ln, MHADA Colony, Pant Nagar, Ghatkopar East, Mumbai, Maharashtra 400077, India</t>
  </si>
  <si>
    <t>Barista - Ghatkopar</t>
  </si>
  <si>
    <t>shop 18,19, 20, Saidham Society, Garodia Nagar, Ghatkopar East, Mumbai, Maharashtra 400077, India</t>
  </si>
  <si>
    <t>CHAIGARAM Pocket Cafe Ghatkopar</t>
  </si>
  <si>
    <t>3 Parmeshwar dham, Rd Number 7, Mumbai, 77, India</t>
  </si>
  <si>
    <t>Odeon Apartments, Ramnarayan Narkar Marg, Janak Kutir, MHADA Colony, Pant Nagar, Ghatkopar East, Mumbai, Maharashtra 400077, India</t>
  </si>
  <si>
    <t>Ghatkopar Social</t>
  </si>
  <si>
    <t>Unit G73, Ground Floor, North Wing, R-City Mall, Lal Bahadur Shastri Marg, Amrut Nagar, Ghatkopar West, Mumbai, Maharashtra 400086, India</t>
  </si>
  <si>
    <t>The Dessert RepublicÂ® - Ghatkopar</t>
  </si>
  <si>
    <t>7, New Happy Home Society Opp Hotel New Achija, Next to Pavillion Hotel, Khau Galli, Corner of, Tilak Rd, Ghatkopar (E, Mumbai, Maharashtra 400077, India</t>
  </si>
  <si>
    <t>Shop No. 7&amp;8, Savani Apartments, Junction, Mahatma Gandhi Rd, Raja Wadi, Maheshwar Nagar, Rajawadi Colony, Ghatkopar East, Mumbai, Maharashtra 400077, India</t>
  </si>
  <si>
    <t>Monopoly Ghatkopar</t>
  </si>
  <si>
    <t>Shop No. 2, Ground Floor, Vallabh Vihar Building, Mahatma Gandhi Rd, opp. Kotak Mahindra Bank, Rajawadi Colony, Ghatkopar East, Mumbai, Maharashtra 400077, India</t>
  </si>
  <si>
    <t>CocoCart &amp; CocoCafe R-City</t>
  </si>
  <si>
    <t>R City Mall, TF 08 &amp; 09, 3rd Floor, Ghatkopar West, Mumbai, Maharashtra 400086, India</t>
  </si>
  <si>
    <t>We Wake Kaffee</t>
  </si>
  <si>
    <t>Vikrant Circle, Tilak Rd, opp. Vasundhara Building, Ghatkopar East, Mumbai, Maharashtra 400077, India</t>
  </si>
  <si>
    <t>Baithack - Taste of Kulhad, Ghatkopar</t>
  </si>
  <si>
    <t>Shop no. 3, Jai-Vijay Co-op Society, opp. Hindi High School, CGS Colony, Ghatkopar West, Mumbai, Maharashtra 400086, India</t>
  </si>
  <si>
    <t>FIRE POT RESTAURANT</t>
  </si>
  <si>
    <t>3VGX+VVJ, near Somaiya University, Vidyanagar, Vidya Vihar East, Ghatkopar East, Mumbai, Maharashtra 400077, India</t>
  </si>
  <si>
    <t>Monica family Restaurant&amp;Bar</t>
  </si>
  <si>
    <t>New, 90 Feet Rd, Park Society, Pant Nagar, Ghatkopar East, Mumbai, Maharashtra 400075, India</t>
  </si>
  <si>
    <t>Ground Floor, Dhoot Business Centre, Dhanlaxmi Building, RB Mehta Marg, near Shri, Neelkanth Chhaya Co-op Housing Society, Sindhu Wadi, Ghatkopar East, Mumbai, Maharashtra 400077, India</t>
  </si>
  <si>
    <t>Pure Milk &amp; Snacks Center</t>
  </si>
  <si>
    <t>Vikrant bldg, vikrant circle, RB Mehta Marg, Ghatkopar East, Mumbai, Maharashtra 400077, India</t>
  </si>
  <si>
    <t>Mota Bhai Cafe</t>
  </si>
  <si>
    <t>Mota Bhai Cafe, Roller Coaster Ice Cream, Vallabh Baugh Lane, Tilak Rd, near Achija Hotel, Ghatkopar (E, Mumbai, Maharashtra 400077, India</t>
  </si>
  <si>
    <t>Mumbai Bites - Ghatkopar</t>
  </si>
  <si>
    <t>Mumbai Bites, 90 Feet Rd, near Patel copy center, opp. Kailash Plaza, NG37, Ghatkopar East, Mumbai, Maharashtra 400075, India</t>
  </si>
  <si>
    <t>Granville Greens (Ghatkopar)</t>
  </si>
  <si>
    <t>1, Ramnarayan Narkar Marg, next to R Odeon Mall, MHADA Colony, Pant Nagar, Ghatkopar East, Mumbai, Maharashtra 400077, India</t>
  </si>
  <si>
    <t>Rameshwaram Cafe</t>
  </si>
  <si>
    <t>3WP6+7H5, Shival Nagar, Saibaba Nagar, Pant Nagar, Ghatkopar East, Mumbai, Maharashtra 400075, India</t>
  </si>
  <si>
    <t>Desire Instant Chai</t>
  </si>
  <si>
    <t>A-7, Gayatri Dham, Derasar Lane, Mahatma Gandhi Rd, opp. ZEST BUSINESS SPACES, Ghatkopar East, Mumbai, Maharashtra 400077, India</t>
  </si>
  <si>
    <t>CAFE VIBEZZ</t>
  </si>
  <si>
    <t>459, Ambedkar Nagar, No 7 1, Sarvoday Buddh Vihar Marg, opp. to Natraj Bar, near Somaiya College, Rajawadi Colony, Ghatkopar East, Mumbai, Maharashtra 400077, India</t>
  </si>
  <si>
    <t>B.E. Bytes</t>
  </si>
  <si>
    <t>Hingwala Ln, Saibaba Nagar, Pant Nagar, Ghatkopar East, Mumbai, Maharashtra 400077, India</t>
  </si>
  <si>
    <t>Mi FAVORITO - LA CASA DE FUSION CENAR...</t>
  </si>
  <si>
    <t>Shop No.5, Parvati Sadan, Tilak Rd, near Balaji Temple, opp. Annapurna Industrial Estate, Raja Wadi, Maheshwar Nagar, Sindhu Wadi, Ghatkopar East, Mumbai, Maharashtra 400077, India</t>
  </si>
  <si>
    <t>Chatoree</t>
  </si>
  <si>
    <t>3rd Floor, R City Mall, Lal Bahadur Shastri Marg, Amrut Nagar, Ghatkopar West, Mumbai, Maharashtra 400086, India</t>
  </si>
  <si>
    <t>R-Steam Hot</t>
  </si>
  <si>
    <t>Shop No 10-a, Kailash Plaza, Vallabh Baug Ln, MHADA Colony, Pant Nagar, Ghatkopar East, Mumbai, Maharashtra 400077, India</t>
  </si>
  <si>
    <t>Lal Bahadur Shastri Marg, Amrut Nagar, Ghatkopar West, Mumbai, Maharashtra 400086, India</t>
  </si>
  <si>
    <t>Bombay Island Coffee Company | Vikhroli</t>
  </si>
  <si>
    <t>GODREJ ONE, Shop #4, Tower C, Retail Street, The Trees, Pirojshanagar, Vikhroli, Mumbai, Maharashtra 400079, India</t>
  </si>
  <si>
    <t>Le Cafe | Best European Cafe in Chembur, Mumbai</t>
  </si>
  <si>
    <t>Jewel of chembur, Rd No. 1, opp. Bmc OFFice, near Natraj Cinema, Chembur Gaothan, Chembur, Mumbai, Maharashtra 400071, India</t>
  </si>
  <si>
    <t>Monopoly ghatkopar</t>
  </si>
  <si>
    <t>Shop 9 Jayant Villa Hingwala Lane, Tilak Road, Sindhu Wadi, Ghatkopar East, Mumbai, Maharashtra 400077, India</t>
  </si>
  <si>
    <t>Parichai, Espress Yourself</t>
  </si>
  <si>
    <t>Building no. 15, Sarva Mangal towers, Shop no, 4, West, opp. Sahyadri Garden, Tilak Nagar, Chembur, Mumbai, Maharashtra 400089, India</t>
  </si>
  <si>
    <t>House of delicious (Vidhyvihar)</t>
  </si>
  <si>
    <t>Shop 3, veer apartment, 7th road, opp. from somiya college gate1, Vidyanagar, Vidya Vihar East, Vidyavihar, Mumbai, Maharashtra 400077, India</t>
  </si>
  <si>
    <t>Vishwa Bharat Fine Dine</t>
  </si>
  <si>
    <t>Shop No 1, Laxmi Shopping Centre, 2 &amp; 3, HD Road, near Railway Station, Bhatwadi, Kapol wadi, Ghatkopar West, Mumbai, Maharashtra 400086, India</t>
  </si>
  <si>
    <t>cafe shalimar family restaurant</t>
  </si>
  <si>
    <t>Cafe Shalimar, Lal Bahadur Shastri Marg, opposite Dargha, near Damodar Park, Nityanand Nagar, Ghatkopar West, Mumbai, Maharashtra 400086, India</t>
  </si>
  <si>
    <t>Pavilion Veg Restaurant</t>
  </si>
  <si>
    <t>Happy Home, Vallabh Baug Ln, Raja Wadi, Sindhu Wadi, Ghatkopar East, Mumbai, Maharashtra 400077, India</t>
  </si>
  <si>
    <t>The Belgian Waffle Co.</t>
  </si>
  <si>
    <t>Shop No.11, Vasant Nivas, Tilak Rd, corner, Sindhu Wadi, Ghatkopar East, Mumbai, Maharashtra 400077, India</t>
  </si>
  <si>
    <t>Shop no.2, Shivkrupa Sadan, Karani Ln, Ghatkopar West, Mumbai, Maharashtra 400077, India</t>
  </si>
  <si>
    <t>BouganVilla</t>
  </si>
  <si>
    <t>Ground Floor, Neelyog Square Mall, opp. Metro &amp; Railway Station, Shival Nagar, Saibaba Nagar, Pant Nagar, Ghatkopar East, Mumbai, Maharashtra 400077, India</t>
  </si>
  <si>
    <t>Pop Tate's R-City Mall</t>
  </si>
  <si>
    <t>R City Mall, Ground Ground Floor, Lal Bahadur Shastri Marg, Amrut Nagar, Ghatkopar West, Mumbai, Maharashtra 400086, India</t>
  </si>
  <si>
    <t>Blossom The Fusion Spot</t>
  </si>
  <si>
    <t>Jhulelal Chowk, Sindhu Wadi, Ghatkopar (E, Mumbai, Maharashtra 400077, India</t>
  </si>
  <si>
    <t>Khau Galli, Ghatkopar</t>
  </si>
  <si>
    <t>No.2, Shop No.5, Vallabh Baug Lane, Jalaram Nagar, opposite Laxmi Narayan Mandir, Sindhu Wadi, Ghatkopar East, Mumbai, Maharashtra 400077, India</t>
  </si>
  <si>
    <t>Madras Talkies Ghatkopar East</t>
  </si>
  <si>
    <t>Shop no 2, Ground Floor, Building no 32, near Brijwasi Sweets, Shival Nagar, Gaurishankar Wadi, Pant Nagar, Ghatkopar East, Mumbai, Maharashtra 400075, India</t>
  </si>
  <si>
    <t>INDIAN TOUCH</t>
  </si>
  <si>
    <t>Patel chowk, opposite to Natural icecream, Ghatkopar East, Mumbai, Maharashtra 400077, India</t>
  </si>
  <si>
    <t>CYCLOSTOP - Cycles on Rent</t>
  </si>
  <si>
    <t>RN, Kailash Tower, Ramnarayan Narkar Marg, opp. Rodeon Mall, MHADA Colony, Pant Nagar, Ghatkopar East, Mumbai, Maharashtra 400075, India</t>
  </si>
  <si>
    <t>Fusion Zaika</t>
  </si>
  <si>
    <t>Bus stop, Eastern Express Hwy, near Nalanda Nagar, Ghatkopar, Nalanda Nagar, Ghatkopar East, Mumbai, Maharashtra 400075, India</t>
  </si>
  <si>
    <t>Pavis Cafe</t>
  </si>
  <si>
    <t>Shop no4 Anthurium building 8 90feet road, t, Pant Nagar, Ghatkopar East, Mumbai, Maharashtra 400075, India</t>
  </si>
  <si>
    <t>Mulund</t>
  </si>
  <si>
    <t>Dâ€™CrÃªpes Cafe</t>
  </si>
  <si>
    <t>Shop Number 14, Runwal Anthurium, Lal Bahadur Shastri Marg, next to FabIndia Shop, Veena Nagar, Mulund West, Mumbai, Maharashtra 400080, India</t>
  </si>
  <si>
    <t>Love &amp; Latte Mulund</t>
  </si>
  <si>
    <t>Shop 36, Avior, Lal Bahadur Shastri Marg, P&amp;T Staff Colony, Mulund West, Mumbai, Maharashtra 400080, India</t>
  </si>
  <si>
    <t>Mastermind Bicycle Cafe &amp; Bar</t>
  </si>
  <si>
    <t>LG-38-39, Nirmal Galaxy, Avior Corporate Park, Lal Bahadur Shastri Marg, opp. Johnson &amp; Johnson, P&amp;T Staff Colony, Mulund West, Mumbai, Maharashtra 400080, India</t>
  </si>
  <si>
    <t>Shop no. 4 and 5, Sai Madhuvan CHS, S.L ROAD, and, RHB Rd, junction, Mulund West, Mumbai, Maharashtra 400080, India</t>
  </si>
  <si>
    <t>TheGreenTable</t>
  </si>
  <si>
    <t>Shop No 26, Marathon Monte Plaza, Madan Mohan Malviya Rd, Asha Nagar, Mulund West, Mumbai, Maharashtra 400080, India</t>
  </si>
  <si>
    <t>Samvene The Bagel Cafe (Mulund)</t>
  </si>
  <si>
    <t>Shop no. 9, Manisha Corporate Park, MG Road, near Mulund Station, Mulund, Mulund West, Mumbai, Maharashtra 400080, India</t>
  </si>
  <si>
    <t>Cafe ETC (Eat Talk Cherish)</t>
  </si>
  <si>
    <t>Purshottam Kheraj Industrial Estate, G4 - Mehhal, Devi Dayal Rd, near Fire Station, Mulund West, Mumbai, Maharashtra 400080, India</t>
  </si>
  <si>
    <t>The Laughter Chapter Cafe</t>
  </si>
  <si>
    <t>College Of Commerce, E-4, Shanti Bhuvan, Sarojini Naidu Road, Opp. Mulund, Mulund West, Mumbai, Maharashtra 400080, India</t>
  </si>
  <si>
    <t>Tea and Conversations</t>
  </si>
  <si>
    <t>G-3, Meghal Industrial Estate, Lala Devidayal Road, near Fire Brigade, Mumbai, Maharashtra 400080, India</t>
  </si>
  <si>
    <t>The Food Studio</t>
  </si>
  <si>
    <t>The Food Studio, Mulund - Goregaon Link Rd, Nahur West, Sarvodaya Nagar, Mulund West, Mumbai, Maharashtra 400080, India</t>
  </si>
  <si>
    <t>Blue Tokai Coffee Roasters - Mulund</t>
  </si>
  <si>
    <t>Shop No 56 &amp; 57 Ground Floor, RUNWAL GREENS, Mulund - Goregaon Link Rd, Nahur West, Industrial Area, Mulund West, Mumbai, Maharashtra 400078, India</t>
  </si>
  <si>
    <t>Bake Live Studio - Mulund</t>
  </si>
  <si>
    <t>shop no. 2 &amp; 3, Moreshwar Towers, MG Road, opp. Saarthi Health Care, Mulund West, Mumbai, Maharashtra 400080, India</t>
  </si>
  <si>
    <t>Shree Balaji's cafe</t>
  </si>
  <si>
    <t>Shop No: 7, vasant gardens, Willows Twin Tower Co-Operative Housing Society, Lal Bahadur Shastri Marg, Veena Nagar, Mulund West, Mumbai, Maharashtra 400080, India</t>
  </si>
  <si>
    <t>Coolhad Katta Cafe &amp; Restaurant | Best tea cafe in Mumbai</t>
  </si>
  <si>
    <t>6A/5B, Golden Willows Society, opp Silver Birch, next to ICICI Bank Swapna Nagari, near Shawarmaji Mulund outlet, Veena Nagar, Mulund West, Mumbai, Maharashtra 400080, India</t>
  </si>
  <si>
    <t>Cafe Cypress</t>
  </si>
  <si>
    <t>Cypress CHS, Shop no 1&amp;2 Municipal Market Building, opposite GOLDEN WILLOWS, CHS, Mulund West, Mumbai, Maharashtra 400080, India</t>
  </si>
  <si>
    <t>Shop 1\2. Ground floor Sainath nagar, VB Phadake Rd, opp. campus veg treat, Navghar, Mulund East, Mumbai, Maharashtra 400081, India</t>
  </si>
  <si>
    <t>Ground Floor, Willow Tower, Willows Twin Tower Co-Operative Housing Society, Veena Nagar, Mulund West, Mumbai, Maharashtra 400082, India</t>
  </si>
  <si>
    <t>CafÃ© Gup-shup</t>
  </si>
  <si>
    <t>Zenith Tower, Purushottam Kheraj Rd, opposite CafÃ© Gup-Shup, Keshav Pada, Mulund West, Mumbai, Maharashtra 400080, India</t>
  </si>
  <si>
    <t>L'amor</t>
  </si>
  <si>
    <t>Cypress CHS, Shop No 19 Silver Birch, Mulund West, Mumbai, Maharashtra 400080, India</t>
  </si>
  <si>
    <t>Cafe Kadak Special</t>
  </si>
  <si>
    <t>Gala No.1, Patil Bhavan, NS Rd, Mulund West, Mumbai, Maharashtra 400080, India</t>
  </si>
  <si>
    <t>Pop Tate's R Mall Mulund</t>
  </si>
  <si>
    <t>3rd Floor, R Mall, Lal Bahadur Shastri Marg, Kamgar Colony, Mulund West, Mumbai, Maharashtra 400080, India</t>
  </si>
  <si>
    <t>TIAMO CAFFE &amp; BAR</t>
  </si>
  <si>
    <t>near Chedda Petrol Pump, near ESIS hospital, Veena Nagar, Mulund West, Mumbai, Maharashtra 400080, India</t>
  </si>
  <si>
    <t>The Playce: Coworking, Events &amp; Cafe</t>
  </si>
  <si>
    <t>Marathon Maxima, Lal Bahadur Shastri Marg, near Sonapur Signal, Moti Nagar, Mulund Colony, Mulund West, Mumbai, Maharashtra 400080, India</t>
  </si>
  <si>
    <t>Achija Mulund</t>
  </si>
  <si>
    <t>Monte Plaza, Madan Mohan Malviya Rd, MTNL Colony, Keshav Pada, Mulund West, Mumbai, Maharashtra 400080, India</t>
  </si>
  <si>
    <t>Shop No. 4, Mam Trilok Building, VB Phadake Rd, Navghar, Mulund East, Mumbai, Maharashtra 400081, India</t>
  </si>
  <si>
    <t>Make My Day</t>
  </si>
  <si>
    <t>R' Galleria, G-39, Runwal Greens, Mulund - Goregaon Link Rd, Mulund (W, Mumbai, Maharashtra 400078, India</t>
  </si>
  <si>
    <t>Cakes N Chemistry - Custom Cakes &amp; Bakery</t>
  </si>
  <si>
    <t>Shop No.7, Vista Amenity, D, P Road, Asha Nagar, Mulund West, Mumbai, Maharashtra 400080, India</t>
  </si>
  <si>
    <t>Dessertwale</t>
  </si>
  <si>
    <t>Shop no 09, Golden Willows Rd, Silver Birch Society, Swapna Nagari, Veena Nagar, Mulund West, Mumbai, Maharashtra 400080, India</t>
  </si>
  <si>
    <t>CAFE MUMBAI-80</t>
  </si>
  <si>
    <t>R Mall, Shop no 8,3 rd, Lal Bahadur Shastri Marg, opp. RICHARDSON CRUDDAS FACTORY, Kamgar Colony, Mulund West, Mumbai, Maharashtra 400080, India</t>
  </si>
  <si>
    <t>Chaayos Cafe at Runwal Greens</t>
  </si>
  <si>
    <t>RUNWAL GREENS, 21, Mulund - Goregaon Link Rd, next to Fortis Hospital, Nahur West, Industrial Area, Mulund West, Mumbai, Maharashtra 400081, India</t>
  </si>
  <si>
    <t>R-Steam Hot (AC)</t>
  </si>
  <si>
    <t>Shop No. 4, Lalan Building, Devi Dayal Rd, near Murar Road, Chandraprabha Chs, Mulund, Mulund West, Mumbai, Maharashtra 400080, India</t>
  </si>
  <si>
    <t>The Food Town</t>
  </si>
  <si>
    <t>2nd Shop, Samriddhi commercial complex, madan mohan malvia road Near telephone exchange, opp. rally wolff, Mulund West, Mumbai, Maharashtra 400080, India</t>
  </si>
  <si>
    <t>Kadam's Cafe</t>
  </si>
  <si>
    <t>Shop number 6 , PMJP COLONY MHADA, near fire brigade, Gavanpada, Mulund East, Mumbai, Maharashtra 400081, India</t>
  </si>
  <si>
    <t>Shop No 37, R Galleria, RUNWAL GREENS, Mulund - Goregaon Link Rd, Nahur West, Industrial Area, W, Mumbai, Maharashtra 400078, India</t>
  </si>
  <si>
    <t>The Belgian Waffle Co</t>
  </si>
  <si>
    <t>Shop Number 5, Rohini Residency, MG Road, Mulund, Mulund West, Mumbai, Maharashtra 400080, India</t>
  </si>
  <si>
    <t>CTS No 762, Ground Floor, Krishnai Apartment, 90 Feet Rd, Sane Guruji Nagar, Mulund East, Mumbai, Maharashtra 400081, India</t>
  </si>
  <si>
    <t>College kattaa cafe - Best cafe in Mulund East</t>
  </si>
  <si>
    <t>Shop no 14, Anutham chs, VB Phadake Rd, opp. MARATHA MANDAL HALL, Ambedkar Nagar, Sane Guruji Nagar, Mulund East, Mumbai, Maharashtra 400081, India</t>
  </si>
  <si>
    <t>Baithack Yogi Hills</t>
  </si>
  <si>
    <t>BAITHACK- TASTE OF KULHAD, SHOP NO. 10 SILVER BIRCH CHS, SWAPNA NAGARI VASANT GARDEN ROAD, 400080, Mulund West, Maharashtra 400080, India</t>
  </si>
  <si>
    <t>Sandeep Restaurant &amp; bar</t>
  </si>
  <si>
    <t>Chandra Darshan Building, Murar Rd, Mulund West, Mumbai, Maharashtra 400080, India</t>
  </si>
  <si>
    <t>Play Cafe</t>
  </si>
  <si>
    <t>The Playce, Marathon Maxima, LBS Road, Mulund West, beside Sonapur, Signal, Mumbai, Maharashtra 400080, India</t>
  </si>
  <si>
    <t>The House of Bakers</t>
  </si>
  <si>
    <t>RUNWAL GREENS, 73 R Galleria, Mulund West, Mumbai, Maharashtra 400080, India</t>
  </si>
  <si>
    <t>Cafe Point veg&amp;nonveg</t>
  </si>
  <si>
    <t>Opp Ganesh Talkies londe mahal, Station Rd, Mulund East, Mumbai, Maharashtra 400081, India</t>
  </si>
  <si>
    <t>Udupi 2 Mumbai</t>
  </si>
  <si>
    <t>Shop no.4,5 &amp; 6, Samriddhi CSL, Madan Mohan Malviya Rd, near MTNL Telephone Exchange, P&amp;T Staff Colony, Mulund West, Mumbai, Maharashtra 400080, India</t>
  </si>
  <si>
    <t>Shop no 2, Akruti Elegance, Akruti Elegance Cooperative Housing Society, VB Phadake Rd, Gavanpada, Mahakali Nagar, Mulund East, Mumbai, Maharashtra 400081, India</t>
  </si>
  <si>
    <t>Delhi Se - Mulund</t>
  </si>
  <si>
    <t>Purushottam Kheraj Rd, Gokulesh Society, St Pius Colony, Mulund West, Mumbai, Maharashtra 400080, India</t>
  </si>
  <si>
    <t>Ground Floor, Runwal Greens Complex, Mulund - Goregaon Link Rd, Nahur West, Industrial Area, Mulund West, Mumbai, Maharashtra 400080, India</t>
  </si>
  <si>
    <t>Pan Di Tikki - PDT</t>
  </si>
  <si>
    <t>Shop No 4,Matruchhaya,Dreamland Bungalows, Jai Shastri Nagar, Mulund Colony, Mulund West, Mumbai, Maharashtra 400082, India</t>
  </si>
  <si>
    <t>HotBox Cafe</t>
  </si>
  <si>
    <t>Shop no. 26, Jakat Naka Shopping Society, opp. to Honda showroom, Sector Number 2, Shree Nagar, Thane West, Thane, Maharashtra 400604, India</t>
  </si>
  <si>
    <t>CYBER CAFE AND GAMING ZONE</t>
  </si>
  <si>
    <t>B.P.S BHAVAN NO. 2, JALARAM ASHISH COMPOUND, Devi Dayal Rd, Mulund West, Mumbai, Maharashtra 400080, India</t>
  </si>
  <si>
    <t>Bustling Brew Bistro Cafe</t>
  </si>
  <si>
    <t>Shop No. 9, Amfotech IT Park, SG Barve Rd, Wagle Industrial Estate, Thane West, Thane, Maharashtra 400604, India</t>
  </si>
  <si>
    <t>Thambbi Veg Restaurant</t>
  </si>
  <si>
    <t>Commercial, Opp, WING-B, Nirmal Lifestyle Mall, Lal Bahadur Shastri Marg, Salpa Devi Pada, Mulund West, Mumbai, Maharashtra 400080, India</t>
  </si>
  <si>
    <t>Sabby's Cafe</t>
  </si>
  <si>
    <t>Shop no 4, Bramhjyoti, Dr Ambedkar Rd, Vidya Vihar, Mulund West, Mumbai, Maharashtra 400080, India</t>
  </si>
  <si>
    <t>HOUSE OF DELICIOUS</t>
  </si>
  <si>
    <t>Shop No 06, Meghdoot Apt, Purushottam Kheraj Rd, opp. Kalidas AuditoriumLll Road, Mulund, Mulund West, Mumbai, Maharashtra 400080, India</t>
  </si>
  <si>
    <t>MG - South Indian Restaurant in Mulund</t>
  </si>
  <si>
    <t>Shop no. 13/14B, Bodke Building, opp. Mulund Railway Station, near by McDonald's, Mulund West, Mumbai, Maharashtra 400080, India</t>
  </si>
  <si>
    <t>Brewomagic Cafe</t>
  </si>
  <si>
    <t>Shop 16B, CHS, Silver Birch, Mulund (W, Nirmal Nagar, Mulund West, Mumbai, Maharashtra 400080, India</t>
  </si>
  <si>
    <t>Delhi Hub</t>
  </si>
  <si>
    <t>Shop No, 151, near, HK Gidwani School, Mulund Colony, Mulund West, Mumbai, Maharashtra 400082, India</t>
  </si>
  <si>
    <t>Supreme the gaming cafe</t>
  </si>
  <si>
    <t>Shop No. 2, Murar Rd, Chandraprabha Chs, Mulund, Mulund West, Mumbai, Maharashtra 400080, India</t>
  </si>
  <si>
    <t>Grass And Gossips</t>
  </si>
  <si>
    <t>Shahid Mangal Pandey Rd, Mulund, Mulund West, Mumbai, Maharashtra 400080, India</t>
  </si>
  <si>
    <t>Tea Villa Cafe</t>
  </si>
  <si>
    <t>Shop No 2&amp;3, Bps Pratistha, CHS LTD, Devi Dayal Rd, Gavane Pada, Mulund, Mulund West, Mumbai, Maharashtra 400080, India</t>
  </si>
  <si>
    <t>Vashi</t>
  </si>
  <si>
    <t>70beans</t>
  </si>
  <si>
    <t>Shop #: 19, Plot #:, Palm Beach Galleria Mall, 17, Phase 2, Sector 19D, Vashi, Navi Mumbai, Maharashtra 400703, India</t>
  </si>
  <si>
    <t>Contigo Cafe</t>
  </si>
  <si>
    <t>190-A, Vashi Kopar Khairane Rd, Juhu Nagar, Jui Nagar, Sector 12, Vashi, Navi Mumbai, Maharashtra 400703, India</t>
  </si>
  <si>
    <t>Cafe creme vashi</t>
  </si>
  <si>
    <t>plot no. 132, Tulip CHS, Shop no. 12, Sector 28, Vashi, Navi Mumbai, Maharashtra 400703, India</t>
  </si>
  <si>
    <t>Seventh Sky By Cafe Palm Atlantis</t>
  </si>
  <si>
    <t>5th Floor, Palm Beach Galleria Mall, Palm Beach Rd, Phase 2, Sector 19D, Vashi, Navi Mumbai, Maharashtra 400703, India</t>
  </si>
  <si>
    <t>91 Palm Beach Cafe</t>
  </si>
  <si>
    <t>Shop 8, 9 &amp; 10, The Affaires Building, Ground Floor, Palm Beach Rd, Sector 17, Sanpada, Navi Mumbai, Maharashtra 400703, India</t>
  </si>
  <si>
    <t>Budget Cafe</t>
  </si>
  <si>
    <t>Plot No.41, Floor, 1st Floor, Plot 41, Palm Beach Rd, above VLCC, near Furniture Mall, Phase 2, Sector 19E, Vashi, Navi Mumbai, Maharashtra 400703, India</t>
  </si>
  <si>
    <t>The Rooftop by Yogi Executive</t>
  </si>
  <si>
    <t>Plot No 31/A, Hotel Yogi Executive, Sector 22, MAFCO Rd, opposite MAFCO Market, Sector 22, Vashi, Navi Mumbai, Maharashtra 400703, India</t>
  </si>
  <si>
    <t>Shri Arya Cafe</t>
  </si>
  <si>
    <t>Shop No.7A, Ground Floor, Big Splash, Plot no.78 &amp; 79, Juhu Nagar, Sector 17, Vashi, Navi Mumbai, Maharashtra 400703, India</t>
  </si>
  <si>
    <t>House Of Lords</t>
  </si>
  <si>
    <t>701, Cyber One, Sector 30A, Vashi, Navi Mumbai, Maharashtra 400703, India</t>
  </si>
  <si>
    <t>Unit No. G49, 49 A, Inorbit Mall, Sector 30A, Vashi, Navi Mumbai, Maharashtra 400705, India</t>
  </si>
  <si>
    <t>Unit No 9, Ground Floor, Shaha Signature, Sun Flower Road, opposite Abhyudaya Bank Marg, Sector 17, Vashi, Navi Mumbai, Maharashtra 410210, India</t>
  </si>
  <si>
    <t>TALES OVER BEANS CAFE</t>
  </si>
  <si>
    <t>Shop no.8/9, Vasundhara Heights, Plot-no-5, Sector 11, Sanpada, Navi Mumbai, Maharashtra 400705, India</t>
  </si>
  <si>
    <t>Cococart &amp; Cafe (Inorbit Mall)</t>
  </si>
  <si>
    <t>Shop no. 28/28A Ground Floor, Inorbit Mall, Sector 30A, Vashi, Navi Mumbai, Maharashtra 400705, India</t>
  </si>
  <si>
    <t>Oriano by darioâ€™s</t>
  </si>
  <si>
    <t>1st floor, Unit - 104, sec-30A, Plot :39/2, Real Tech Park, near, Top 10, Sector 30A, Vashi, Navi Mumbai, Maharashtra 400703, India</t>
  </si>
  <si>
    <t>Ground Floor, Inorbit Mall, opposite Vashi Railway Station, Sector 30A, Vashi, Navi Mumbai, Maharashtra 400705, India</t>
  </si>
  <si>
    <t>Vashi SOCIAL</t>
  </si>
  <si>
    <t>F31 Plot No. 39, Inorbit Mall, 1, Palm Beach Rd, opposite Vashi, Sector 30A, Vashi, Navi Mumbai, Maharashtra 400703, India</t>
  </si>
  <si>
    <t>Bulls and Traders Cafe | BTC Cafe</t>
  </si>
  <si>
    <t>G-197, Ground Floor, Haware Fantasia Business Park, Sector 30A, Vashi, Navi Mumbai, Maharashtra 400703, India</t>
  </si>
  <si>
    <t>Cafe Vihar</t>
  </si>
  <si>
    <t>The Regenza by Tunga, Plot No. 37, Bhagwan Mahaveer Rd, Sector 30A, Vashi, Navi Mumbai, Maharashtra 400703, India</t>
  </si>
  <si>
    <t>Vicky's Cafe</t>
  </si>
  <si>
    <t>Shop no.03/A, shivlrupa mahila sangh, bus Depo, beside Vashi, Juhu Nagar, Sector 9A, Vashi, Navi Mumbai, Maharashtra 400703, India</t>
  </si>
  <si>
    <t>Vashi Navi mumbai</t>
  </si>
  <si>
    <t>3X8X+GCJ, Vashi Railway Station Rd, Sector 30A, Vashi, Navi Mumbai, Maharashtra 400703, India</t>
  </si>
  <si>
    <t>Cult Lounge</t>
  </si>
  <si>
    <t>Satra Plaza, Shop no 111, First Floor, Palm Beach Rd, Sector: 19D, Vashi, Navi Mumbai, Maharashtra 400705, India</t>
  </si>
  <si>
    <t>Pot Pourri Eat &amp; Drinkery</t>
  </si>
  <si>
    <t>Inorbit Mall, Palm Beach Rd, Sector 30A, Vashi, Navi Mumbai, Maharashtra 400703, India</t>
  </si>
  <si>
    <t>IBIZA Restobar &amp; Cafe</t>
  </si>
  <si>
    <t>marine center, Marine Street, Juhu Nagar, Juhu Village, Sector 11, Vashi, Navi Mumbai, Maharashtra 400703, India</t>
  </si>
  <si>
    <t>The Union Bar and Eating House</t>
  </si>
  <si>
    <t>Plot No. 10, Nirman Vyapar Kendra, next to Hotel Navaratna, Sector 17, Vashi, Navi Mumbai, Maharashtra 400703, India</t>
  </si>
  <si>
    <t>Kingsman Experience</t>
  </si>
  <si>
    <t>shop No.05, Satra Plaza, Palm Beach Rd, Sec 19D, Vashi, Navi Mumbai, Maharashtra 400703, India</t>
  </si>
  <si>
    <t>aves art cafÃ©</t>
  </si>
  <si>
    <t>Shop No 1, Plot No 34, Sector 26, Vashi, Maharashtra 400703, India</t>
  </si>
  <si>
    <t>Chaayos Cafe at Inorbit</t>
  </si>
  <si>
    <t>Sector 30A, Vashi, Navi Mumbai, Maharashtra 400703, India</t>
  </si>
  <si>
    <t>Pop Tate's Inorbit Mall Vashi</t>
  </si>
  <si>
    <t>1st floor, Inorbit Mall, Palm Beach Rd, Sector 30A, Vashi, Navi Mumbai, Maharashtra 400703, India</t>
  </si>
  <si>
    <t>Pop Tate's Vashi</t>
  </si>
  <si>
    <t>Shop 120, 1st Floor, Satra Plaza, Sector 19-D, Palm Beach Rd, Juhu Nagar, Phase 2, Sector 19D, Vashi, Navi Mumbai, Maharashtra 400703, India</t>
  </si>
  <si>
    <t>Caspers Bar and Kitchen</t>
  </si>
  <si>
    <t>Shop no. 59, Satra Plaza, Palm Beach Rd, Phase 2, Sector 19D, Vashi, Navi Mumbai, Maharashtra 400703, India</t>
  </si>
  <si>
    <t>Kopar Khairane Rd, near Reliance Digital, Sector 13, Kopar Khairane, Navi Mumbai, Maharashtra 400709, India</t>
  </si>
  <si>
    <t>Kerala House</t>
  </si>
  <si>
    <t>Swami Pranabananda Marg, Sector 30, Vashi, Navi Mumbai, Maharashtra 400703, India</t>
  </si>
  <si>
    <t>abCoffee Akshar Business Park Vashi</t>
  </si>
  <si>
    <t>Ground Floor, T wing, Akshar Business Park, Sector 25, Vashi, Navi Mumbai, Maharashtra 400703, India</t>
  </si>
  <si>
    <t>Tight</t>
  </si>
  <si>
    <t>First Floor, Inorbit Mall, Sector 30A, Vashi, Navi Mumbai, Maharashtra 400703, India</t>
  </si>
  <si>
    <t>Nau Se Barah</t>
  </si>
  <si>
    <t>Inorbit Mall, Railway Station, Palm Beach Rd, Sector 30A, Vashi, Navi Mumbai, Maharashtra 400703, India</t>
  </si>
  <si>
    <t>La Crosta</t>
  </si>
  <si>
    <t>2, Plot no 104, Shagar Vihar, Sai Maya CHS, Shop no, Parmarth Niketan Marg, Sector 29, Vashi, Navi Mumbai, Maharashtra 400703, India</t>
  </si>
  <si>
    <t>Aroma Chai &amp; Snacks Cafe (Sanpada)</t>
  </si>
  <si>
    <t>Shop 002, Abhimanyu-2 CHS, Off, Palm Beach Rd, beside Krishna Restaurant, opp. Suraj Hospital, Sector 1, Sanpada, Navi Mumbai, Maharashtra 400705, India</t>
  </si>
  <si>
    <t>Royal Oak Brewery</t>
  </si>
  <si>
    <t>Shop 23, Satra Plaza, Phase 2, Sector 19D, Vashi, Navi Mumbai, Maharashtra 400703, India</t>
  </si>
  <si>
    <t>Combo Jumbo: Best Veg Restaurants in Vashi Navi Mumbai</t>
  </si>
  <si>
    <t>Plot No: 17, near HDFC Bank, Juhu Nagar, Sector 28, Vashi, Navi Mumbai, Maharashtra 400703, India</t>
  </si>
  <si>
    <t>Funshala cafe</t>
  </si>
  <si>
    <t>near vashi station, Sector 30A, Turbhe, Navi Mumbai, Maharashtra 400703, India</t>
  </si>
  <si>
    <t>Gupta Sandwich</t>
  </si>
  <si>
    <t>No 4 and 2, JK Chambers Building, Vashi-Turbhe Rd, Sector 17, Vashi, Navi Mumbai, Maharashtra 400705, India</t>
  </si>
  <si>
    <t>Chenab</t>
  </si>
  <si>
    <t>near Sagar Vihar, Sector 8, Vashi, Navi Mumbai, Maharashtra 400703, India</t>
  </si>
  <si>
    <t>La Cassa</t>
  </si>
  <si>
    <t>Nivasti Imperium, 3rd Floor, Sector 19, Palm Beach, Sanpada, Navi Mumbai, Maharashtra 400705, India</t>
  </si>
  <si>
    <t>Achija</t>
  </si>
  <si>
    <t>Achija Veg Restaurant, Satra Plaza, near Kohinoor, Phase 2, Sector 19D, Vashi, Navi Mumbai, Maharashtra 400703, India</t>
  </si>
  <si>
    <t>Cafe Te Amo</t>
  </si>
  <si>
    <t>Shop no-16, Giriraj Darshan society, near Megamart, below Ajayan's Hospital, Sector 9, Kopar Khairane, Navi Mumbai, Maharashtra 400709, India</t>
  </si>
  <si>
    <t>Cafe Creme sanpada</t>
  </si>
  <si>
    <t>Shree Durga Apartment CHS, Juinagar Station Rd, Sector 10, Sanpada, Navi Mumbai, Maharashtra 400705, India</t>
  </si>
  <si>
    <t>Big B's Vashi</t>
  </si>
  <si>
    <t>Shop 8C, Vashi Station Food Court, opp. Real Tech Park, Sector 30, Vashi, Navi Mumbai, Maharashtra 400705, India</t>
  </si>
  <si>
    <t>Desire CafÃ© - Instant Chai Maza Aajaye</t>
  </si>
  <si>
    <t>E-71, APMC Masala Market, APMC Market, Sector 19, Vashi, Navi Mumbai, Maharashtra 400703, India</t>
  </si>
  <si>
    <t>The Bombay Kinng Cafe</t>
  </si>
  <si>
    <t>shop no 2 &amp; 3, Navprerna Apartment, A-6/1, Maratha Bhavan Marg, opp. shiv Krupa society, Juhu Nagar, Sector 15, Vashi, Navi Mumbai, Maharashtra 400703, India</t>
  </si>
  <si>
    <t>JIMIS BURGER Â® - Vashi</t>
  </si>
  <si>
    <t>Shop 25, Ground Floor, Satra Plaza, Palm Beach Rd, Phase 2, Sector 19D, Vashi, Navi Mumbai, Maharashtra 400703, India</t>
  </si>
  <si>
    <t>Inorbit Mall, Unit No - S-39, Second Floor, Palm Beach Rd Sector 30A Located, Vashi, Navi Mumbai, Maharashtra 400703, India</t>
  </si>
  <si>
    <t>The Regenza by Tunga</t>
  </si>
  <si>
    <t>1st Floor, PLOT NO.- 88, 37, Sector 30A, Vashi, Navi Mumbai, Maharashtra 400703, India</t>
  </si>
  <si>
    <t>Urban Tadka [Vashi, InOrbit Mall]</t>
  </si>
  <si>
    <t>G-36, Ground floor, Inorbit Mall, Palm Beach Rd, Sector 30A, Vashi, Navi Mumbai, Maharashtra 400705, India</t>
  </si>
  <si>
    <t>Chaai Centre CafÃ© &amp; Co-working</t>
  </si>
  <si>
    <t>Shop No-14, Mayuresh Cosmos, Sector 11, CBD Belapur, Navi Mumbai, Maharashtra 400614, India</t>
  </si>
  <si>
    <t>Cafe N Cream</t>
  </si>
  <si>
    <t>Sector 3, Sanpada, Navi Mumbai, Maharashtra 400705, India</t>
  </si>
  <si>
    <t>Centronic, Plot No. 18, Palm Beach Galleria Mall, Shop No. 26 &amp; 27, Ground Floor, Sector 19D, Vashi, Navi Mumbai, Maharashtra 400703, India</t>
  </si>
  <si>
    <t>Idlamma</t>
  </si>
  <si>
    <t>Shop No. 30, TOWER-II, Gyan Vikas Road, Sector 18, Kopar Khairane, Navi Mumbai, Maharashtra 400709, India</t>
  </si>
  <si>
    <t>Nagori GM Shikara Tea</t>
  </si>
  <si>
    <t>Plot Number 7, 13, Krishi Bhawan, Palm Beach Rd, Sector 19C, APMC Market 1, Vashi, Navi Mumbai, Maharashtra 400703, India</t>
  </si>
  <si>
    <t>CafÃ© Irani</t>
  </si>
  <si>
    <t>3285+H98, Sector 30A, Vashi, Navi Mumbai, Maharashtra 400705, India</t>
  </si>
  <si>
    <t>Soy Street</t>
  </si>
  <si>
    <t>Nerul</t>
  </si>
  <si>
    <t>Legends Cafe</t>
  </si>
  <si>
    <t>Dr D Y Patil Vidyanagar, Sector 5, Nerul, Navi Mumbai, Maharashtra 400706, India</t>
  </si>
  <si>
    <t>The Stone Age Cafe</t>
  </si>
  <si>
    <t>Shop 5, Ashirwad Apts, Nerul East, Sector 3, Nerul, Navi Mumbai, Maharashtra 400706, India</t>
  </si>
  <si>
    <t>Forks and spoons 51</t>
  </si>
  <si>
    <t>Punit Park Cosmopolitan Co-Operative Housing Society, Sector 17, Nerul, Navi Mumbai, Maharashtra 400706, India</t>
  </si>
  <si>
    <t>MAISON DE CAFÃ‰</t>
  </si>
  <si>
    <t>Courtyard by Marriott, Sector 7, Nerul, Navi Mumbai, Maharashtra 400706, India</t>
  </si>
  <si>
    <t>90'S KATTA Cafe</t>
  </si>
  <si>
    <t>shop no 1, Varun CHS, plot no 305, Rock Garden Rd, near Yashwant Ground, Nerul East, Sector 21, Nerul, Navi Mumbai, Maharashtra 400706, India</t>
  </si>
  <si>
    <t>Vintage Coffee Cafe</t>
  </si>
  <si>
    <t>shop no.2/3, Beverly Park, plot no.20, near Palm Beach Road, Sector no.6, Nerul, Navi Mumbai, Maharashtra 400706, India</t>
  </si>
  <si>
    <t>OCD-Obsessive Coffee Disorder</t>
  </si>
  <si>
    <t>Shop No.1, Sahara CHS, Plot 17, Seawoods West, Sector 40, Seawoods, Navi Mumbai, Maharashtra 400706, India</t>
  </si>
  <si>
    <t>CAFE CHAI BAZAAR</t>
  </si>
  <si>
    <t>SHOP NO. 1, PLOT NO.95, SECTOR 18 A, NERUL (W) NAVI MUMBAI, Mumbai, Maharashtra 400706, India</t>
  </si>
  <si>
    <t>Cafe Seawoodss</t>
  </si>
  <si>
    <t>SHOP NO.1A, CHS, Shreeji Plaza, PLOT NO.24, East, Seawoods Bridge, Sector 25, Navi Mumbai, Maharashtra 400706, India</t>
  </si>
  <si>
    <t>EIGHTEEN PLUS CAFE</t>
  </si>
  <si>
    <t>91, Jagatguru Aadi Shankracharya Marg, Nerul East, Sector 19A, Nerul, Navi Mumbai, Maharashtra 400706, India</t>
  </si>
  <si>
    <t>Cafe Creme nerul</t>
  </si>
  <si>
    <t>plot 22, Platinum Venecia, Nerul East, Sector 29, Nerul, Navi Mumbai, Maharashtra 400706, India</t>
  </si>
  <si>
    <t>Earth Soul Cafe</t>
  </si>
  <si>
    <t>Shop No. 13, Progressive's Sea Lounge, Plot No.44, Sector 15, CBD Belapur, Navi Mumbai, Maharashtra 400614, India</t>
  </si>
  <si>
    <t>The Pop's CafÃ© - Chinese Food and CafÃ©</t>
  </si>
  <si>
    <t>Shop no. 26, Plot no. 13, Bhimashankar Shopping Complex, Nerul East, Sector 19A, Nerul, Navi Mumbai, Maharashtra 400706, India</t>
  </si>
  <si>
    <t>CAFE CREEMY</t>
  </si>
  <si>
    <t>Shop No. 02, Seawood Acrcade society, Kamaladevi Birajdar Marg, opp. Saraswati bank, Sector 19A, Nerul, Navi Mumbai, Maharashtra 400706, India</t>
  </si>
  <si>
    <t>Offline cafe</t>
  </si>
  <si>
    <t>Nerul East, Sector 13, Nerul, Navi Mumbai, Maharashtra 400607, India</t>
  </si>
  <si>
    <t>CREAMY COOL Nerul</t>
  </si>
  <si>
    <t>Shop No.3, Plot B-104, Sector 23/B, Darave Rd, Nerul, Navi Mumbai, Maharashtra 400706, India</t>
  </si>
  <si>
    <t>Aroma Chai &amp; Snacks Cafe in Seawoods</t>
  </si>
  <si>
    <t>Seawoods West, Kendriya Vihar, Sector 40, Nerul, Navi Mumbai, Maharashtra 400706, India</t>
  </si>
  <si>
    <t>Seawoods Grand Central, Plot No. R-1 second floor, Sector 40, Seawoods, Navi Mumbai, Maharashtra 400706, India</t>
  </si>
  <si>
    <t>Courtyard Pavilion</t>
  </si>
  <si>
    <t>Aroma Chai &amp; Snacks Cafe (Nerul Shiravane)</t>
  </si>
  <si>
    <t>Morya Ceramics, Shop 2, Plot 582, Laxmi Niwas, Besides, Sector 1, Shiravane, Nerul, Navi Mumbai, Maharashtra 400706, India</t>
  </si>
  <si>
    <t>Bites &amp; Brew The Fusion CafÃ©</t>
  </si>
  <si>
    <t>Shop no.4,5,6, Everest Heights, Parsik Hill, Sector 26, CBD Belapur, Navi Mumbai, Maharashtra 400614, India</t>
  </si>
  <si>
    <t>The Atrangii House Sky Lounge</t>
  </si>
  <si>
    <t>Palm Beach Rd, Sector 17, Sanpada, Navi Mumbai, Maharashtra 400705, India</t>
  </si>
  <si>
    <t>Sailors' Cafe</t>
  </si>
  <si>
    <t>Sailors' Cafe, Shop no.9 CHS Belle Vista, Sector 15, CBD Belapur, Navi Mumbai, Maharashtra 400614, India</t>
  </si>
  <si>
    <t>Blue Tokai Coffee Roasters | Seawoods Nerul</t>
  </si>
  <si>
    <t>Shop No 6, 7, Ground Floor, Plot No 1, 1A, 1B, 1C, SHREEJI HEIGHTS, Sector-46/A, Sector 46A, Nerul, Navi Mumbai, Maharashtra 400706, India</t>
  </si>
  <si>
    <t>Shree Nerul Cafe</t>
  </si>
  <si>
    <t>Shop Number 2-3, Sandeep Apartment, Plot Number A-197, near Balaji Mandir, Sector 20, Nerul, W, Navi Mumbai, Maharashtra 400706, India</t>
  </si>
  <si>
    <t>Big Boy Cake and Bakers/ GOAT Coffee Company</t>
  </si>
  <si>
    <t>Shop number 28, SHREEJI HEIGHTS, Sector-46/A, Nerul west, Seawoods, Navi Mumbai, Maharashtra 400706, India</t>
  </si>
  <si>
    <t>Olde Baileys Cafeâ„¢</t>
  </si>
  <si>
    <t>Shop No 4, Gahlot Majesty, Palm Beach Rd, Sector-46/A, Sector 46 A, Seawoods, Navi Mumbai, Maharashtra 400706, India</t>
  </si>
  <si>
    <t>The Cafe Hangout (Fast Food)</t>
  </si>
  <si>
    <t>B001, Nerul Railway Station Complex Sector 15, Nerul West, Navi Mumbai, Maharashtra 400706, India</t>
  </si>
  <si>
    <t>Treat and bite</t>
  </si>
  <si>
    <t>Amrita sadan chs , plot no : 13-14 , shop no : B, 16, Sector 20, Navi Mumbai, Maharashtra 400706, India</t>
  </si>
  <si>
    <t>Coffee By Di Bella Belapur</t>
  </si>
  <si>
    <t>Shop 1, Sai Radiance, Sector 15, CBD Belapur, Navi Mumbai, Maharashtra 400614, India</t>
  </si>
  <si>
    <t>Brew House Cafe</t>
  </si>
  <si>
    <t>4, Arenja Plaza, Plot No: 52, Sector 15, CBD Belapur, Navi Mumbai, Maharashtra 400614, India</t>
  </si>
  <si>
    <t>Swords cafe</t>
  </si>
  <si>
    <t>Shop no 17/18, Belapur Sun City, Sector 15, CBD Belapur, Navi Mumbai, Maharashtra 400614, India</t>
  </si>
  <si>
    <t>Cafe Crew</t>
  </si>
  <si>
    <t>Shop No- 13, Plot no- 41, Shree Ambika Niwas Landmark- L&amp;T Grand central mall, Seawoods West, Sector 42, Seawoods, Navi Mumbai, Maharashtra 400706, India</t>
  </si>
  <si>
    <t>Ground Floor, Beverly Park CHS, Palm Beach Rd, Sector 6, Nerul, Navi Mumbai, Maharashtra 400706, India</t>
  </si>
  <si>
    <t>Chaayos Cafe at Seawoods Grand Central Mall</t>
  </si>
  <si>
    <t>1, Seawoods Station Rd, Sector 40, Seawoods, Navi Mumbai, Maharashtra 400706, India</t>
  </si>
  <si>
    <t>Mocha Kaffee, Seawoods</t>
  </si>
  <si>
    <t>LG-137, Nexus, Grand Central, Seawoods Station Rd, Nerul East, Sector 28, Seawoods, Navi Mumbai, Maharashtra 400706, India</t>
  </si>
  <si>
    <t>Huddle &amp; Score</t>
  </si>
  <si>
    <t>1, Plot No R1, L&amp;T Seawoods Residences Phase, D8/01, Seawoods East, Nerul East, Sector 25, Nerul, Navi Mumbai, Maharashtra 400706, India</t>
  </si>
  <si>
    <t>CAFE ONE THREE ONE</t>
  </si>
  <si>
    <t>Shop No, Cooperative Housing Society, Amrita Sadan, B-16, Sector 22, Nerul, Navi Mumbai, Maharashtra 400706, India</t>
  </si>
  <si>
    <t>Aroma Chai &amp; Snacks Cafe (Juinagar)</t>
  </si>
  <si>
    <t>Shop No 5, Aroma Chai, Shree Ganesh Apartment, Plot No 265, Sector 23, Juinagar, Navi Mumbai, Maharashtra 400705, India</t>
  </si>
  <si>
    <t>TFB - THE FRY BOX</t>
  </si>
  <si>
    <t>Shop No. 08, Safal Pride, CHS, Nerul East, Sector 25, Nerul, Navi Mumbai, Maharashtra 400706, India</t>
  </si>
  <si>
    <t>Shop No.3, Plot No.5, Mahavir Shopping Centre, Opposite Nerul Best Bus Depot, East, Sector 11, Nerul, Navi Mumbai, Maharashtra 400706, India</t>
  </si>
  <si>
    <t>Shop No 4, V Times Square, Palm Beach Rd, Sector 15, CBD Belapur, Navi Mumbai, Maharashtra 400607, India</t>
  </si>
  <si>
    <t>Shop No.17, Ground Floor, Citi Tower, Plot No-55, opposite Brew House Cafe, Sector 15, CBD Belapur, Navi Mumbai, Maharashtra 400614, India</t>
  </si>
  <si>
    <t>Dish n Dash KafÃ©</t>
  </si>
  <si>
    <t>Shop no G 47 plot no 88, Hawares Centurion Mall, Nerul East, Sector 19A, Seawoods (E, Navi Mumbai, Maharashtra 400706, India</t>
  </si>
  <si>
    <t>Ground Floor, Nexus Seawoods, Railway Station, Sector 28, Seawoods, Navi Mumbai, Maharashtra 400706, India</t>
  </si>
  <si>
    <t>Chaat Cafe</t>
  </si>
  <si>
    <t>22C9+GJ8, Nerul East, Sector 40, Nerul, Navi Mumbai, Maharashtra 400706, India</t>
  </si>
  <si>
    <t>Shop No. 4 &amp; 5, Ground Floor SHREEJI HEIGHTS, Sector-46/A, Nerul, Seawoods, Navi Mumbai, Maharashtra 400706, India</t>
  </si>
  <si>
    <t>Parsik Adda</t>
  </si>
  <si>
    <t>Parsik Hill Rd, Sector 26, CBD Belapur, Navi Mumbai, Maharashtra 400614, India</t>
  </si>
  <si>
    <t>Keventers - Seawoods, Mumbai</t>
  </si>
  <si>
    <t>Seawoods Station Rd, Nerul East, Sector 40, Nerul, Navi Mumbai, Mumbai, Maharashtra 400706, India</t>
  </si>
  <si>
    <t>Panache</t>
  </si>
  <si>
    <t>Shop no 24-26, Belapur Sun City, Sector 15, CBD Belapur, Navi Mumbai, Maharashtra 400614, India</t>
  </si>
  <si>
    <t>SKETCH The Cafe</t>
  </si>
  <si>
    <t>22CH+3PQ, Sector 23, Nerul, Navi Mumbai, Maharashtra 400614, India</t>
  </si>
  <si>
    <t>CAFE ZEST</t>
  </si>
  <si>
    <t>Shop no-2, Sriji Seva, plot no -42, near Nexus Mall, Seawoods West, Sector 42, Seawoods, Navi Mumbai, Maharashtra 400706, India</t>
  </si>
  <si>
    <t>Cafe 131</t>
  </si>
  <si>
    <t>B16, plot no, Amrita Sadan, 13 &amp; 14, near old dwarka hotel, opposite Nerul railway station, Nerul East, Nerul West, Nerul, Navi Mumbai, Maharashtra 400706, India</t>
  </si>
  <si>
    <t>apple zaffran cafe</t>
  </si>
  <si>
    <t>shop at, haware mall, Nerul East, Sector 19A, Nerul, Navi Mumbai, Maharashtra 400706, India</t>
  </si>
  <si>
    <t>PizzaExpress</t>
  </si>
  <si>
    <t>2nd Floor, Nexus Mall, F&amp;B04, Air Space, Seawoods Station Rd, Nerul East, Sector 40, Seawoods, Navi Mumbai, Maharashtra 400706, India</t>
  </si>
  <si>
    <t>Hugs And Mugs</t>
  </si>
  <si>
    <t>Bhoomi Tower, Simran Residency Service Road, Sector 4, Kharghar, Navi Mumbai, Maharashtra 410210, India</t>
  </si>
  <si>
    <t>Panvel</t>
  </si>
  <si>
    <t>Lake Side - Cafe &amp; Eatery</t>
  </si>
  <si>
    <t>Plot 162, Cafe &amp; Eatery, Lake Side, Sector-9, New Panvel East, Panvel, Navi Mumbai, Maharashtra 410206, India</t>
  </si>
  <si>
    <t>Cafe Creme New Panvel</t>
  </si>
  <si>
    <t>Shop No.07, Sai Arcade, Plot no 20, Sector 15, New Panvel East, city, Navi Mumbai, Maharashtra 410206, India</t>
  </si>
  <si>
    <t>The trio delight cafe</t>
  </si>
  <si>
    <t>Shop no -12, Tulsi Heights Building, Chs Ltd, Plot no - 1, Gurudwara Rd, Sector 5, New Panvel East, Maharashtra 410206, India</t>
  </si>
  <si>
    <t>CafeConfused</t>
  </si>
  <si>
    <t>shop no 9, PRECIOUS RESIDENCY, KK cinema road, near Dmart ready, Sector 19, Kamothe, Panvel, Navi Mumbai, Maharashtra 410209, India</t>
  </si>
  <si>
    <t>Cafe Cheezy Bites</t>
  </si>
  <si>
    <t>Shop no.29-30, Neelkanth darshan,Plot No.124/4, near Nadkarani Hospital, Old Panvel, Mumbai, Maharashtra 410206, India</t>
  </si>
  <si>
    <t>Mumbai Culture Cafe</t>
  </si>
  <si>
    <t>Plot No.2, Rd Number 16, near ayushman clinic, Sector 19, New Panvel East, Panvel, Mumbai, Navi Mumbai, Maharashtra 410206, India</t>
  </si>
  <si>
    <t>the wonders cafe</t>
  </si>
  <si>
    <t>Shop No-9, Sec-01, Om, Shri Niketan, Plot No-12a, Sector - 1, Khanda Colony, Panvel, Navi Mumbai, Maharashtra 410206, India</t>
  </si>
  <si>
    <t>The Social - Bistro &amp; Cafe</t>
  </si>
  <si>
    <t>Shop No. 11, Ground Floor, Chs Ltd, Tulsi Heights Building, Plot No 1, Gurudwara Rd, Sector 5, New Panvel East, Panvel, Navi Mumbai, Maharashtra 410206, India</t>
  </si>
  <si>
    <t>Cafe 3D</t>
  </si>
  <si>
    <t>Unnamed Road, Triveni Society, Sector 16, New Panvel East, Panvel, Navi Mumbai, Maharashtra 410206, India</t>
  </si>
  <si>
    <t>CafÃ¨ Recycled</t>
  </si>
  <si>
    <t>SHOP NO. 13, GOBBLE ENTERPRISES, PRAJAPATI ARCADE CHS, PLOT NO. 22-23, Sector 15A, New Panvel East, Panvel, Navi Mumbai, Maharashtra 410206, India</t>
  </si>
  <si>
    <t>Star Cafe</t>
  </si>
  <si>
    <t>Shop No.18, Matruchaya CHS, CKT Collage Road, New Panvel (W, Sector - 13, Khanda Colony, Maharashtra 410206, India</t>
  </si>
  <si>
    <t>Grub Box Cafe &amp; Bistro</t>
  </si>
  <si>
    <t>Shop No -1,2,3, Devrshi Building, Plot No -6, Sector 4, New Panvel East, Panvel, Mumbai, Navi Mumbai, Maharashtra 410206, India</t>
  </si>
  <si>
    <t>Cafe Nine</t>
  </si>
  <si>
    <t>Ckt College Rd, Sector 11, Khanda Colony, Panvel, Navi Mumbai, Maharashtra 410206, India</t>
  </si>
  <si>
    <t>Twins Cafe</t>
  </si>
  <si>
    <t>Phoenix Heights Plot No. 56 Sector-17, Roadpali Rd, Roadpali, Kalamboli, Panvel, Navi Mumbai, Maharashtra 410218, India</t>
  </si>
  <si>
    <t>46 cafe</t>
  </si>
  <si>
    <t>Shop no 3 plot no 6A City Park, near Kokan Deep Hotel, Sector - 13, Khanda Colony, Navi Mumbai, Maharashtra 410206, India</t>
  </si>
  <si>
    <t>NJ Cafe</t>
  </si>
  <si>
    <t>SHOP NO.6 , Shri niketan CHS building, sector-1 , khanda colony, opposite to Mahatma School, New Panvel East, W, Navi Mumbai, Maharashtra 410206, India</t>
  </si>
  <si>
    <t>Brewlogist cafÃ©</t>
  </si>
  <si>
    <t>second floor, food court, bus depot, Orion mall, near Panvel, Panvel, Maharashtra 410206, India</t>
  </si>
  <si>
    <t>Mount View Cafe &amp; Bistro</t>
  </si>
  <si>
    <t>Pale Budruk, 105K, Panvel Vavanja Road, Panvel, Navi Mumbai, Pale Bk., Maharashtra 410208, India</t>
  </si>
  <si>
    <t>Cafe Creme</t>
  </si>
  <si>
    <t>Shop No 8, Shri Niketan, Plot No 2, New, Sector - 1, Khanda Colony, Panvel, Navi Mumbai, Maharashtra 410206, India</t>
  </si>
  <si>
    <t>Cafe Woodstanza</t>
  </si>
  <si>
    <t>Shri Niketan, Tulsi Prerna Rd, Sector - 1, Khanda Colony, Panvel, Navi Mumbai, Maharashtra 410206, India</t>
  </si>
  <si>
    <t>Cafe Chokolade</t>
  </si>
  <si>
    <t>Shop Number 9 Neelkanth Darshan Building, Old Panvel, Panvel, Maharashtra 410206, India</t>
  </si>
  <si>
    <t>Big Daddy Cafe and Lounge</t>
  </si>
  <si>
    <t>Sector-1, New Panvel East, Panvel, Navi Mumbai, Maharashtra 410206, India</t>
  </si>
  <si>
    <t>The Ace Cafe</t>
  </si>
  <si>
    <t>The ACE Cafe, Near Pillai's College, Behind Swad Hotel, near Phoenix Stationery Shop, Triveni Society, Sector 16, New Panvel East, Panvel, Navi Mumbai, Maharashtra 410206, India</t>
  </si>
  <si>
    <t>Addicted cafe</t>
  </si>
  <si>
    <t>Addicted, Sector 11, Khanda Colony, Panvel, Navi Mumbai, Maharashtra 410206, India</t>
  </si>
  <si>
    <t>Breezy</t>
  </si>
  <si>
    <t>Darshan apartment, Oppo burlings, near dhutpapeshwar corner, Old Panvel, Navi Mumbai, Maharashtra 410206, India</t>
  </si>
  <si>
    <t>Engineer Da Cafe</t>
  </si>
  <si>
    <t>Shop No 14, Hari Madhur Milan Building, near Dmart, Sector 5, New Panvel East, Panvel, Navi Mumbai, Maharashtra 410206, India</t>
  </si>
  <si>
    <t>Cj's Cafe</t>
  </si>
  <si>
    <t>Shop-4, Sai Paradise, plot - 100, Sector-1, New Panvel East, Panvel, Navi Mumbai, Maharashtra 410206, India</t>
  </si>
  <si>
    <t>Shop No 12, Kunj Complex, Plot 47, near Budhavihar, Sector 11, Kamothe, Panvel, Navi Mumbai, Maharashtra 410209, India</t>
  </si>
  <si>
    <t>THE BOMBAY FRIES PANVEL</t>
  </si>
  <si>
    <t>opposite SHREE SAMARTH CHS LTD PLOT 16 SECTOR 16, near PILLAI COLLEGE, Sector 16, New Panvel East, Panvel, Navi Mumbai, Maharashtra 410206, India</t>
  </si>
  <si>
    <t>FP No 311, Orion Mall, Mumbai - Pune Expy, near Vijay Sales, Forest Colony, Panvel, Navi Mumbai, Maharashtra 410206, India</t>
  </si>
  <si>
    <t>Bob The Baker's Cafe</t>
  </si>
  <si>
    <t>Shop No 24 , plot no :29, Silver Crest, Sector-25, Kamothe, Panvel, Navi Mumbai, Maharashtra 410209, India</t>
  </si>
  <si>
    <t>Cake and cafe</t>
  </si>
  <si>
    <t>PLOT-29, SILVERCREST CHS LTD, Shop-27, STATION, opposite KHANDESHWER, Sector-25, Kamothe, Maharashtra 410209, India</t>
  </si>
  <si>
    <t>Shop No- 01, Govind Garden, plot- 70, 410206, Old Panvel, Maharashtra 410206, India</t>
  </si>
  <si>
    <t>Snowbite cafe</t>
  </si>
  <si>
    <t>Shri Gayatri CHS, Sector 11, Khanda Colony, Panvel, Navi Mumbai, Maharashtra 410206, India</t>
  </si>
  <si>
    <t>Offline Cafe</t>
  </si>
  <si>
    <t>Pratik Harmony CHS Shop no. 6, Plot no 35 Sec 20, Roadpali, Kalamboli, Maharashtra 410218, India</t>
  </si>
  <si>
    <t>Spice Wadi</t>
  </si>
  <si>
    <t>Bhagat Wadi, near Rajiv Gandhi Maidan, Sector 11, New Panvel East, Maharashtra 410206, India</t>
  </si>
  <si>
    <t>Kanjee Cafe</t>
  </si>
  <si>
    <t>Shop no 01, Mahesh Heights, Plot no 97, Sect R3, Karanjade, Panvel, Navi Mumbai, Maharashtra 410206, India</t>
  </si>
  <si>
    <t>cafe Nine</t>
  </si>
  <si>
    <t>Shop Number 7, Shubh Neel Shivam, Plot No.40, Sector 11, Kamothe, Panvel, Navi Mumbai, Maharashtra 410209, India</t>
  </si>
  <si>
    <t>Tealogy</t>
  </si>
  <si>
    <t>Shop No 36 , Plot No 198/A/205/14 SHREE, Raje Complex, MTNL Rd, opposite Chhatrapati Shivaji Maharaj Chowk, Old Panvel, Panvel, Navi Mumbai, Maharashtra 410206, India</t>
  </si>
  <si>
    <t>CHOCOLATE CLOUD CAFE</t>
  </si>
  <si>
    <t>Sector 2, AUTO STAND, Shop No 7, SADGURU APARTMENT, Karanjade, Raigad, Maharashtra 410206, India</t>
  </si>
  <si>
    <t>The Poolside Restro</t>
  </si>
  <si>
    <t>105K, Panvel Vavanja Road, Village Pale Budruk, Panvel, Navi Mumbai, Pale Bk., Maharashtra 410208, India</t>
  </si>
  <si>
    <t>Friends cafe</t>
  </si>
  <si>
    <t>Roadpali Main Rd, Sector 20, Kalamboli, Panvel, Navi Mumbai, Maharashtra 410218, India</t>
  </si>
  <si>
    <t>CITY CAFE</t>
  </si>
  <si>
    <t>Shop No 6, MANGALMURTI APARTMENT, PARDESHI ALI, SAVARKAR CHOWK, near SAVARKAR, Manek Nagar, HOC Colony, Panvel, Chouk, Navi Mumbai, Maharashtra 410206, India</t>
  </si>
  <si>
    <t>My Baagaan</t>
  </si>
  <si>
    <t>7, Panvel Matheran Rd, Sukapur, Panvel, Navi Mumbai, Shilottar Raichur, Maharashtra 410206, India</t>
  </si>
  <si>
    <t>CAFE GARAGE</t>
  </si>
  <si>
    <t>shop no 1, SAI SITARA BUILDING, near Mumbai - Pune Expressway, Sector 6, New Panvel East, Maharashtra 410206, India</t>
  </si>
  <si>
    <t>TAC-TiX</t>
  </si>
  <si>
    <t>Shop No.5 Sector No.16, Gini Park, Chs, Sector 16, New Panvel East, Panvel, Navi Mumbai, Maharashtra 410206, India</t>
  </si>
  <si>
    <t>Barbeque Nation - Mumbai - Panvel</t>
  </si>
  <si>
    <t>3rd Floor, Orion Mall, Bus Depot, FP No 311, Mumbai - Pune Expy, Forest Colony, Panvel, Mumbai, Navi Mumbai, Maharashtra 410206, India</t>
  </si>
  <si>
    <t>Cafe Creme Karanjade</t>
  </si>
  <si>
    <t>Vinayak Darpan, Jai Plaza, Shop Number 3 Vinayak darpan Building Plot Number 27 Sector 2 A, Karanjade, Panvel, Maharashtra 410206, India</t>
  </si>
  <si>
    <t>Cafe Bubble Gum</t>
  </si>
  <si>
    <t>Sho No 3 Sairaj Building Plot Number 51, Sector 3, Karanjade, Panvel, Maharashtra 410206, India</t>
  </si>
  <si>
    <t>Red Box Cafe</t>
  </si>
  <si>
    <t>Shop no. 8 &amp; 9, Osho Kabir CHS, New, Sector 10, Khanda Colony, Panvel, W, Navi Mumbai, Maharashtra 410206, India</t>
  </si>
  <si>
    <t>BUDDHA CAFE</t>
  </si>
  <si>
    <t>Shop no. 11, Gini Park, Plot no.26, near Pillai's College Girl's hostel, Sector 16, New Panvel East, Panvel, Navi Mumbai, Maharashtra 410206, India</t>
  </si>
  <si>
    <t>Dynabite Cafe</t>
  </si>
  <si>
    <t>Shop No. 4, Neel Orchid, Khanda Colony, Old Panvel, Shop Number 2, Neel Orchid Building, Plot Number 41, Sector 10, Panvel, Navi, Mumbai, Maharashtra 410206, India</t>
  </si>
  <si>
    <t>Sagar Kitchen, Banquet and Bar</t>
  </si>
  <si>
    <t>Plot No, Jetking, 143, Vasudev Balwant Phadke Rd, MCCH Society, Panvel, Navi Mumbai, Maharashtra 410206, India</t>
  </si>
  <si>
    <t>DP's Cafe</t>
  </si>
  <si>
    <t>Shop no.2 Nandgaon, near Sunshine Valley School, Panvel, Maharashtra 410221, India</t>
  </si>
  <si>
    <t>Hungry Buds, Cafe n Chinese Cuisine</t>
  </si>
  <si>
    <t>Shop No 2,3,4, SAMARTH APARTMENT, near MARUTI HANUMAN MANDIR, Line Ali, Old Panvel, Panvel, Navi Mumbai, Maharashtra 410206, India</t>
  </si>
  <si>
    <t>Dream Cafe</t>
  </si>
  <si>
    <t>Dombala, Panvel, Navi Mumbai, Maharashtra 410206, India</t>
  </si>
  <si>
    <t>Panvel Upahar Gruha</t>
  </si>
  <si>
    <t>827, Mahatma Gandhi Rd, Tapal Naka, Old Panvel, Panvel, Navi Mumbai, Maharashtra 410206, India</t>
  </si>
  <si>
    <t>Malvan Tadka</t>
  </si>
  <si>
    <t>Final Plot, Sai Arcade, 184, Shivaji Rd, opposite S.T.Stand, Old Panvel, Panvel, Navi Mumbai, Maharashtra 410206, India</t>
  </si>
  <si>
    <t>Kharghar</t>
  </si>
  <si>
    <t>The Courtyard Cafe</t>
  </si>
  <si>
    <t>Shop. No. 1, Shah Prima, Sector 2, Kharghar, Navi Mumbai, Maharashtra 410210, India</t>
  </si>
  <si>
    <t>Cafe Monza</t>
  </si>
  <si>
    <t>Bhoomi Heights, WING-A, Kharghar Station Rd, Wing F, Sector 8, Kharghar, Navi Mumbai, Maharashtra 410210, India</t>
  </si>
  <si>
    <t>Biker's Brewing CafÃ©</t>
  </si>
  <si>
    <t>Glomax Mall, BBC, Cafeteria No.5, Sai Health Centre, Plot No.15, road, near petrol pump, Sector 2, Kharghar, Navi Mumbai, Maharashtra 410210, India</t>
  </si>
  <si>
    <t>Brewers Bay</t>
  </si>
  <si>
    <t>20, Kharghar Station Rd, Sector 2, Kharghar, Navi Mumbai, Maharashtra 410210, India</t>
  </si>
  <si>
    <t>YVR CafÃ©</t>
  </si>
  <si>
    <t>Shop No: 1&amp;2, Delta Central, Central Park Service Rd, Sector 23, Kharghar, Navi Mumbai, Maharashtra 410210, India</t>
  </si>
  <si>
    <t>The Coffee Bistro</t>
  </si>
  <si>
    <t>Shop no. 6 &amp; 7, Greenwood's Apt, Plot no 9-13,13A &amp; 13B, Sector 34 E, Sector 35E, Kharghar, Navi Mumbai, Maharashtra 410210, India</t>
  </si>
  <si>
    <t>Vivace Cafe</t>
  </si>
  <si>
    <t>Shop no. 10, Plot Number 9, Sai Saakshaat, CHS, Sector 6, Kharghar, Navi Mumbai, Maharashtra 410210, India</t>
  </si>
  <si>
    <t>La Farine Patisserie and Cafe</t>
  </si>
  <si>
    <t>Shop No.6, Sadguru Tower, Central Park Metro Rd, Sector-19, Kharghar, Navi Mumbai, Maharashtra 410210, India</t>
  </si>
  <si>
    <t>Cafe Creme Kharghar</t>
  </si>
  <si>
    <t>Shilp Chowk, Sector 21, Kharghar, Navi Mumbai, Maharashtra 410210, India</t>
  </si>
  <si>
    <t>Mocha Kaffee</t>
  </si>
  <si>
    <t>Shop no 39, Hiranandani Crystal Plaza, Sector 7, Kharghar, Navi Mumbai, Maharashtra 410210, India</t>
  </si>
  <si>
    <t>Blumingo Art Cafe Kharghar</t>
  </si>
  <si>
    <t>Shop No 9, Bhoomi Heights, Plot 5 &amp; 6, Wing F, Sector 8, Kharghar, Navi Mumbai, Maharashtra 410210, India</t>
  </si>
  <si>
    <t>Chaayos Cafe at Kharghar</t>
  </si>
  <si>
    <t>Unit No 16 &amp; 17,Little world Mall, Sector 2, Kharghar, Mumbai, Maharashtra 410210, India</t>
  </si>
  <si>
    <t>OdÃ³s Kaffeina</t>
  </si>
  <si>
    <t>Shop No. 32, GROWMORE TOWER, Sector 2, Kharghar, Navi Mumbai, Maharashtra 410210, India</t>
  </si>
  <si>
    <t>Roadies Koffeehouz</t>
  </si>
  <si>
    <t>Shop No 9 and 10, Bhagwati Greens, 1, Central Park Rd, Sector 23, Kharghar, Navi Mumbai, Maharashtra 410210, India</t>
  </si>
  <si>
    <t>Cafe Connect Kharghar</t>
  </si>
  <si>
    <t>Shop 23&amp;24, Grow more Tower, Plot no: 5, Sector: 2, Kharghar, Navi Mumbai, Maharashtra 410210, India</t>
  </si>
  <si>
    <t>Vibes Cafe Kharghar</t>
  </si>
  <si>
    <t>GOODWILL GARDEN, Shop no 8A/9A, Plot 15/16, Sector 8, Kharghar, Navi Mumbai, Maharashtra 410210, India</t>
  </si>
  <si>
    <t>Grand century restaurant and cafe</t>
  </si>
  <si>
    <t>FIRST FLOOR, VISHWAKARMA TOWER, PLOT 4, near GOLF COURSE AND ISKON TEMPLE, Sector 21, Kharghar, Navi Mumbai, Maharashtra 410210, India</t>
  </si>
  <si>
    <t>Barista - Kharghar</t>
  </si>
  <si>
    <t>SHAH HEIGHTS BLOCK-B, Shah Heights, Shop 14/15, Sector 7, Kharghar, Navi Mumbai, Maharashtra 410210, India</t>
  </si>
  <si>
    <t>Swords Cafe Kharghar</t>
  </si>
  <si>
    <t>Shop no 7/8 3, Bhagwati Greens, Plot no-7, Central Park Service Rd, near Iskcon temple, Sector 23, Kharghar, Navi Mumbai, Maharashtra 410210, India</t>
  </si>
  <si>
    <t>Cafe Foodies Club</t>
  </si>
  <si>
    <t>Shop no. 6, Shah Prima, Plot No. 13, Sector 2, Kharghar, Navi Mumbai, Maharashtra 410210, India</t>
  </si>
  <si>
    <t>The SMOQUE Cafe'</t>
  </si>
  <si>
    <t>3 plot no E, bus stops, Shiv Krupa sector 3 Belpada kharghar opps railway station Shiv krupa chs sector, 68, Belpada Rd, next to nift institute, opposite realway station, Sector 3, Belpada, Kharghar, Navi Mumbai, Maharashtra 410210, India</t>
  </si>
  <si>
    <t>CafÃ© CrÃ¨me</t>
  </si>
  <si>
    <t>Shop No:27, ITM College Rd, Sector 4, Kharghar, Navi Mumbai, Maharashtra 410210, India</t>
  </si>
  <si>
    <t>No. 7 &amp; 8, Prajapati Gaurav, Station Rd, Sector 2, Kharghar, Navi Mumbai, Maharashtra 410210, India</t>
  </si>
  <si>
    <t>MUMBAI BISTRO - THE CAFE (KHARGHAR)</t>
  </si>
  <si>
    <t>Shop no.25, Hiranandani Crystal Plaza, Sector 7, Kharghar, Navi Mumbai, Maharashtra 410210, India</t>
  </si>
  <si>
    <t>Olde Baileys Cafe</t>
  </si>
  <si>
    <t>Shop no. 1, Sai Saakshaat, Sector no. 6, Kharghar, Navi Mumbai, Maharashtra 410210, India</t>
  </si>
  <si>
    <t>METRO MOCHA CAFE â˜•ï¸</t>
  </si>
  <si>
    <t>Proviso Apartment, Sector 34 E, Sector 35E, Kharghar, Navi Mumbai, Maharashtra 410210, India</t>
  </si>
  <si>
    <t>Deep's cafe</t>
  </si>
  <si>
    <t>Shop No -04, Plot No 6, MONARCH LUXURIA, Vastu Vihar Rd, Sector 18, Kharghar, Navi Mumbai, Maharashtra 410210, India</t>
  </si>
  <si>
    <t>Shop No. 5, Shah Prima, Sector 2, Kharghar, Navi Mumbai, Maharashtra 410210, India</t>
  </si>
  <si>
    <t>Utsav Momo Cafe</t>
  </si>
  <si>
    <t>Fountain Square Mall, Shop No.8,, Plot No.5, Utsaw Chowk Perimeter Rd, Sector 7, Kharghar, Navi Mumbai, Maharashtra 410210, India</t>
  </si>
  <si>
    <t>3Wicket Cafe</t>
  </si>
  <si>
    <t>Shop no. 8, SEAWOOD HERITAGE, opp. Yerla Medical College, Sector 4, Kharghar, Navi Mumbai, Maharashtra 410210, India</t>
  </si>
  <si>
    <t>Shop-4, Rishab Complex, plot-5A, Belpada Rd, beside Bal Bharti Public school, Sector 4, Kharghar, Navi Mumbai, Maharashtra 410210, India</t>
  </si>
  <si>
    <t>Chai matki cafe</t>
  </si>
  <si>
    <t>SHOP NO-13, CHS LTD, Elite Enclave, PLOT NO-260, Anushaktinagar, Sector 10, Kharghar, Mumbai, Navi Mumbai, Maharashtra 410210, India</t>
  </si>
  <si>
    <t>Tata Starbucks</t>
  </si>
  <si>
    <t>BLOCK-4, Shree Krishna Paradise, Sector 12, Kharghar, Navi Mumbai, Maharashtra 410210, India</t>
  </si>
  <si>
    <t>Bubble Trouble by Cakes &amp; Candies (Bubble Tea, Boba Tea) / Kharghar</t>
  </si>
  <si>
    <t>Shop No. 4, Dream Tower, Plot No. E 93, Sector 3, Belpada, Kharghar, Navi Mumbai, Maharashtra 410210, India</t>
  </si>
  <si>
    <t>Momo magic cafe</t>
  </si>
  <si>
    <t>Balaji Angan, Sector 4, Kharghar, Navi Mumbai, Maharashtra 410210, India</t>
  </si>
  <si>
    <t>Plot no 5 &amp; 6, Bhoomi Heights, Shop No-8, Sector 8, Kharghar, Mumbai, Maharashtra 410210, India</t>
  </si>
  <si>
    <t>Sandwich Junction Kharghar - The best Sandwich shop in Navi Mumbai</t>
  </si>
  <si>
    <t>Metro Pillar Number 164, Shop No.12, Plot 48, Amrut Dhara Complex Infront of, Sector 20, Kharghar, Navi Mumbai, Maharashtra 410210, India</t>
  </si>
  <si>
    <t>Retro Cafe</t>
  </si>
  <si>
    <t>Sector 11, CBD Belapur, Navi Mumbai, Maharashtra 400614, India</t>
  </si>
  <si>
    <t>M.I.B - Modern Indian Bistro</t>
  </si>
  <si>
    <t>Shop no 06, Shankeshwar heights, Block G, Sector 11, Kharghar, Navi Mumbai, Maharashtra 410210, India</t>
  </si>
  <si>
    <t>The Flame Cafe</t>
  </si>
  <si>
    <t>Shop no 14, HARDROCK BUILDING, Plot no. 6 to 10, Sector 7, Kharghar, Navi Mumbai, Maharashtra 410210, India</t>
  </si>
  <si>
    <t>Saias The Food Library</t>
  </si>
  <si>
    <t>BHOOMI TOWER SHOP NO-28 , PLOT-28, Sector 4, Kharghar, Navi Mumbai, Maharashtra 410210, India</t>
  </si>
  <si>
    <t>LOKAL CAFE &amp; BISTRO</t>
  </si>
  <si>
    <t>Shop No: 2,3 &amp; 4, Seawood Avenue, Sector 3, Belpada, Kharghar, Navi Mumbai, Maharashtra 410210, India</t>
  </si>
  <si>
    <t>MiNi Treats</t>
  </si>
  <si>
    <t>Plot No-04, Shop No-06, Krishna Tower, Sector 35E, Kharghar, Navi Mumbai, Maharashtra 410210, India</t>
  </si>
  <si>
    <t>Grace Restaurant Kharghar</t>
  </si>
  <si>
    <t>Shop No 15, Goodwill Paradise, Plot 24, near Dmart, Gharkul, Sector 15, Kharghar, Navi Mumbai, Maharashtra 410210, India</t>
  </si>
  <si>
    <t>TM Kitchen Kharghar</t>
  </si>
  <si>
    <t>Shop no 36/37, Green heritage chs, plot no 78, Jalvayu Rd, Sector 20, Kharghar, Navi Mumbai, Maharashtra 410210, India</t>
  </si>
  <si>
    <t>Pranaam Fine Dine &amp; Banquets</t>
  </si>
  <si>
    <t>Shop 23-24, plot no-B/2B,A, 24/c, Utsav Chowk - CISF Rd, Sector 12, Kharghar, Navi Mumbai, Maharashtra 410210, India</t>
  </si>
  <si>
    <t>Heaven &amp; Herbs</t>
  </si>
  <si>
    <t>Shop No. 9, ADHIRAJ COMPLEX, Plot No. 8, Wing F, Sector 8, Kharghar, Navi Mumbai, Maharashtra 410210, India</t>
  </si>
  <si>
    <t>Grabrews Cold Coffee &amp; Shakes</t>
  </si>
  <si>
    <t>Sector 33, Kharghar, Navi Mumbai, Maharashtra 410210, India</t>
  </si>
  <si>
    <t>Dharavi</t>
  </si>
  <si>
    <t>Cafe Istaa</t>
  </si>
  <si>
    <t>New CHS Ltd, 12A/1, RL Kelkar Rd, Sion West, Sion, Mumbai, Maharashtra 400022, India</t>
  </si>
  <si>
    <t>Raj Parota Stall</t>
  </si>
  <si>
    <t>Block No 12, East, 90 Feet Rd, Transit Camp, Rajiv Gandhi Nagar, Dharavi, Mumbai, Maharashtra 400017, India</t>
  </si>
  <si>
    <t>Citizen restaurant</t>
  </si>
  <si>
    <t>90 Feet Rd, Muslim Nagar, Kumbhar Wada, Dharavi, Mumbai, Maharashtra 400017, India</t>
  </si>
  <si>
    <t>THE FOOD STUDIO Kitchen And BAR</t>
  </si>
  <si>
    <t>2VR2+CWP, 60 Feet Rd, RP Nagar, Dharavi, Mumbai, Maharashtra 400017, India</t>
  </si>
  <si>
    <t>Cafe Arfa Hotel</t>
  </si>
  <si>
    <t>2RVX+C7R, Dharavi Main Rd, Shammi Nagar, Dharavi, Mumbai, Maharashtra 400017, India</t>
  </si>
  <si>
    <t>Hotel Cafe Rahi</t>
  </si>
  <si>
    <t>2VV5+H34, 90 Feet Rd, Sion Dharavi, Dharavi, Mumbai, Maharashtra 400017, India</t>
  </si>
  <si>
    <t>SANSAR HOTEL</t>
  </si>
  <si>
    <t>90 Feet Rd, Sai Baba Nagar, Dharavi, Mumbai, Maharashtra 400017, India</t>
  </si>
  <si>
    <t>New Hotel Selvi</t>
  </si>
  <si>
    <t>Shop B- 200, 90 Feet Rd, near Kamraj School, P.K. Kunte Nagar, Dharavi, Mumbai, Maharashtra 400017, India</t>
  </si>
  <si>
    <t>Tasty Parota Corner</t>
  </si>
  <si>
    <t>07, Block, 11, 90 Feet Rd, Block Number 11, Transit Camp, Rajiv Gandhi Nagar, Dharavi, Mumbai, Maharashtra 400017, India</t>
  </si>
  <si>
    <t>Cafe Milan Restaurant</t>
  </si>
  <si>
    <t>MS/RB-T46, Lal Bahadur Shastri Marg, Mahanagar Palika Vasahat, Dharavi, Mumbai, Maharashtra 400017, India</t>
  </si>
  <si>
    <t>Jhakas Family Restaurant</t>
  </si>
  <si>
    <t>Sion-Bandra Link Rd, Tjunction, Dharavi, Mumbai, Maharashtra 400017, India</t>
  </si>
  <si>
    <t>Cafe Rahat</t>
  </si>
  <si>
    <t>G-34, Sulochana Shetty Marg, Muslim Nagar, Matunga Labour Camp, Dharavi, Mumbai, Maharashtra 400019, India</t>
  </si>
  <si>
    <t>Sunder Vilas</t>
  </si>
  <si>
    <t>90 Feet Rd, Muslim Nagar, RP Nagar, Dharavi, Mumbai, Maharashtra 400017, India</t>
  </si>
  <si>
    <t>Saheel Restaurant</t>
  </si>
  <si>
    <t>Shop No 5.6 Gupta Chawl, Kalakilla, Dharavi, Mumbai, Maharashtra 400017, India</t>
  </si>
  <si>
    <t>Rehmat Restaurant &amp; Caterers</t>
  </si>
  <si>
    <t>47, Anarya CHS, Jasmine Mill Road,Matunga Labour, Camp, Matunga, opp. Geetanjali Building, Mumbai, Maharashtra 400019, India</t>
  </si>
  <si>
    <t>ARIK RESTAURANT</t>
  </si>
  <si>
    <t>Chamda Bazar, Dharavi Main Rd, Habib Nagar, Sheshwadi, Dharavi, Mumbai, Maharashtra 400017, India</t>
  </si>
  <si>
    <t>Dharavi Restaurant</t>
  </si>
  <si>
    <t>Mahim east sallu seth compund, near sunni jama masjid, Mumbai, Maharashtra 400017, India</t>
  </si>
  <si>
    <t>Cafe Milan Hotel</t>
  </si>
  <si>
    <t>IGC Chawl, Dharavi Main Rd, Mahim(E, Dharavi, Mumbai, Maharashtra 400017, India</t>
  </si>
  <si>
    <t>Modern Lunch Home</t>
  </si>
  <si>
    <t>5 Harak Niwas, Opposite Bank Of Baroda, Near Railway Station, Station Rd, Sion West, Sion, Mumbai, Maharashtra 400022, India</t>
  </si>
  <si>
    <t>Malhari Chai(Azhari Cafe)</t>
  </si>
  <si>
    <t>Shop No 13A, Lavji Bhimji Chawl, Kader Maidan, Bhatiya Nagar, Dharavi, Mumbai, Maharashtra 400017, India</t>
  </si>
  <si>
    <t>New Welcome Tea</t>
  </si>
  <si>
    <t>2VW5+6Q6, 90 Feet Rd, Dharavi Slums, Laxmi Baug, Dharavi, Mumbai, Maharashtra 400017, India</t>
  </si>
  <si>
    <t>New Cafe Bharath</t>
  </si>
  <si>
    <t>2VQ2+R4R Post Office, Jasmine Mill Rd, opposite Shau Nagar, Mahim East, Shammi Nagar, Dharavi, Mumbai, Maharashtra 400019, India</t>
  </si>
  <si>
    <t>Jennifer Cyber Cafe</t>
  </si>
  <si>
    <t>D-3, Takandas Kataria Marg, Matunga Labour Camp, Dharavi, Mumbai, Maharashtra 400019, India</t>
  </si>
  <si>
    <t>Sai Dream Cyber Cafe</t>
  </si>
  <si>
    <t>Shop no.1, Row -K, Block -10, Off Dharavi police Station, 90 feet Road, Transit Camp, Rajiv Gandhi Nagar, Dharavi, Mumbai, Maharashtra 400017, India</t>
  </si>
  <si>
    <t>Bismillah Restaurant</t>
  </si>
  <si>
    <t>Matunga labour Camp 60 Feet Road, Sant Kabir Marg, opp. Kumbharwada, Mumbai, Maharashtra 400019, India</t>
  </si>
  <si>
    <t>Food lee's</t>
  </si>
  <si>
    <t>Indra chawl, B/32, Dharavi Cross Rd, Palkar Chawl, Dharavi, Mumbai, Maharashtra 400017, India</t>
  </si>
  <si>
    <t>Usmaniya Restaurant</t>
  </si>
  <si>
    <t>60 feet road A.K.G Nagar Mumbai maharashtra 17, Mumbai, Maharashtra 400017, India</t>
  </si>
  <si>
    <t>Abhinav Family Bar and Reasaurant</t>
  </si>
  <si>
    <t>2RWX+762, Mahim - Sion Link Rd, Naya Nagar, Navrang Compound, Dharavi, Mumbai, Maharashtra 400017, India</t>
  </si>
  <si>
    <t>CAFE INDIA</t>
  </si>
  <si>
    <t>SHOP NO B7, DAMAR COMPANY, 90 Feet Rd, Mukund Nagar, Sion, Mumbai, Maharashtra 400017, India</t>
  </si>
  <si>
    <t>Cafe Zam Zam</t>
  </si>
  <si>
    <t>2RVX+C2C, Dharavi Main Rd, Mahim East, Shammi Nagar, Dharavi, Mumbai, Maharashtra 400017, India</t>
  </si>
  <si>
    <t>SHABNAM TEA HOUSE</t>
  </si>
  <si>
    <t>9, Dharavi Main Rd, Chanda Bazar, Sheshwadi, Dharavi, Mumbai, Maharashtra 400017, India</t>
  </si>
  <si>
    <t>Labour Camp Irani Restaurant</t>
  </si>
  <si>
    <t>2VP3+549, Matunga Labour Camp, Dharavi, Mumbai, Maharashtra 400019, India</t>
  </si>
  <si>
    <t>Humble Express</t>
  </si>
  <si>
    <t>R1, Ankita Apartments, Navghar Rd, Ambedkar Nagar, Mulund East, Mumbai, Maharashtra 400081, India</t>
  </si>
  <si>
    <t>Devraj Bar &amp; Restaurant</t>
  </si>
  <si>
    <t>2VR4+RC8, 90 Feet Rd, Balaji Nagar, Dharavi, Mumbai, Maharashtra 400017, India</t>
  </si>
  <si>
    <t>Gurukripa</t>
  </si>
  <si>
    <t>40, Rd Number 24, near Sies College Of Arts, Science &amp; Commerce, Sion West, Sion, Mumbai, Maharashtra 400022, India</t>
  </si>
  <si>
    <t>Cafe Azeez</t>
  </si>
  <si>
    <t>Jasmine Mill Rd, Baliga Nagar, kamla Nagar, Shammi Nagar, Dharavi, Mumbai, Maharashtra 400017, India</t>
  </si>
  <si>
    <t>Kareemi Restaurant</t>
  </si>
  <si>
    <t>46, Kuttiwadi Cross Rd, Habib Nagar, Sheshwadi, Dharavi, Mumbai, Maharashtra 400017, India</t>
  </si>
  <si>
    <t>New Sahil Restaurant</t>
  </si>
  <si>
    <t>Rajendra Prasad Nagar, 60 Feet Road, opp. Hanware Height, Muslim Nagar, Matunga Labour Camp, Dharavi, Mumbai, Maharashtra 400019, India</t>
  </si>
  <si>
    <t>Victory Cafe</t>
  </si>
  <si>
    <t>2VV7+XR4, Sion Railway Colony, Chunabhatti, Sion, Mumbai, Maharashtra 400022, India</t>
  </si>
  <si>
    <t>Cafe Junction Veg And Nonveg</t>
  </si>
  <si>
    <t>2VW2+PVM, Sion-Bandra Link Rd, I Block BKC, Sheshwadi, Bandra East, Mumbai, Maharashtra 400017, India</t>
  </si>
  <si>
    <t>Noor Mohammadi Restaurant Dharavi</t>
  </si>
  <si>
    <t>Dharavi Main Rd, Mahim East, Navrang Compound, Dharavi, Mumbai, Maharashtra 400017, India</t>
  </si>
  <si>
    <t>Cafe Golden Sweets &amp; Milk Dairy</t>
  </si>
  <si>
    <t>3V28+52X, Station Marg, Dharavi Depot Rd, Naik Nagar, Sion West, Mumbai, Maharashtra 400022, India</t>
  </si>
  <si>
    <t>Sudarshan Veg &amp; Non Veg</t>
  </si>
  <si>
    <t>90 Feet Rd, Block Number 11, Transit Camp, Rajiv Gandhi Nagar, Dharavi, Mumbai, Maharashtra 400017, India</t>
  </si>
  <si>
    <t>ZAM ZAM RESTAURANT</t>
  </si>
  <si>
    <t>lok seva co-operative society shop no1 90feet road, Dharavi, Mumbai, Maharashtra 400017, India</t>
  </si>
  <si>
    <t>Apna family restaurant</t>
  </si>
  <si>
    <t>2VR4+H89, P.K. Kunte Nagar, Kamala Nehru Nagar, Rajiv Gandhi Nagar, Dharavi, Mumbai, Maharashtra 400017, India</t>
  </si>
  <si>
    <t>Powai</t>
  </si>
  <si>
    <t>Ventura Building, G6, Central Ave, opposite DMart, Hiranandani Gardens, Powai, Mumbai, Maharashtra 400076, India</t>
  </si>
  <si>
    <t>City Park, Central Ave, Hiranandani Gardens, Powai, Mumbai, Maharashtra 400076, India</t>
  </si>
  <si>
    <t>Blue Tokai Coffee Roasters | Powai</t>
  </si>
  <si>
    <t>G-01, Ventura, Central Ave, near Hiranandani Business Park, Hiranandani Gardens, Powai, Mumbai, Maharashtra 400076, India</t>
  </si>
  <si>
    <t>Chaayos Cafe - Hiranandani, Powai</t>
  </si>
  <si>
    <t>Unit No 07 Ground Floor, Ventura Building, Hiranandani Gardens, Powai, Mumbai, Maharashtra 400076, India</t>
  </si>
  <si>
    <t>Lake View Cafe</t>
  </si>
  <si>
    <t>The Westin Mumbai Powai Lake, Plot No 2 &amp; 3B, Saki Vihar Rd, near Chinmayanand Ashram, Powai, Mumbai, Maharashtra 400087, India</t>
  </si>
  <si>
    <t>CAFE DNA POWAI</t>
  </si>
  <si>
    <t>502, DNA 360, Knowledge Park Near Hiranandani Hospital, Powai, Mumbai, Maharashtra 400076, India</t>
  </si>
  <si>
    <t>Powai Social</t>
  </si>
  <si>
    <t>Delphi B Wing, 6, Orchard Ave, Hiranandani Gardens, Panchkutir Ganesh Nagar, Powai, Mumbai, Maharashtra 400076, India</t>
  </si>
  <si>
    <t>Haiko Mall, Central Ave, Hiranandani Gardens, Powai, Mumbai, Maharashtra 400076, India</t>
  </si>
  <si>
    <t>SHIRUCAFE IIT Bombay</t>
  </si>
  <si>
    <t>Powai campus, First floor between L1 &amp; L2 building, IIT, Powai, Mumbai, Maharashtra 400076, India</t>
  </si>
  <si>
    <t>Madeira &amp; Mime Powai</t>
  </si>
  <si>
    <t>Trans Ocean House, Lake Blvd Rd, Hiranandani Gardens, MHADA Colony 19, Powai, Mumbai, Maharashtra 400076, India</t>
  </si>
  <si>
    <t>abCoffee Powai</t>
  </si>
  <si>
    <t>Anmol Building Pawai V Complex, Shop No. 29, Gems CHS Powai Vihar Complex, Lake Homes Private Rd, MHADA Colony 20, Powai, Mumbai, Maharashtra 400076, India</t>
  </si>
  <si>
    <t>Cafe 92</t>
  </si>
  <si>
    <t>PC Saxena Auditorium, Academic Section, IIT Area, Powai, Mumbai, Maharashtra 400076, India</t>
  </si>
  <si>
    <t>3 &amp; 4 Ground Floor, Jheel Darshan, Jogeshwari - Vikhroli Link Rd, opposite Powai Lake, Rambaug, MHADA Colony 20, Powai, Mumbai, Maharashtra 400076, India</t>
  </si>
  <si>
    <t>Mia Cucina</t>
  </si>
  <si>
    <t>G3, Transocean House, Hiranandani Business Park, Lake Blvd Rd, Hiranandani Gardens, MHADA Colony 19, Powai, Mumbai, Maharashtra 400076, India</t>
  </si>
  <si>
    <t>The Sassy Spoon Powai</t>
  </si>
  <si>
    <t>B-Wing, Delphi Building, Restaurant 1A Binge Central, 1st Floor, Orchard Ave, Hiranandani Gardens, Panchkutir Ganesh Nagar, Powai, Mumbai, Maharashtra 400076, India</t>
  </si>
  <si>
    <t>Theobroma Bakery and Cake Shop - Powai, Mumbai</t>
  </si>
  <si>
    <t>SHOP NUMBER 8, GROUND FLOOR, Central Ave, next to Kotak Bank, Hiranandani Gardens, Powai, Mumbai, Maharashtra 400076, India</t>
  </si>
  <si>
    <t>The Finch Mumbai</t>
  </si>
  <si>
    <t>Shah Industrial Estate, Bus Stop, Saki Vihar Rd, opposite to Huntsman Building, next to John Baker, Ganesh Nagar, Marol, Andheri East, Mumbai, Maharashtra 400072, India</t>
  </si>
  <si>
    <t>Bayroute Powai</t>
  </si>
  <si>
    <t>Office No. 4 (4th Floor, 4W94+WWF One Boulevard, Transocean House Lake Boulevard Road,Hiranandani Business Park, Lake Blvd Rd, Hiranandani Gardens, MHADA Colony 19, Powai, Mumbai, Maharashtra 400076, India</t>
  </si>
  <si>
    <t>Hiranandani Business Park, Prudential Building, Powai, Mumbai, Maharashtra 400076, India</t>
  </si>
  <si>
    <t>ARC Powai â”‚Lounge â€¢ Rooftop</t>
  </si>
  <si>
    <t>ARC Powai, Opp Powai Lake Adi Shankaracharya Marg, Jogeshwari - Vikhroli Link Rd, Panchkutir Ganesh Nagar, Powai, Mumbai, Maharashtra 400076, India</t>
  </si>
  <si>
    <t>Travancore Cafe</t>
  </si>
  <si>
    <t>Ground Floor, Travancore Cafe, near Datta Samant Bungalow, Chaitanya Nagar, IIT Market, Powai, Mumbai, Maharashtra 400076, India</t>
  </si>
  <si>
    <t>SMOOR Lounge - Powai</t>
  </si>
  <si>
    <t>Shop G1A, Delphi, Hiranandani Business Park, Hiranandani Gardens, Panchkutir Ganesh Nagar, Powai, Mumbai, Maharashtra 400076, India</t>
  </si>
  <si>
    <t>Eve</t>
  </si>
  <si>
    <t>Sentinel, Hiranandani Gardens, Panchkutir Ganesh Nagar, Powai, Mumbai, Maharashtra 400076, India</t>
  </si>
  <si>
    <t>Rude Lounge</t>
  </si>
  <si>
    <t>B-Wing, SERVICE OFFICE, 8th Floor, South Avenue, Hiranandani Gardens, Powai, Mumbai, Maharashtra 400076, India</t>
  </si>
  <si>
    <t>The 2nd wife cafÃ© &amp; restaurant</t>
  </si>
  <si>
    <t>Junction, Krishanlal Marwah Marg, Ansa Industrial Estate, Chandivali, Andheri East, Mumbai, Maharashtra 400072, India</t>
  </si>
  <si>
    <t>Hitchki Powai</t>
  </si>
  <si>
    <t>G5, Transocean house, Lake Boulevard Rd. Hiranandani Business Park, near Kaya skin clinic, Powai, Mumbai, Maharashtra 400076, India</t>
  </si>
  <si>
    <t>The Game Ranch</t>
  </si>
  <si>
    <t>1st floor, Delphi Building, Delphi Orchard Avenue, Unit No. 2, B-Wing, Hiranandani Gardens, Panchkutir Ganesh Nagar, Powai, Mumbai, Maharashtra 400076, India</t>
  </si>
  <si>
    <t>Cafe coffee day (CCD)</t>
  </si>
  <si>
    <t>opposite Kendriya Vidyalaya, IIT Area, Powai, Mumbai, Maharashtra 400076, India</t>
  </si>
  <si>
    <t>No G2, Ground Floor, Orchard Ave, Hiranandani Gardens, MHADA Colony 19, Powai, Mumbai, Maharashtra 400076, India</t>
  </si>
  <si>
    <t>Mirchi &amp; Mime</t>
  </si>
  <si>
    <t>Transocean House, Lake Blvd Rd, Hiranandani Gardens, MHADA Colony 19, Powai, Mumbai, Maharashtra 400076, India</t>
  </si>
  <si>
    <t>Yuhi</t>
  </si>
  <si>
    <t>8th floor, Yuhi lounge, A-WING, SUPREME BUSINESS PARK, Hiranandani Gardens, Powai, Mumbai, Maharashtra 400076, India</t>
  </si>
  <si>
    <t>Blue Tokai Coffee Roasters | Nahar</t>
  </si>
  <si>
    <t>Shop No 14, Amaryllis Tower, Nahar Amrit Shakti, LOK Milan Colony, Chandivali, Powai, Mumbai, Maharashtra 400072, India</t>
  </si>
  <si>
    <t>Foo Powai</t>
  </si>
  <si>
    <t>B-Wing, Delphi Building, Ground Floor, Orchard Ave, Powai, Mumbai, Maharashtra 400076, India</t>
  </si>
  <si>
    <t>Civil Engineering Students Lounge and Cafe</t>
  </si>
  <si>
    <t>3rd floor, Civil Dept, IIT Area, Powai, Mumbai, Maharashtra 400076, India</t>
  </si>
  <si>
    <t>POMONACafe</t>
  </si>
  <si>
    <t>Hiranandani Business Park, shop no 121, First Floor, Powai Plaza, Mumbai, Maharashtra 400076, India</t>
  </si>
  <si>
    <t>Saki Vihar Rd, opp. 55 Corporate Avenue, Muranjan Wadi, Marol, Powai, Mumbai, Maharashtra 400072, India</t>
  </si>
  <si>
    <t>THE WADAPAV CAFE - ELITE</t>
  </si>
  <si>
    <t>Shop No. 61, Galleria Shopping Mall, Central Ave, Hiranandani Gardens, Panchkutir Ganesh Nagar, Powai, Mumbai, Maharashtra 400076, India</t>
  </si>
  <si>
    <t>DAFFODIL BUILDING, Central Ave, Hiranandani Gardens, Powai, Mumbai, Maharashtra 400076, India</t>
  </si>
  <si>
    <t>Sandwich Coffee House</t>
  </si>
  <si>
    <t>Shop 121, 1st Floor, Powai Plaza, Hiranandani Gardens, Sainath Nagar, Powai, Mumbai, Maharashtra 400076, India</t>
  </si>
  <si>
    <t>Chili's American Grill &amp; Bar</t>
  </si>
  <si>
    <t>Ventura Building, 13, Ventura Bldg Hiranandani Business Park, 400076, Central Ave, Hiranandani Gardens, Powai, Mumbai, Maharashtra 400076, India</t>
  </si>
  <si>
    <t>Independence Brewing Company - Powai</t>
  </si>
  <si>
    <t>Unit 1, Ground Floor, Ventura Building, Central Ave, Hiranandani Gardens, Powai, Mumbai, Maharashtra 400076, India</t>
  </si>
  <si>
    <t>Birdy's Bakery &amp; Patisserie</t>
  </si>
  <si>
    <t>Lake Club, Lake Homes, Complex, Chandivali Farm Rd, Powai, Mumbai, Maharashtra 400076, India</t>
  </si>
  <si>
    <t>Mantra Dining Bar</t>
  </si>
  <si>
    <t>Powai Plaza, Hiranandani Gardens, Sainath Nagar, Powai, Mumbai, Maharashtra 400076, India</t>
  </si>
  <si>
    <t>Chaayos Cafe at IIT Bombay</t>
  </si>
  <si>
    <t>CTS No - 68, Nr Telephone Exchange Office IIT, Students' Residential Zone, IIT Area, Powai, Mumbai, Maharashtra 400076, India</t>
  </si>
  <si>
    <t>maplepods@mumbai</t>
  </si>
  <si>
    <t>Saki Naka, Junction, Lokmanya Tilak Nagar, Andheri East, Mumbai, Maharashtra 400072, India</t>
  </si>
  <si>
    <t>Sesami</t>
  </si>
  <si>
    <t>1st floor, Rodas Hotel, Hiranandani Gardens, Powai, Mumbai, Maharashtra 400076, India</t>
  </si>
  <si>
    <t>Hangout Cakes &amp; Gourmet Foods</t>
  </si>
  <si>
    <t>Jheel Darshan, Rambaug, MHADA Colony 20, Powai, Mumbai, Maharashtra 400076, India</t>
  </si>
  <si>
    <t>Sassy Teaspoon</t>
  </si>
  <si>
    <t>B-Wing, Delphi Building, Restaurant 1A Binge Central, 1st, Orchard Ave, Hiranandani Gardens, Panchkutir Ganesh Nagar, Powai, Mumbai, Maharashtra 400076, India</t>
  </si>
  <si>
    <t>ChEA canteen</t>
  </si>
  <si>
    <t>4WJ9+46H, IIT Area, Powai, Mumbai, Maharashtra 400076, India</t>
  </si>
  <si>
    <t>Origami Japanese &amp; Korean Restaurant</t>
  </si>
  <si>
    <t>SERVICE OFFICE, Hiranandani Gardens, Powai, Mumbai, Maharashtra 400076, India</t>
  </si>
  <si>
    <t>Chembur</t>
  </si>
  <si>
    <t>Grandmama's All Day Cafe</t>
  </si>
  <si>
    <t>Ground Floor, Sunny Estate, Sion - Trombay Rd, Chembur, Mumbai, Maharashtra 400071, India</t>
  </si>
  <si>
    <t>71 TALES - BAR &amp; CAFE</t>
  </si>
  <si>
    <t>Unit 16-C, Sion - Trombay Rd, inside Asha Studio, near RK Studio, Union Park, Chembur, Mumbai, Maharashtra 400071, India</t>
  </si>
  <si>
    <t>Blue Tokai Coffee Roasters | Chembur</t>
  </si>
  <si>
    <t>Unit No.001 and 101, Ground, Ujagar Chambers, Compound, Deonar, Govandi East, Mumbai, Maharashtra 400088, India</t>
  </si>
  <si>
    <t>NÃº-tree Smoothies Cafe</t>
  </si>
  <si>
    <t>shop 3, Nityanand Baug society, Chembur Colony, Azad Nagar, Chembur, Mumbai, Maharashtra 400074, India</t>
  </si>
  <si>
    <t>Shy Cafe and Bar</t>
  </si>
  <si>
    <t>Ground Floor, Cubic Mall, opp. BORLA SOCIETY, Vasant Vihar Complex, Chembur, Mumbai, Maharashtra 400074, India</t>
  </si>
  <si>
    <t>Tulum Coffee Bar - Chembur</t>
  </si>
  <si>
    <t>KUKREJA ARCADE, 19th Rd, Chembur Gaothan, Chembur, Mumbai, Maharashtra 400071, India</t>
  </si>
  <si>
    <t>The Bread Bar</t>
  </si>
  <si>
    <t>Unit No. 2 and 3, Shah Industrial Estate, Deonar, Chembur, Mumbai, Maharashtra 400088, India</t>
  </si>
  <si>
    <t>Cafenately Coffee - Chembur</t>
  </si>
  <si>
    <t>Shop No. 3, Coral Classic Commercial Complex, 20th Rd, Chembur Gaothan, Chembur, Mumbai, Maharashtra 400071, India</t>
  </si>
  <si>
    <t>Chembur cafe &amp; Hotel</t>
  </si>
  <si>
    <t>Ramakrishna Chemburkar Marg, opp. jama masjid, Ashok Nagar, Collector Colony, Chembur, Mumbai, Maharashtra 400074, India</t>
  </si>
  <si>
    <t>Gregâ€™s Cafe</t>
  </si>
  <si>
    <t>Shop No. 102, 1st Floor, Yash Signature, the main road, opp. Telecom Factory Road, CHS, Deonar, On, Mumbai, Maharashtra 400088, India</t>
  </si>
  <si>
    <t>Ground Floor, Vasudev Bhavan, 10th Road, Near, DK Sandu Marg, opposite Chembur Post office, Chembur, Mumbai, Maharashtra 400071, India</t>
  </si>
  <si>
    <t>Kerala Cafe</t>
  </si>
  <si>
    <t>VN Purav Marg, next to Naturals Ice Cream, Diamond Garden, Chembur, Mumbai, Maharashtra 400071, India</t>
  </si>
  <si>
    <t>Chembur SOCIAL</t>
  </si>
  <si>
    <t>CG Rd Natraj Compound, Near, Chatrapati Shivaji Maharaj Chowk, Union Park, Chembur, Mumbai, Maharashtra 400074, India</t>
  </si>
  <si>
    <t>Cafe Old Friends</t>
  </si>
  <si>
    <t>Shop No. 26, Pink Corner, Nichaldas Market, Sindhi Society, Chembur, Mumbai, Maharashtra 400071, India</t>
  </si>
  <si>
    <t>Shop no 4, Fairlawn CHS, VN Purav Marg, opp. K Star Mall, near Near Bank of Baroda, Dreamland Society, Borla, Union Park, Chembur, Mumbai, Maharashtra 400071, India</t>
  </si>
  <si>
    <t>Bean Kaffee</t>
  </si>
  <si>
    <t>Shop no.5, Bldg no.10, Durga Sadan, Society, Chembur West, Tilak Nagar, Chembur, Mumbai, Maharashtra 400089, India</t>
  </si>
  <si>
    <t>Shop No 1, Garden Apartment, opp. K Star Mall, Dreamland Society, Borla, Union Park, Chembur, Mumbai, Maharashtra 400071, India</t>
  </si>
  <si>
    <t>The East End Deli</t>
  </si>
  <si>
    <t>Plot No, 70C, Central Ave Rd, Mahadeo Wadi, Chembur Gaothan, Chembur, Mumbai, Maharashtra 400071, India</t>
  </si>
  <si>
    <t>Bloom Cafe</t>
  </si>
  <si>
    <t>Shop 4, Bldg no 5, Matruchaya C.H.S, opposite Universal school, Gulshan Baug, Chembur West, Tilak Nagar, Chembur, Mumbai, Maharashtra 400089, India</t>
  </si>
  <si>
    <t>opposite Fine arts, Chembur Gaothan, Chembur, Mumbai, Maharashtra 400071, India</t>
  </si>
  <si>
    <t>Karma Sheesha and Restaurant, Chembur</t>
  </si>
  <si>
    <t>2nd Floor, Hotel Bahri Residency, Sion - Trombay Rd, near Diamond Garden, Dreamland Society, Borla, Union Park, Chembur, Mumbai, Maharashtra 400071, India</t>
  </si>
  <si>
    <t>The Art Cafe</t>
  </si>
  <si>
    <t>Bldg no 15 , shop no 9, 89, Chembur West, Tilak Nagar, Chembur, Mumbai, Maharashtra 400089, India</t>
  </si>
  <si>
    <t>THE AMORE CAFE</t>
  </si>
  <si>
    <t>The Amore Cafe, Ganesh Estate Agency, CG Rd, near Golf Club, Chembur Camp, Indira Nagar, Chembur, Mumbai, Maharashtra 400074, India</t>
  </si>
  <si>
    <t>Ground Floor, Patil Villa Building, Sion - Trombay Rd, Chembur, Mumbai, Maharashtra 400088, India</t>
  </si>
  <si>
    <t>Coffee Capital</t>
  </si>
  <si>
    <t>Monorail Pillar No. 20, Hub Town Seasons, A-4, Ramakrishna Chemburkar Marg, near Jain Temple, Postal Colony, Chembur, Mumbai, Maharashtra 400071, India</t>
  </si>
  <si>
    <t>R S Mani Cafe</t>
  </si>
  <si>
    <t>Shop no13&amp;14, Rajkamal bldg, Tilak Nagar, Chembur, Mumbai-89, Mumbai, Maharashtra 400089, India</t>
  </si>
  <si>
    <t>Dessert Cloud</t>
  </si>
  <si>
    <t>CG Road, Next to Raj Restaurant Opposite Hira Stores, behind Krishna Restaurant, Chembur Camp, Mumbai, Maharashtra 400074, India</t>
  </si>
  <si>
    <t>Nxt-Lvl All day : chembur</t>
  </si>
  <si>
    <t>V N, VN Purav Marg, next to R K Studio, Union Park, Chembur, Mumbai, Maharashtra 400071, India</t>
  </si>
  <si>
    <t>Blend N Brew</t>
  </si>
  <si>
    <t>70, Central Ave Rd, Near Ambedkar Garden, Chembur Gaothan, Chembur, Mumbai, Maharashtra 400071, India</t>
  </si>
  <si>
    <t>PN 57, Gr&amp;1st Flr, Girivan Pristino Bldg Sy No 961 A, Road No 19, Kurla, Chembur, Mumbai, Maharashtra 400071, India</t>
  </si>
  <si>
    <t>Paan world cafe</t>
  </si>
  <si>
    <t>CG Rd, near Kings snacks and bar, Camp(E), Chembur Colony, Chembur, Mumbai, Maharashtra 400074, India</t>
  </si>
  <si>
    <t>Theobroma Bakery and Cake Shop - Chembur, Mumbai</t>
  </si>
  <si>
    <t>Shop No. 20 &amp; 21, Sri Sunder Co-op Hsg Soc Ltd V. N. Purav Marg, Sion - Trombay Rd, opp. Diamond Garden, near Saraswat Bank, Chembur, Mumbai, Maharashtra 400071, India</t>
  </si>
  <si>
    <t>Cafe Amar</t>
  </si>
  <si>
    <t>Cafe Amar, Amar Cinema Compound, W. T. P. Marg, Ghatla, Chembur, Mumbai, Maharashtra 400071, India</t>
  </si>
  <si>
    <t>Hashtag Kulhad</t>
  </si>
  <si>
    <t>Shop no 17, Pink Corner, Nichaldas Market, Sindhi Society, Chembur, Mumbai, Maharashtra 400071, India</t>
  </si>
  <si>
    <t>Spice Laundry</t>
  </si>
  <si>
    <t>1st floor, Amul commercial society Ltd, E, Rd No. 1, opp. BMC Office, Chembur Gaothan, Chembur, Mumbai, Maharashtra 400071, India</t>
  </si>
  <si>
    <t>Mist cafe and lounge</t>
  </si>
  <si>
    <t>Shop no 14, Pestom Sagar Rd Number 4, opposite khushal tower, Chembur West, Pestom Sagar Colony, Chembur, Mumbai, Maharashtra 400089, India</t>
  </si>
  <si>
    <t>Hemu Kalani Marg, beside Wasan Toyota, Sindhi Society, Chembur, Mumbai, Maharashtra 400071, India</t>
  </si>
  <si>
    <t>cafe quba</t>
  </si>
  <si>
    <t>1, PL Lokhande Marg, Bhim wadhi, New Gautam Nagar, Govandi East, Mumbai, Maharashtra 400043, India</t>
  </si>
  <si>
    <t>Coffee TakeAway</t>
  </si>
  <si>
    <t>MS Bldg No 22, Flat 768, Ground Floor Hari Om Co-op Housing Society, opposite Vijay General Store, Chembur Colony, Mumbai, Maharashtra 400074, India</t>
  </si>
  <si>
    <t>Cafe Udipi</t>
  </si>
  <si>
    <t>72, HIRA BAUG, STATIO, opp. CANARA BANK, Chembur, Mumbai, Maharashtra 400071, India</t>
  </si>
  <si>
    <t>Shop Number 4, Vasinaka, Ramakrishna Chemburkar Marg, Chembur, Mumbai, Maharashtra 400074, India</t>
  </si>
  <si>
    <t>Sukoon parlour</t>
  </si>
  <si>
    <t>3W96+233 G.M. Link Road Jay Ambe Nagar, Chembur West, Akruti Rising City, Mumbai, Maharashtra 400089, India</t>
  </si>
  <si>
    <t>Crazy for chai| Best Cafe In Tilaknagar | Fast Food Joint | Best Chai Spot</t>
  </si>
  <si>
    <t>Shop No.6, Building Number 15, Sarva Mangal CHS, opposite Sahyadri Grounds, Chembur West, Tilak Nagar, Chembur, Mumbai, Maharashtra 400089, India</t>
  </si>
  <si>
    <t>Kyros Cafe</t>
  </si>
  <si>
    <t>Ghatkopar - Mahul Rd, opposite KRUSHAL TOWERS, near Bharat Petrol Pump, Chembur West, Pestom Sagar Colony, Chembur, Mumbai, Maharashtra 400089, India</t>
  </si>
  <si>
    <t>Yewale Amruttulya</t>
  </si>
  <si>
    <t>Central Ave Rd, Chembur Gaothan, Chembur, Mumbai, Maharashtra 400071, India</t>
  </si>
  <si>
    <t>Just One More Game (The Gaming Cafe)</t>
  </si>
  <si>
    <t>Shop no. 28, Nichaldas market, Sindhi Society, Chembur, Mumbai, Maharashtra 400071, India</t>
  </si>
  <si>
    <t>CAFE ALVI</t>
  </si>
  <si>
    <t>baigan wadi, Jeejabai Bhosale Marg, Govandi Slums, Raman Mama Nagar, Govandi East, Mumbai, Maharashtra 400043, India</t>
  </si>
  <si>
    <t>We &amp; Our Ventures (Cafenately Coffee - Head Office)</t>
  </si>
  <si>
    <t>Hirabaug Kamawadi, Sion - Trombay Rd, opp. Radio Bar, Chembur, Mumbai, Maharashtra 400088, India</t>
  </si>
  <si>
    <t>The Cafe Hangout</t>
  </si>
  <si>
    <t>Opp Ranjeet Daa Dhaba, Sattu's Lane Dr.C.G.Road, Chembur Colony, Mumbai, Maharashtra 400074, India</t>
  </si>
  <si>
    <t>FREEZEIT</t>
  </si>
  <si>
    <t>Trishul Bunglows, Sindhi Society Rd Number 1, Sector 44A, Sindhi Society, Chembur, Mumbai, Maharashtra 400071, India</t>
  </si>
  <si>
    <t>abCoffee Chembur</t>
  </si>
  <si>
    <t>Grey Craving, next to MG Motors, Union Park, Chembur, Mumbai, Maharashtra 400074, India</t>
  </si>
  <si>
    <t>Tirumala cafe</t>
  </si>
  <si>
    <t>3V3W+HG4, Sion - Trombay Rd, Jai Ambe Nagar, Chembur Gaothan, Chembur, Mumbai, Maharashtra 400071, India</t>
  </si>
  <si>
    <t>Sion</t>
  </si>
  <si>
    <t>The cafe club</t>
  </si>
  <si>
    <t>Plot no 109, Laxmi Bhavan, Building Opp Budda Buddi Garden, Sies College Of Arts, Science &amp; Commerce, near old, Sion, Maharashtra 400022, India</t>
  </si>
  <si>
    <t>Brasserie 1935 Kitchen &amp; Bar</t>
  </si>
  <si>
    <t>Building No 2, 1/1, Rd Number 29, opposite Croma showroom, Namdev Koli Marg, Sion, Mumbai, Sion Koliwada, Maharashtra 400022, India</t>
  </si>
  <si>
    <t>Hardeep Punjab (Sion Koliwada)</t>
  </si>
  <si>
    <t>Om Shiv Shakti, GTB Nagar JK Bhasin Marg, Sion Koliwada, opposite Building No.1, G.T.B.Nagar, Sector V, Sion East, Antop Hill, Mumbai, Maharashtra 400037, India</t>
  </si>
  <si>
    <t>New Madras Lunch Home</t>
  </si>
  <si>
    <t>R V Building, Rd No 1, near Sion Railway Station, Sion Railway Colony, Sion West, Sion, Mumbai, Maharashtra 400022, India</t>
  </si>
  <si>
    <t>Sion Lunch Home</t>
  </si>
  <si>
    <t>11, Harak Niwas, near Railway Station, Sion Railway Colony, Sion East, Mumbai, Maharashtra 400022, India</t>
  </si>
  <si>
    <t>Cafe Vrindavan</t>
  </si>
  <si>
    <t>Shop No 22, Indra Market, opp. Sion Post Office, Sindhi Colony, Sion, Mumbai, Maharashtra 400022, India</t>
  </si>
  <si>
    <t>Food</t>
  </si>
  <si>
    <t>Shop No.7, Pratiksha Nagar Rd, near mala garden, Pratikhsha Nagar, Sion East, Sion, Mumbai, Maharashtra 400022, India</t>
  </si>
  <si>
    <t>Central Peninsula</t>
  </si>
  <si>
    <t>Shop No. 88, Near Samsung Showroom, Satyam Shivam Sundaram Building Road No 28 B, Sion Cir, Mumbai, Maharashtra 400022, India</t>
  </si>
  <si>
    <t>Peninsula</t>
  </si>
  <si>
    <t>118, Thomas Villa Opp. Cine Planet (Rupam Cinema, Sion East, Mumbai, Maharashtra 400022, India</t>
  </si>
  <si>
    <t>Hanuman Veg Restaurant</t>
  </si>
  <si>
    <t>7, Rupam Building, Sion Cir, near Movie Max Theatre, Sion East, Sion, Mumbai, Maharashtra 400022, India</t>
  </si>
  <si>
    <t>A1 Samosa</t>
  </si>
  <si>
    <t>5A-5, Rd Number 24, West, opposite to Gurukripa, Sindhi Colony, Sion, Mumbai, Maharashtra 400022, India</t>
  </si>
  <si>
    <t>New Cuffe Parade Social</t>
  </si>
  <si>
    <t>Vios Tower, Bus Depot, Sewri - Chembur Rd, off Eastern Express Highway, near Anik Nagar, Sion, Mumbai, Maharashtra 400037, India</t>
  </si>
  <si>
    <t>The Central Bistro</t>
  </si>
  <si>
    <t>Kalpak Estate, Antop Hill, Mumbai, Maharashtra 400037, India</t>
  </si>
  <si>
    <t>Messy Addaa</t>
  </si>
  <si>
    <t>Shivaji Nagar Housing Society, 19, Bhaudaji Rd, opp. Mindas Tower, W, Sion, Mumbai, Maharashtra 400022, India</t>
  </si>
  <si>
    <t>Jagdish family restaurant &amp; bar</t>
  </si>
  <si>
    <t>Plot no. 249, Kripa Niwas, Sion, Mumbai, Maharashtra 400022, India</t>
  </si>
  <si>
    <t>Thaggu cafe</t>
  </si>
  <si>
    <t>shop No 2, Gajanan Chaya Building, 3, VN Purav Marg, Samarth Nagar, Chunabhatti, Sion, Mumbai, Maharashtra 400022, India</t>
  </si>
  <si>
    <t>Sardar Paya House (Papu Payawala)</t>
  </si>
  <si>
    <t>Shop U.A.C 20, near building no. 01, Punjabi Camp, Sion Koliwada, Guru Teg Bahadur Nagar, Sion, Mumbai, Maharashtra 400037, India</t>
  </si>
  <si>
    <t>Sion Irani</t>
  </si>
  <si>
    <t>Sion West, Sion, Mumbai, Maharashtra 400022, India</t>
  </si>
  <si>
    <t>McDonald's</t>
  </si>
  <si>
    <t>SN 09, Plot No 1A, Basant Court CHS Ltd Sion, opposite Sion Railway, Station, Mumbai, Maharashtra 400603, India</t>
  </si>
  <si>
    <t>Gurukrupa Sandwich</t>
  </si>
  <si>
    <t>TV Chidambaran Marg, Sion East, Sion, Mumbai, Maharashtra 400022, India</t>
  </si>
  <si>
    <t>LevelUp The Next Gen Gaming Cafe</t>
  </si>
  <si>
    <t>Sion Bhagini Samaj, plot6/A, Rd Number 24, opp. gurukripa hotel, above Bank Of Baroda, Sion West, Sion, Mumbai, Maharashtra 400022, India</t>
  </si>
  <si>
    <t>Hotel Ganga Vihar Sion</t>
  </si>
  <si>
    <t>Indralay building, K Ozha Marg, Jain Society, Sion, Mumbai, Maharashtra 400022, India</t>
  </si>
  <si>
    <t>Oh My Tea</t>
  </si>
  <si>
    <t>Shop No. 12, Rameshwar Bhavan, Mahatma Gandhi Market, opp. Sri Shanmukhananda Chandrasekarendra Saraswathi Auditorium, Sion East, Sion, Mumbai, Maharashtra 400022, India</t>
  </si>
  <si>
    <t>Hazara Restaurant &amp; Bar</t>
  </si>
  <si>
    <t>Shop No:15, Hukumchand C, Julka Chowk, Koliwada, Guru Teg Bahadur Nagar, Sion, Mumbai, Maharashtra 400037, India</t>
  </si>
  <si>
    <t>Cafe kailas</t>
  </si>
  <si>
    <t>N S Mankikar road shop no 1 near Sion tank Mumbai 400022, Mumbai, Maharashtra 400022, India</t>
  </si>
  <si>
    <t>Chaayos Cafe at Lodha Wadala</t>
  </si>
  <si>
    <t>Ground floor, Off, Eastern freeway, near Wadala Truck terminal, Wadala, Mumbai, Maharashtra 400037, India</t>
  </si>
  <si>
    <t>Mani's Lunch Home</t>
  </si>
  <si>
    <t>Plot No 12, Near Sion Railway Station, Below Hotel Ashray International, Lohiya Nagar, Sion East, Mumbai, Maharashtra 400022, India</t>
  </si>
  <si>
    <t>Amrut Restaurant and Bar</t>
  </si>
  <si>
    <t>Dr Babasaheb Ambedkar Marg, opp. Gandhi Market, Sion Hospital Colony, Sion, Mumbai, Maharashtra 400022, India</t>
  </si>
  <si>
    <t>abCoffee Matunga</t>
  </si>
  <si>
    <t>M Parekh Marg, UDCT College, Shop No. 07, Ground Floor, Plot No. 164-166 Siddheya CHS, Nathalal Parekh Marg, Wadala, Mumbai, Maharashtra 400031, India</t>
  </si>
  <si>
    <t>OVEN PLUS BISTRO</t>
  </si>
  <si>
    <t>Anand Nagar Housing Society, Sion East, Sion, Mumbai, Maharashtra 400037, India</t>
  </si>
  <si>
    <t>Ram Ashraya</t>
  </si>
  <si>
    <t>Shop 3-6 ground floor, Jamnadas Mansion, bazar, Laxmi Narayan Ln, Matunga (C.R.), Matunga East, Mumbai, Maharashtra 400019, India</t>
  </si>
  <si>
    <t>Cafe Blue J</t>
  </si>
  <si>
    <t>Shop No 06, Devdarshan, Mogul Ln, Mahim West, Mahim, Mumbai, Maharashtra 400016, India</t>
  </si>
  <si>
    <t>Cafe Kokomo</t>
  </si>
  <si>
    <t>4, Pratap CHS Limited, Shivaji Road, Bridge, near Vakola, Santacruz East, Mumbai, Maharashtra 400055, India</t>
  </si>
  <si>
    <t>Santosh Beer Bar</t>
  </si>
  <si>
    <t>2VQ8+QWC, Hemant Manjrekar Rd, Sardar Nagar Number 1, K D Gaikwad Nagar, Sion East, Sion, Mumbai, Maharashtra 400022, India</t>
  </si>
  <si>
    <t>Shop No. 05, Mohanlal Mansion, Dr Babasaheb Ambedkar Marg, Kings Circle, Matunga East, Mumbai, Maharashtra 400019, India</t>
  </si>
  <si>
    <t>Chai Sutta Bar</t>
  </si>
  <si>
    <t>Radha Bhawan, 471, Matunga Cir, Matunga East, Mumbai, Maharashtra 400019, India</t>
  </si>
  <si>
    <t>The Forest Walas</t>
  </si>
  <si>
    <t>Shop No 8 &amp; 9, Pratiksha Nagar, Flank Rd W, opposite to Baba Ramdevji CHS, Sion Koliwada, Mumbai, Maharashtra 400022, India</t>
  </si>
  <si>
    <t>Sion Restaurant and Stores</t>
  </si>
  <si>
    <t>Sion Mansion, Shop No. 3 &amp; 4, Sion Main Rd, Sion, Mumbai, Maharashtra 400022, India</t>
  </si>
  <si>
    <t>Hotel Ramdev</t>
  </si>
  <si>
    <t>Basant Court Building, Plot No.1A, Ground Floor, Opposite Sion Railway, Station, Sion West, Mumbai, Maharashtra 400022, India</t>
  </si>
  <si>
    <t>Himalaya Restaurant</t>
  </si>
  <si>
    <t>Meghdoot, Shop No. 12, 283, Flank Rd, Sion East, Sion, Mumbai, Maharashtra 400022, India</t>
  </si>
  <si>
    <t>Street 528</t>
  </si>
  <si>
    <t>1, Owner's Colony, near Canara Bank, Anand Nagar Housing Society, Guru Teg Bahadur Nagar, Sion, Sion Koliwada, Mumbai, Maharashtra 400037, India</t>
  </si>
  <si>
    <t>Thane</t>
  </si>
  <si>
    <t>The Happyy Cup Cafe, Thane</t>
  </si>
  <si>
    <t>Shop no. 5, A Parampara, Cosmos Heritage, Manpada, Thane West, Thane, Maharashtra 400607, India</t>
  </si>
  <si>
    <t>Cafe Amigos</t>
  </si>
  <si>
    <t>12, Sunrise Shopping Complex, Behind Hiranandani Meadows, Off Ghodbunder Road, Manpada, Thane West, Thane, Maharashtra 400610, India</t>
  </si>
  <si>
    <t>Love Leaf Cafe</t>
  </si>
  <si>
    <t>The Thane Club, Mohan Koppikar Road, Teen Hath Naka Flyover, opposite Raheja Garden, Thane, Maharashtra 400601, India</t>
  </si>
  <si>
    <t>Love &amp; Latte Thane</t>
  </si>
  <si>
    <t>Shop 17&amp; 18, Ground Flr, Krishna Tower, Sita vihar Chs, Lal Bahadur Shastri Marg, Near, Teen Hath Naka Flyover, Vishnu Nagar, Thane, Maharashtra 400602, India</t>
  </si>
  <si>
    <t>Brunch Bar Cafe</t>
  </si>
  <si>
    <t>Unique Vistas, Neelkanth Grns Rd, opposite Satyam Ford Service Center, Manpada, Thane, Maharashtra 400607, India</t>
  </si>
  <si>
    <t>Chai Yaari</t>
  </si>
  <si>
    <t>Shop No:- 10, Vijay Galaxy Apartment, Waghbil Naka Flyover, Anu Nagar, Vijay Nagari, Thane West, Thane, Maharashtra 400607, India</t>
  </si>
  <si>
    <t>The Chocolate Bar</t>
  </si>
  <si>
    <t>Jambhali Naka,The Chocolate Bar, beside Bhavana Hotel, Talav Pali, Thane West, Maharashtra 400601, India</t>
  </si>
  <si>
    <t>FRUITANIC</t>
  </si>
  <si>
    <t>Kolshet, khadi, Thane, Maharashtra 400607, India</t>
  </si>
  <si>
    <t>Lake Woods Cafe (LWC) | Best Cafe in Thane | Best Restaurants in Thane | Best Restaurants Near Me | Best Cafe Near Me</t>
  </si>
  <si>
    <t>Plot No. 40, Mahesh Smruti, near Brahman Sabha Hall, opp. Talav Pali, Thane, Maharashtra 400601, India</t>
  </si>
  <si>
    <t>Coffee Culture - The Ristorante Lounge , Thane</t>
  </si>
  <si>
    <t>Shop no.14, Coffee Culture, Pokharan Rd Number 2, Swastik Garden, Thane West, Thane, Mumbai, Maharashtra 400610, India</t>
  </si>
  <si>
    <t>Samvene The Bagel Cafe (Panchpakadi, Thane)</t>
  </si>
  <si>
    <t>Meenatai Thakre Rd, opp. Sripal complex, Bhakti Mandir, Panch Pakhdi, Thane West, Thane, Maharashtra 400602, India</t>
  </si>
  <si>
    <t>Cafe Buddyâ€™s Espresso- Best Cafe in Thane</t>
  </si>
  <si>
    <t>HIRANANDANI MEADOWS, Sunrise Shopping Centre, near Hyde Park, Thane, Maharashtra 400610, India</t>
  </si>
  <si>
    <t>Cafe Holiday Thane</t>
  </si>
  <si>
    <t>Ground Floor, Centrum IT Park, Plot NO 3, SG Barve Rd, Thane West, Thane, Maharashtra 400604, India</t>
  </si>
  <si>
    <t>The Bermuda Triangle Cafe</t>
  </si>
  <si>
    <t>CHS, Shop No. 1 Brentford, Hiranandani Estate, Thane West, Thane, Maharashtra 400607, India</t>
  </si>
  <si>
    <t>Cafe Rasna Buzz Thane</t>
  </si>
  <si>
    <t>Cadbury Junction, Hans Nagar, Thane West, Thane, Maharashtra 400601, India</t>
  </si>
  <si>
    <t>Thhikana cafe</t>
  </si>
  <si>
    <t>HIRANANDANI MEADOWS, Shop no. 26, G-floor Block no. 3, Emerald Plaza, Market, opp. currae speciality clinic, Mumbai, Maharashtra 421204, India</t>
  </si>
  <si>
    <t>Kill No Kalorie</t>
  </si>
  <si>
    <t>Kulkarni CHS, Ghantali Devi Rd, near Sai Baba Mandir, Naupada, Thane West, Thane, Maharashtra 400602, India</t>
  </si>
  <si>
    <t>Aromas Cafe</t>
  </si>
  <si>
    <t>Shop No.04, The Walk High Street, Atlanta Shopping Centre Hiranandani Estate Road Hiranandani Estate, Patlipada, Thane West, Thane, Maharashtra 400607, India</t>
  </si>
  <si>
    <t>Irani Chaiko's</t>
  </si>
  <si>
    <t>Shop No. 1, Ashar Belleza, Rd Number 16, near Ashar IT park, Brodma, Neheru Nagar, Wagle Industrial Estate, Thane West, Thane, Maharashtra 400604, India</t>
  </si>
  <si>
    <t>Manis Cafe</t>
  </si>
  <si>
    <t>Veer Baji Prabhu Deshpande Rd, Naupada, Thane West, Thane, Maharashtra 400602, India</t>
  </si>
  <si>
    <t>Cafe Hawaii Kona</t>
  </si>
  <si>
    <t>Shop no 13, Sita Vihar Complex Lal Bahadur Shastri Marg, Teen Hath Naka Flyover, Thane, Maharashtra 400602, India</t>
  </si>
  <si>
    <t>Viviana Mall, Service Road, Eastern Express Hwy, Thane West, Thane, Maharashtra 400601, India</t>
  </si>
  <si>
    <t>The One Storyy Bistro</t>
  </si>
  <si>
    <t>Shop no.5, Vikas Shopping Complex, Lalbahadur Shashtri Marg, Meenatai Thakrey Chowk, near Meenatai Thakrey Chowk, Uthalsar, Thane, Maharashtra 400601, India</t>
  </si>
  <si>
    <t>Mojito Cafe</t>
  </si>
  <si>
    <t>Plot No, 253, Ghodbunder Rd, beside R Mall, Manorama Nagar, Thane West, Thane, Maharashtra 400607, India</t>
  </si>
  <si>
    <t>Blue Tokai Coffee Roasters | Acme Ozone</t>
  </si>
  <si>
    <t>Shop No 5, Ground Floor And Basement, Acme Ozone, Khewra Circle, Manpada, Thane West, Mumbai, Maharashtra, India</t>
  </si>
  <si>
    <t>Peach Tree Cafe</t>
  </si>
  <si>
    <t>HIRANANDANI MEADOWS, Emerald Plaza, Shop no.16, Block no. - 1, Thane, Maharashtra 400607, India</t>
  </si>
  <si>
    <t>D'CREPES CAFE</t>
  </si>
  <si>
    <t>Shop no.2, Avila Building, Ghodbunder Rd, next to The Walk, near HDFC Bank, Hiranandani Estate, Thane West, Thane, Maharashtra 400607, India</t>
  </si>
  <si>
    <t>Cafe Relish Meadows</t>
  </si>
  <si>
    <t>Shop 1, Celio Shopping Centre, HIRANANDANI MEADOWS, Pokharan Rd Number 2, Manpada, Thane West, Thane, Maharashtra 400610, India</t>
  </si>
  <si>
    <t>Shop no. 21, 22. Block No. 1, Emerald Plaza, HIRANANDANI MEADOWS, Gladys Alwares Rd, behind Saraswat Bank, Manpada, Thane West, Thane, Maharashtra 400610, India</t>
  </si>
  <si>
    <t>RATS Bikers CafÃ©</t>
  </si>
  <si>
    <t>RATS Pit Stop, Ram Mandir Road, off Ghodbunder Service Road, next to Kasarvadavali, Bhawani Nagar, Kasarvadavali, Thane West, Thane, Maharashtra 400615, India</t>
  </si>
  <si>
    <t>Blue Tokai Coffee Roasters | Hiranandani Estate</t>
  </si>
  <si>
    <t>Shop No S-03, Ground Floor, Quantum Building, Ghodbunder Road, Central Ave, Hiranandani Estate, Thane West, Thane, Maharashtra 400607, India</t>
  </si>
  <si>
    <t>Teapsy Cafe</t>
  </si>
  <si>
    <t>HIRANANDANI MEADOWS, Shop C6, Greenwood Complex, Apricot Road, Vidhyapith, Service Rd, near RK Motor, Thane, Maharashtra 400610, India</t>
  </si>
  <si>
    <t>CAFE DEZIRE</t>
  </si>
  <si>
    <t>Opposite Thane Jilha Sahakari Bank Mantri plot, Shivaji Path, Thane Station Rd, W, Thane, Maharashtra 400601, India</t>
  </si>
  <si>
    <t>Ground Floor, Hiranandani Estate Rd, Hiranandani Estate, Thane West, Thane, Maharashtra 400607, India</t>
  </si>
  <si>
    <t>Bean Theory Coffee</t>
  </si>
  <si>
    <t>HIRANANDANI MEADOWS, Emerald Plaza, Shop 12, Block 3, Thane West, Thane, Maharashtra 400607, India</t>
  </si>
  <si>
    <t>Frusion - Pressery &amp; Cafe</t>
  </si>
  <si>
    <t>Shop No.6, Gladys Alwares Rd, next to Dogs world India, near Khewra Circle Marg, Hill Garden, Manpada, Thane West, Thane, Maharashtra 400607, India</t>
  </si>
  <si>
    <t>Off, Eastern Express Hwy, Laxmi Nagar, Thane West, Thane, Maharashtra 400606, India</t>
  </si>
  <si>
    <t>Cafe BunTea</t>
  </si>
  <si>
    <t>Shop no.7, Unique Vistas Rd, near Mahabi, Patlipada, Thane West, Thane, Maharashtra 400607, India</t>
  </si>
  <si>
    <t>Gen z- cafe</t>
  </si>
  <si>
    <t>Shop No. 7 Ezzi Co Op Housing Society Opp Dmart Dokali, Kolshet Rd, Kailash Nagar, Thane, Maharashtra 400607, India</t>
  </si>
  <si>
    <t>Umami Cafe</t>
  </si>
  <si>
    <t>Shop 5, BUILDING-4, Cosmos Hills, Pokharan Rd Number 1, opposite Bombay dock restaurant, Upvan, Saptgiri, Thane, Maharashtra 400606, India</t>
  </si>
  <si>
    <t>Captain Cool</t>
  </si>
  <si>
    <t>Shop No.4, Giri Heaven CHS. LTD, near, Hariniwas Cir, Naupada, Thane West, Thane, Maharashtra 400602, India</t>
  </si>
  <si>
    <t>Cafe tiya (Thane)</t>
  </si>
  <si>
    <t>Shop-7, Shivai Nagar Circle, Opposite Salt n Pepper, Pokharan Rd Number 1, Vartak Nagar, Thane West, Thane, Mumbai, Maharashtra 400606, India</t>
  </si>
  <si>
    <t>Cafe Anecdote</t>
  </si>
  <si>
    <t>Shop No. 4, Mezzanine Floor, Amrapali Arcade, opp. Jasmine Tower, opposite Vasant Vihar High School &amp; Junior College, Vasant Vihar, Thane West, Thane, Maharashtra 400610, India</t>
  </si>
  <si>
    <t>Lets Chill Cafe</t>
  </si>
  <si>
    <t>Shop no 3, Sai sadan Bungalow, Wagle Estate, Shree Nagar, Thane, Maharashtra 400604, India</t>
  </si>
  <si>
    <t>Cafe India Restaurant</t>
  </si>
  <si>
    <t>Masan Wada, Azad Nagar, Thane West, Thane, Maharashtra 400601, India</t>
  </si>
  <si>
    <t>HIRANANDANI MEADOWS, Pokhran Road, beside Star Bazaar, Manpada, Thane West, Thane, Maharashtra 400609, India</t>
  </si>
  <si>
    <t>No. S/2, The Walk Mall, beside KFC, Hiranandani Estate, Thane West, Thane, Mumbai, Maharashtra 400607, India</t>
  </si>
  <si>
    <t>Thane SOCIAL</t>
  </si>
  <si>
    <t>SF-32, Second Floor, Viviana Mall, Eastern Express Hwy Tenant Space, Thane West, Thane, Maharashtra 400601, India</t>
  </si>
  <si>
    <t>Loud 9 Cafe n Lounge</t>
  </si>
  <si>
    <t>7, Uthalsar Naka, Uthalsar, Thane West, Thane, Maharashtra 400601, India</t>
  </si>
  <si>
    <t>Chaayos Cafe at The Walk</t>
  </si>
  <si>
    <t>The Walk, Hiranandani Estate, Thane West, Thane, Maharashtra 400607, India</t>
  </si>
  <si>
    <t>MUMBAI CAFE, Pure Veg</t>
  </si>
  <si>
    <t>Shop No.10, Soham Plaza, Ghodbunder Rd, nr. Manpada Flyover, Manpada Flyover, Manpada, Thane West, Thane, Maharashtra 400610, India</t>
  </si>
  <si>
    <t>Cafe kp</t>
  </si>
  <si>
    <t>shree mangal society, D-6, plot no.14, Savarkar Nagar, Thane West, Thane, Maharashtra 400606, India</t>
  </si>
  <si>
    <t>Samvene The Bagel Cafe (Hiranandani Meadows)</t>
  </si>
  <si>
    <t>Block 2, Gate No. 3, HIRANANDANI MEADOWS, Shop No. 18, Emerald Plaza, Thane West, Thane, Maharashtra 400610, India</t>
  </si>
  <si>
    <t>Chaayos Cafe - Viviana Mall, Thane</t>
  </si>
  <si>
    <t>Unit No 39, FF, Viviana Mall, Laxmi Nagar, Thane West, Thane, Maharashtra 400606, India</t>
  </si>
  <si>
    <t>abCoffee Thane Kolshet</t>
  </si>
  <si>
    <t>Shop No. 2, Jangid Heights CHS, next to Cinemax, Kapurbawdi, Thane West, Thane, Maharashtra 400601, India</t>
  </si>
  <si>
    <t>195, Dr Moose Marg, Ghantali, Thane West, Thane, Maharashtra 400602, India</t>
  </si>
  <si>
    <t>Coffee Toffee</t>
  </si>
  <si>
    <t>Chaitanya Tower, Dada Patil Marg, Dada Patil Wadi, Shivaji Nagar, Thane West, Thane, Maharashtra 400602, India</t>
  </si>
  <si>
    <t>Parsik cafe</t>
  </si>
  <si>
    <t>Shop No.02, kavesar, opp. Rosa Manhattan, Hiranandani Estate, waghbil, Thane, Maharashtra 400615, India</t>
  </si>
  <si>
    <t>Aroma Chai &amp; Snacks Cafe (Thane)</t>
  </si>
  <si>
    <t>Shop No.3, Shalimar CHS, Tulsi Chawk, Thane East, Thane, Maharashtra 400603, India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</si>
</sst>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8">
    <dxf>
      <numFmt numFmtId="0" formatCode="General"/>
      <alignment horizontal="center" vertical="bottom" textRotation="0" wrapText="0" indent="0" justifyLastLine="0" shrinkToFit="0" readingOrder="0"/>
    </dxf>
    <dxf>
      <numFmt numFmtId="164" formatCode="&quot;₹&quot;\ #,##0.00"/>
    </dxf>
    <dxf>
      <numFmt numFmtId="164" formatCode="&quot;₹&quot;\ #,##0.0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685F2D-596B-4A00-A32E-DABB8E0A3962}" name="CafeData" displayName="CafeData" ref="A1:L1201" totalsRowShown="0">
  <autoFilter ref="A1:L1201" xr:uid="{5A685F2D-596B-4A00-A32E-DABB8E0A3962}"/>
  <tableColumns count="12">
    <tableColumn id="1" xr3:uid="{50ED700A-8C7D-42FF-90E4-0EEDA6DDD301}" name="Area"/>
    <tableColumn id="2" xr3:uid="{94B674FE-6D1F-49AB-9CCC-49300677EE03}" name="Name"/>
    <tableColumn id="3" xr3:uid="{E69BAB3E-A9D1-4F55-B227-74F8BCDEAC5C}" name="Rating" dataDxfId="7"/>
    <tableColumn id="4" xr3:uid="{7060B669-6CFC-4C96-A1E5-0347761314CF}" name="Total Ratings" dataDxfId="6"/>
    <tableColumn id="5" xr3:uid="{9565587D-6BEE-44D2-BE51-3BF051A0635C}" name="Address"/>
    <tableColumn id="6" xr3:uid="{E052A047-8A9D-483C-B04A-AD4847262A7D}" name="Latitude" dataDxfId="5"/>
    <tableColumn id="7" xr3:uid="{3D44781E-071C-46A0-9780-7430CC4559DB}" name="Longitude"/>
    <tableColumn id="8" xr3:uid="{A559B220-166D-4717-ADA1-424E52BC360B}" name="Popularity Score" dataDxfId="4">
      <calculatedColumnFormula>C2*D2</calculatedColumnFormula>
    </tableColumn>
    <tableColumn id="9" xr3:uid="{B1D4CE00-977B-455C-B259-D685536B1601}" name="Estimated Monthly Visitors" dataDxfId="3">
      <calculatedColumnFormula>D2*25</calculatedColumnFormula>
    </tableColumn>
    <tableColumn id="10" xr3:uid="{EB5DCF2A-D205-430E-9B75-AF81DF80643A}" name="Average Spend" dataDxfId="2">
      <calculatedColumnFormula>IF(C2&gt;=4.7,550,IF(C2&gt;=4.4,450,IF(C2&gt;=O4,350,250)))</calculatedColumnFormula>
    </tableColumn>
    <tableColumn id="11" xr3:uid="{98915930-C8F4-41F8-98D8-7E077FE5FEDB}" name="Estimated Revenue" dataDxfId="1">
      <calculatedColumnFormula>I2*J2</calculatedColumnFormula>
    </tableColumn>
    <tableColumn id="12" xr3:uid="{90A24DF6-4EB9-4D96-A930-3CF9F5741780}" name="Cafe Category" dataDxfId="0">
      <calculatedColumnFormula>IF(C2&gt;=4.5,"Premium",IF(C2&gt;=4,"Popular","Average"))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0BFC4-1740-4AEE-8A89-E197D8A66C17}">
  <dimension ref="A1:L1201"/>
  <sheetViews>
    <sheetView tabSelected="1" topLeftCell="A73" workbookViewId="0">
      <selection sqref="A1:L1201"/>
    </sheetView>
  </sheetViews>
  <sheetFormatPr defaultRowHeight="14.4" x14ac:dyDescent="0.3"/>
  <cols>
    <col min="11" max="11" width="19.5546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s="2" t="s">
        <v>11</v>
      </c>
    </row>
    <row r="2" spans="1:12" x14ac:dyDescent="0.3">
      <c r="A2" t="s">
        <v>12</v>
      </c>
      <c r="B2" t="s">
        <v>13</v>
      </c>
      <c r="C2" s="3">
        <v>4.2</v>
      </c>
      <c r="D2" s="3">
        <v>1203</v>
      </c>
      <c r="E2" t="s">
        <v>14</v>
      </c>
      <c r="F2" s="3">
        <v>18.918783000000001</v>
      </c>
      <c r="G2">
        <v>72.830501999999996</v>
      </c>
      <c r="H2">
        <f t="shared" ref="H2:H65" si="0">C2*D2</f>
        <v>5052.6000000000004</v>
      </c>
      <c r="I2" s="3">
        <f t="shared" ref="I2:I65" si="1">D2*25</f>
        <v>30075</v>
      </c>
      <c r="J2" s="1">
        <f t="shared" ref="J2:J65" si="2">IF(C2&gt;=4.7,550,IF(C2&gt;=4.4,450,IF(C2&gt;=O4,350,250)))</f>
        <v>350</v>
      </c>
      <c r="K2" s="1">
        <f t="shared" ref="K2:K65" si="3">I2*J2</f>
        <v>10526250</v>
      </c>
      <c r="L2" s="2" t="str">
        <f t="shared" ref="L2:L65" si="4">IF(C2&gt;=4.5,"Premium",IF(C2&gt;=4,"Popular","Average"))</f>
        <v>Popular</v>
      </c>
    </row>
    <row r="3" spans="1:12" x14ac:dyDescent="0.3">
      <c r="A3" t="s">
        <v>12</v>
      </c>
      <c r="B3" t="s">
        <v>15</v>
      </c>
      <c r="C3" s="3">
        <v>4.2</v>
      </c>
      <c r="D3" s="3">
        <v>29972</v>
      </c>
      <c r="E3" t="s">
        <v>16</v>
      </c>
      <c r="F3" s="3">
        <v>18.9226402</v>
      </c>
      <c r="G3">
        <v>72.831640100000001</v>
      </c>
      <c r="H3">
        <f t="shared" si="0"/>
        <v>125882.40000000001</v>
      </c>
      <c r="I3" s="3">
        <f t="shared" si="1"/>
        <v>749300</v>
      </c>
      <c r="J3" s="1">
        <f t="shared" si="2"/>
        <v>350</v>
      </c>
      <c r="K3" s="1">
        <f t="shared" si="3"/>
        <v>262255000</v>
      </c>
      <c r="L3" s="2" t="str">
        <f t="shared" si="4"/>
        <v>Popular</v>
      </c>
    </row>
    <row r="4" spans="1:12" x14ac:dyDescent="0.3">
      <c r="A4" t="s">
        <v>12</v>
      </c>
      <c r="B4" t="s">
        <v>17</v>
      </c>
      <c r="C4" s="3">
        <v>4.2</v>
      </c>
      <c r="D4" s="3">
        <v>3443</v>
      </c>
      <c r="E4" t="s">
        <v>18</v>
      </c>
      <c r="F4" s="3">
        <v>18.918851400000001</v>
      </c>
      <c r="G4">
        <v>72.831991500000001</v>
      </c>
      <c r="H4">
        <f t="shared" si="0"/>
        <v>14460.6</v>
      </c>
      <c r="I4" s="3">
        <f t="shared" si="1"/>
        <v>86075</v>
      </c>
      <c r="J4" s="1">
        <f t="shared" si="2"/>
        <v>350</v>
      </c>
      <c r="K4" s="1">
        <f t="shared" si="3"/>
        <v>30126250</v>
      </c>
      <c r="L4" s="2" t="str">
        <f t="shared" si="4"/>
        <v>Popular</v>
      </c>
    </row>
    <row r="5" spans="1:12" x14ac:dyDescent="0.3">
      <c r="A5" t="s">
        <v>12</v>
      </c>
      <c r="B5" t="s">
        <v>19</v>
      </c>
      <c r="C5" s="3">
        <v>4.3</v>
      </c>
      <c r="D5" s="3">
        <v>2868</v>
      </c>
      <c r="E5" t="s">
        <v>20</v>
      </c>
      <c r="F5" s="3">
        <v>18.919908100000001</v>
      </c>
      <c r="G5">
        <v>72.830269099999995</v>
      </c>
      <c r="H5">
        <f t="shared" si="0"/>
        <v>12332.4</v>
      </c>
      <c r="I5" s="3">
        <f t="shared" si="1"/>
        <v>71700</v>
      </c>
      <c r="J5" s="1">
        <f t="shared" si="2"/>
        <v>350</v>
      </c>
      <c r="K5" s="1">
        <f t="shared" si="3"/>
        <v>25095000</v>
      </c>
      <c r="L5" s="2" t="str">
        <f t="shared" si="4"/>
        <v>Popular</v>
      </c>
    </row>
    <row r="6" spans="1:12" x14ac:dyDescent="0.3">
      <c r="A6" t="s">
        <v>12</v>
      </c>
      <c r="B6" t="s">
        <v>21</v>
      </c>
      <c r="C6" s="3">
        <v>4.4000000000000004</v>
      </c>
      <c r="D6" s="3">
        <v>1283</v>
      </c>
      <c r="E6" t="s">
        <v>22</v>
      </c>
      <c r="F6" s="3">
        <v>18.922108600000001</v>
      </c>
      <c r="G6">
        <v>72.832415599999905</v>
      </c>
      <c r="H6">
        <f t="shared" si="0"/>
        <v>5645.2000000000007</v>
      </c>
      <c r="I6" s="3">
        <f t="shared" si="1"/>
        <v>32075</v>
      </c>
      <c r="J6" s="1">
        <f t="shared" si="2"/>
        <v>450</v>
      </c>
      <c r="K6" s="1">
        <f t="shared" si="3"/>
        <v>14433750</v>
      </c>
      <c r="L6" s="2" t="str">
        <f t="shared" si="4"/>
        <v>Popular</v>
      </c>
    </row>
    <row r="7" spans="1:12" x14ac:dyDescent="0.3">
      <c r="A7" t="s">
        <v>12</v>
      </c>
      <c r="B7" t="s">
        <v>23</v>
      </c>
      <c r="C7" s="3">
        <v>4.4000000000000004</v>
      </c>
      <c r="D7" s="3">
        <v>4578</v>
      </c>
      <c r="E7" t="s">
        <v>24</v>
      </c>
      <c r="F7" s="3">
        <v>18.924050300000001</v>
      </c>
      <c r="G7">
        <v>72.832154700000004</v>
      </c>
      <c r="H7">
        <f t="shared" si="0"/>
        <v>20143.2</v>
      </c>
      <c r="I7" s="3">
        <f t="shared" si="1"/>
        <v>114450</v>
      </c>
      <c r="J7" s="1">
        <f t="shared" si="2"/>
        <v>450</v>
      </c>
      <c r="K7" s="1">
        <f t="shared" si="3"/>
        <v>51502500</v>
      </c>
      <c r="L7" s="2" t="str">
        <f t="shared" si="4"/>
        <v>Popular</v>
      </c>
    </row>
    <row r="8" spans="1:12" x14ac:dyDescent="0.3">
      <c r="A8" t="s">
        <v>12</v>
      </c>
      <c r="B8" t="s">
        <v>25</v>
      </c>
      <c r="C8" s="3">
        <v>4.3</v>
      </c>
      <c r="D8" s="3">
        <v>6192</v>
      </c>
      <c r="E8" t="s">
        <v>26</v>
      </c>
      <c r="F8" s="3">
        <v>18.922885999999998</v>
      </c>
      <c r="G8">
        <v>72.831385599999905</v>
      </c>
      <c r="H8">
        <f t="shared" si="0"/>
        <v>26625.599999999999</v>
      </c>
      <c r="I8" s="3">
        <f t="shared" si="1"/>
        <v>154800</v>
      </c>
      <c r="J8" s="1">
        <f t="shared" si="2"/>
        <v>350</v>
      </c>
      <c r="K8" s="1">
        <f t="shared" si="3"/>
        <v>54180000</v>
      </c>
      <c r="L8" s="2" t="str">
        <f t="shared" si="4"/>
        <v>Popular</v>
      </c>
    </row>
    <row r="9" spans="1:12" x14ac:dyDescent="0.3">
      <c r="A9" t="s">
        <v>12</v>
      </c>
      <c r="B9" t="s">
        <v>27</v>
      </c>
      <c r="C9" s="3">
        <v>4.2</v>
      </c>
      <c r="D9" s="3">
        <v>9490</v>
      </c>
      <c r="E9" t="s">
        <v>28</v>
      </c>
      <c r="F9" s="3">
        <v>18.9216619</v>
      </c>
      <c r="G9">
        <v>72.832298399999999</v>
      </c>
      <c r="H9">
        <f t="shared" si="0"/>
        <v>39858</v>
      </c>
      <c r="I9" s="3">
        <f t="shared" si="1"/>
        <v>237250</v>
      </c>
      <c r="J9" s="1">
        <f t="shared" si="2"/>
        <v>350</v>
      </c>
      <c r="K9" s="1">
        <f t="shared" si="3"/>
        <v>83037500</v>
      </c>
      <c r="L9" s="2" t="str">
        <f t="shared" si="4"/>
        <v>Popular</v>
      </c>
    </row>
    <row r="10" spans="1:12" x14ac:dyDescent="0.3">
      <c r="A10" t="s">
        <v>12</v>
      </c>
      <c r="B10" t="s">
        <v>29</v>
      </c>
      <c r="C10" s="3">
        <v>4.4000000000000004</v>
      </c>
      <c r="D10" s="3">
        <v>3447</v>
      </c>
      <c r="E10" t="s">
        <v>30</v>
      </c>
      <c r="F10" s="3">
        <v>18.928066999999999</v>
      </c>
      <c r="G10">
        <v>72.832415999999995</v>
      </c>
      <c r="H10">
        <f t="shared" si="0"/>
        <v>15166.800000000001</v>
      </c>
      <c r="I10" s="3">
        <f t="shared" si="1"/>
        <v>86175</v>
      </c>
      <c r="J10" s="1">
        <f t="shared" si="2"/>
        <v>450</v>
      </c>
      <c r="K10" s="1">
        <f t="shared" si="3"/>
        <v>38778750</v>
      </c>
      <c r="L10" s="2" t="str">
        <f t="shared" si="4"/>
        <v>Popular</v>
      </c>
    </row>
    <row r="11" spans="1:12" x14ac:dyDescent="0.3">
      <c r="A11" t="s">
        <v>12</v>
      </c>
      <c r="B11" t="s">
        <v>31</v>
      </c>
      <c r="C11" s="3">
        <v>4.3</v>
      </c>
      <c r="D11" s="3">
        <v>4955</v>
      </c>
      <c r="E11" t="s">
        <v>32</v>
      </c>
      <c r="F11" s="3">
        <v>18.928495399999999</v>
      </c>
      <c r="G11">
        <v>72.8322067</v>
      </c>
      <c r="H11">
        <f t="shared" si="0"/>
        <v>21306.5</v>
      </c>
      <c r="I11" s="3">
        <f t="shared" si="1"/>
        <v>123875</v>
      </c>
      <c r="J11" s="1">
        <f t="shared" si="2"/>
        <v>350</v>
      </c>
      <c r="K11" s="1">
        <f t="shared" si="3"/>
        <v>43356250</v>
      </c>
      <c r="L11" s="2" t="str">
        <f t="shared" si="4"/>
        <v>Popular</v>
      </c>
    </row>
    <row r="12" spans="1:12" x14ac:dyDescent="0.3">
      <c r="A12" t="s">
        <v>12</v>
      </c>
      <c r="B12" t="s">
        <v>33</v>
      </c>
      <c r="C12" s="3">
        <v>4.3</v>
      </c>
      <c r="D12" s="3">
        <v>1136</v>
      </c>
      <c r="E12" t="s">
        <v>34</v>
      </c>
      <c r="F12" s="3">
        <v>18.927662600000001</v>
      </c>
      <c r="G12">
        <v>72.832998000000003</v>
      </c>
      <c r="H12">
        <f t="shared" si="0"/>
        <v>4884.8</v>
      </c>
      <c r="I12" s="3">
        <f t="shared" si="1"/>
        <v>28400</v>
      </c>
      <c r="J12" s="1">
        <f t="shared" si="2"/>
        <v>350</v>
      </c>
      <c r="K12" s="1">
        <f t="shared" si="3"/>
        <v>9940000</v>
      </c>
      <c r="L12" s="2" t="str">
        <f t="shared" si="4"/>
        <v>Popular</v>
      </c>
    </row>
    <row r="13" spans="1:12" x14ac:dyDescent="0.3">
      <c r="A13" t="s">
        <v>12</v>
      </c>
      <c r="B13" t="s">
        <v>35</v>
      </c>
      <c r="C13" s="3">
        <v>4.2</v>
      </c>
      <c r="D13" s="3">
        <v>542</v>
      </c>
      <c r="E13" t="s">
        <v>36</v>
      </c>
      <c r="F13" s="3">
        <v>18.918294400000001</v>
      </c>
      <c r="G13">
        <v>72.830873699999998</v>
      </c>
      <c r="H13">
        <f t="shared" si="0"/>
        <v>2276.4</v>
      </c>
      <c r="I13" s="3">
        <f t="shared" si="1"/>
        <v>13550</v>
      </c>
      <c r="J13" s="1">
        <f t="shared" si="2"/>
        <v>350</v>
      </c>
      <c r="K13" s="1">
        <f t="shared" si="3"/>
        <v>4742500</v>
      </c>
      <c r="L13" s="2" t="str">
        <f t="shared" si="4"/>
        <v>Popular</v>
      </c>
    </row>
    <row r="14" spans="1:12" x14ac:dyDescent="0.3">
      <c r="A14" t="s">
        <v>12</v>
      </c>
      <c r="B14" t="s">
        <v>37</v>
      </c>
      <c r="C14" s="3">
        <v>4.3</v>
      </c>
      <c r="D14" s="3">
        <v>1395</v>
      </c>
      <c r="E14" t="s">
        <v>38</v>
      </c>
      <c r="F14" s="3">
        <v>18.935252999999999</v>
      </c>
      <c r="G14">
        <v>72.838378599999999</v>
      </c>
      <c r="H14">
        <f t="shared" si="0"/>
        <v>5998.5</v>
      </c>
      <c r="I14" s="3">
        <f t="shared" si="1"/>
        <v>34875</v>
      </c>
      <c r="J14" s="1">
        <f t="shared" si="2"/>
        <v>350</v>
      </c>
      <c r="K14" s="1">
        <f t="shared" si="3"/>
        <v>12206250</v>
      </c>
      <c r="L14" s="2" t="str">
        <f t="shared" si="4"/>
        <v>Popular</v>
      </c>
    </row>
    <row r="15" spans="1:12" x14ac:dyDescent="0.3">
      <c r="A15" t="s">
        <v>12</v>
      </c>
      <c r="B15" t="s">
        <v>39</v>
      </c>
      <c r="C15" s="3">
        <v>4.4000000000000004</v>
      </c>
      <c r="D15" s="3">
        <v>3926</v>
      </c>
      <c r="E15" t="s">
        <v>40</v>
      </c>
      <c r="F15" s="3">
        <v>18.9192596</v>
      </c>
      <c r="G15">
        <v>72.829184499999997</v>
      </c>
      <c r="H15">
        <f t="shared" si="0"/>
        <v>17274.400000000001</v>
      </c>
      <c r="I15" s="3">
        <f t="shared" si="1"/>
        <v>98150</v>
      </c>
      <c r="J15" s="1">
        <f t="shared" si="2"/>
        <v>450</v>
      </c>
      <c r="K15" s="1">
        <f t="shared" si="3"/>
        <v>44167500</v>
      </c>
      <c r="L15" s="2" t="str">
        <f t="shared" si="4"/>
        <v>Popular</v>
      </c>
    </row>
    <row r="16" spans="1:12" x14ac:dyDescent="0.3">
      <c r="A16" t="s">
        <v>12</v>
      </c>
      <c r="B16" t="s">
        <v>41</v>
      </c>
      <c r="C16" s="3">
        <v>3.9</v>
      </c>
      <c r="D16" s="3">
        <v>166</v>
      </c>
      <c r="E16" t="s">
        <v>42</v>
      </c>
      <c r="F16" s="3">
        <v>18.922120400000001</v>
      </c>
      <c r="G16">
        <v>72.832554399999907</v>
      </c>
      <c r="H16">
        <f t="shared" si="0"/>
        <v>647.4</v>
      </c>
      <c r="I16" s="3">
        <f t="shared" si="1"/>
        <v>4150</v>
      </c>
      <c r="J16" s="1">
        <f t="shared" si="2"/>
        <v>350</v>
      </c>
      <c r="K16" s="1">
        <f t="shared" si="3"/>
        <v>1452500</v>
      </c>
      <c r="L16" s="2" t="str">
        <f t="shared" si="4"/>
        <v>Average</v>
      </c>
    </row>
    <row r="17" spans="1:12" x14ac:dyDescent="0.3">
      <c r="A17" t="s">
        <v>12</v>
      </c>
      <c r="B17" t="s">
        <v>43</v>
      </c>
      <c r="C17" s="3">
        <v>3.9</v>
      </c>
      <c r="D17" s="3">
        <v>1747</v>
      </c>
      <c r="E17" t="s">
        <v>44</v>
      </c>
      <c r="F17" s="3">
        <v>18.9190833</v>
      </c>
      <c r="G17">
        <v>72.831969399999906</v>
      </c>
      <c r="H17">
        <f t="shared" si="0"/>
        <v>6813.3</v>
      </c>
      <c r="I17" s="3">
        <f t="shared" si="1"/>
        <v>43675</v>
      </c>
      <c r="J17" s="1">
        <f t="shared" si="2"/>
        <v>350</v>
      </c>
      <c r="K17" s="1">
        <f t="shared" si="3"/>
        <v>15286250</v>
      </c>
      <c r="L17" s="2" t="str">
        <f t="shared" si="4"/>
        <v>Average</v>
      </c>
    </row>
    <row r="18" spans="1:12" x14ac:dyDescent="0.3">
      <c r="A18" t="s">
        <v>12</v>
      </c>
      <c r="B18" t="s">
        <v>45</v>
      </c>
      <c r="C18" s="3">
        <v>4.3</v>
      </c>
      <c r="D18" s="3">
        <v>668</v>
      </c>
      <c r="E18" t="s">
        <v>46</v>
      </c>
      <c r="F18" s="3">
        <v>18.918352899999999</v>
      </c>
      <c r="G18">
        <v>72.827715699999999</v>
      </c>
      <c r="H18">
        <f t="shared" si="0"/>
        <v>2872.4</v>
      </c>
      <c r="I18" s="3">
        <f t="shared" si="1"/>
        <v>16700</v>
      </c>
      <c r="J18" s="1">
        <f t="shared" si="2"/>
        <v>350</v>
      </c>
      <c r="K18" s="1">
        <f t="shared" si="3"/>
        <v>5845000</v>
      </c>
      <c r="L18" s="2" t="str">
        <f t="shared" si="4"/>
        <v>Popular</v>
      </c>
    </row>
    <row r="19" spans="1:12" x14ac:dyDescent="0.3">
      <c r="A19" t="s">
        <v>12</v>
      </c>
      <c r="B19" t="s">
        <v>47</v>
      </c>
      <c r="C19" s="3">
        <v>4.5999999999999996</v>
      </c>
      <c r="D19" s="3">
        <v>3798</v>
      </c>
      <c r="E19" t="s">
        <v>48</v>
      </c>
      <c r="F19" s="3">
        <v>18.900426400000001</v>
      </c>
      <c r="G19">
        <v>72.805011800000003</v>
      </c>
      <c r="H19">
        <f t="shared" si="0"/>
        <v>17470.8</v>
      </c>
      <c r="I19" s="3">
        <f t="shared" si="1"/>
        <v>94950</v>
      </c>
      <c r="J19" s="1">
        <f t="shared" si="2"/>
        <v>450</v>
      </c>
      <c r="K19" s="1">
        <f t="shared" si="3"/>
        <v>42727500</v>
      </c>
      <c r="L19" s="2" t="str">
        <f t="shared" si="4"/>
        <v>Premium</v>
      </c>
    </row>
    <row r="20" spans="1:12" x14ac:dyDescent="0.3">
      <c r="A20" t="s">
        <v>12</v>
      </c>
      <c r="B20" t="s">
        <v>49</v>
      </c>
      <c r="C20" s="3">
        <v>4.3</v>
      </c>
      <c r="D20" s="3">
        <v>335</v>
      </c>
      <c r="E20" t="s">
        <v>50</v>
      </c>
      <c r="F20" s="3">
        <v>18.922621299999999</v>
      </c>
      <c r="G20">
        <v>72.832557199999997</v>
      </c>
      <c r="H20">
        <f t="shared" si="0"/>
        <v>1440.5</v>
      </c>
      <c r="I20" s="3">
        <f t="shared" si="1"/>
        <v>8375</v>
      </c>
      <c r="J20" s="1">
        <f t="shared" si="2"/>
        <v>350</v>
      </c>
      <c r="K20" s="1">
        <f t="shared" si="3"/>
        <v>2931250</v>
      </c>
      <c r="L20" s="2" t="str">
        <f t="shared" si="4"/>
        <v>Popular</v>
      </c>
    </row>
    <row r="21" spans="1:12" x14ac:dyDescent="0.3">
      <c r="A21" t="s">
        <v>12</v>
      </c>
      <c r="B21" t="s">
        <v>51</v>
      </c>
      <c r="C21" s="3">
        <v>4.3</v>
      </c>
      <c r="D21" s="3">
        <v>748</v>
      </c>
      <c r="E21" t="s">
        <v>52</v>
      </c>
      <c r="F21" s="3">
        <v>18.921697399999999</v>
      </c>
      <c r="G21">
        <v>72.8322608</v>
      </c>
      <c r="H21">
        <f t="shared" si="0"/>
        <v>3216.4</v>
      </c>
      <c r="I21" s="3">
        <f t="shared" si="1"/>
        <v>18700</v>
      </c>
      <c r="J21" s="1">
        <f t="shared" si="2"/>
        <v>350</v>
      </c>
      <c r="K21" s="1">
        <f t="shared" si="3"/>
        <v>6545000</v>
      </c>
      <c r="L21" s="2" t="str">
        <f t="shared" si="4"/>
        <v>Popular</v>
      </c>
    </row>
    <row r="22" spans="1:12" x14ac:dyDescent="0.3">
      <c r="A22" t="s">
        <v>12</v>
      </c>
      <c r="B22" t="s">
        <v>53</v>
      </c>
      <c r="C22" s="3">
        <v>4.8</v>
      </c>
      <c r="D22" s="3">
        <v>1251</v>
      </c>
      <c r="E22" t="s">
        <v>54</v>
      </c>
      <c r="F22" s="3">
        <v>18.914994499999999</v>
      </c>
      <c r="G22">
        <v>72.823645099999993</v>
      </c>
      <c r="H22">
        <f t="shared" si="0"/>
        <v>6004.8</v>
      </c>
      <c r="I22" s="3">
        <f t="shared" si="1"/>
        <v>31275</v>
      </c>
      <c r="J22" s="1">
        <f t="shared" si="2"/>
        <v>550</v>
      </c>
      <c r="K22" s="1">
        <f t="shared" si="3"/>
        <v>17201250</v>
      </c>
      <c r="L22" s="2" t="str">
        <f t="shared" si="4"/>
        <v>Premium</v>
      </c>
    </row>
    <row r="23" spans="1:12" x14ac:dyDescent="0.3">
      <c r="A23" t="s">
        <v>12</v>
      </c>
      <c r="B23" t="s">
        <v>55</v>
      </c>
      <c r="C23" s="3">
        <v>4.4000000000000004</v>
      </c>
      <c r="D23" s="3">
        <v>7038</v>
      </c>
      <c r="E23" t="s">
        <v>56</v>
      </c>
      <c r="F23" s="3">
        <v>18.933501499999998</v>
      </c>
      <c r="G23">
        <v>72.826274999999995</v>
      </c>
      <c r="H23">
        <f t="shared" si="0"/>
        <v>30967.200000000001</v>
      </c>
      <c r="I23" s="3">
        <f t="shared" si="1"/>
        <v>175950</v>
      </c>
      <c r="J23" s="1">
        <f t="shared" si="2"/>
        <v>450</v>
      </c>
      <c r="K23" s="1">
        <f t="shared" si="3"/>
        <v>79177500</v>
      </c>
      <c r="L23" s="2" t="str">
        <f t="shared" si="4"/>
        <v>Popular</v>
      </c>
    </row>
    <row r="24" spans="1:12" x14ac:dyDescent="0.3">
      <c r="A24" t="s">
        <v>12</v>
      </c>
      <c r="B24" t="s">
        <v>57</v>
      </c>
      <c r="C24" s="3">
        <v>4.4000000000000004</v>
      </c>
      <c r="D24" s="3">
        <v>1907</v>
      </c>
      <c r="E24" t="s">
        <v>58</v>
      </c>
      <c r="F24" s="3">
        <v>18.922055400000001</v>
      </c>
      <c r="G24">
        <v>72.833038700000003</v>
      </c>
      <c r="H24">
        <f t="shared" si="0"/>
        <v>8390.8000000000011</v>
      </c>
      <c r="I24" s="3">
        <f t="shared" si="1"/>
        <v>47675</v>
      </c>
      <c r="J24" s="1">
        <f t="shared" si="2"/>
        <v>450</v>
      </c>
      <c r="K24" s="1">
        <f t="shared" si="3"/>
        <v>21453750</v>
      </c>
      <c r="L24" s="2" t="str">
        <f t="shared" si="4"/>
        <v>Popular</v>
      </c>
    </row>
    <row r="25" spans="1:12" x14ac:dyDescent="0.3">
      <c r="A25" t="s">
        <v>12</v>
      </c>
      <c r="B25" t="s">
        <v>59</v>
      </c>
      <c r="C25" s="3">
        <v>4.3</v>
      </c>
      <c r="D25" s="3">
        <v>2111</v>
      </c>
      <c r="E25" t="s">
        <v>60</v>
      </c>
      <c r="F25" s="3">
        <v>18.936138199999998</v>
      </c>
      <c r="G25">
        <v>72.837612300000004</v>
      </c>
      <c r="H25">
        <f t="shared" si="0"/>
        <v>9077.2999999999993</v>
      </c>
      <c r="I25" s="3">
        <f t="shared" si="1"/>
        <v>52775</v>
      </c>
      <c r="J25" s="1">
        <f t="shared" si="2"/>
        <v>350</v>
      </c>
      <c r="K25" s="1">
        <f t="shared" si="3"/>
        <v>18471250</v>
      </c>
      <c r="L25" s="2" t="str">
        <f t="shared" si="4"/>
        <v>Popular</v>
      </c>
    </row>
    <row r="26" spans="1:12" x14ac:dyDescent="0.3">
      <c r="A26" t="s">
        <v>12</v>
      </c>
      <c r="B26" t="s">
        <v>61</v>
      </c>
      <c r="C26" s="3">
        <v>4.5</v>
      </c>
      <c r="D26" s="3">
        <v>128</v>
      </c>
      <c r="E26" t="s">
        <v>62</v>
      </c>
      <c r="F26" s="3">
        <v>18.921534000000001</v>
      </c>
      <c r="G26">
        <v>72.828177999999994</v>
      </c>
      <c r="H26">
        <f t="shared" si="0"/>
        <v>576</v>
      </c>
      <c r="I26" s="3">
        <f t="shared" si="1"/>
        <v>3200</v>
      </c>
      <c r="J26" s="1">
        <f t="shared" si="2"/>
        <v>450</v>
      </c>
      <c r="K26" s="1">
        <f t="shared" si="3"/>
        <v>1440000</v>
      </c>
      <c r="L26" s="2" t="str">
        <f t="shared" si="4"/>
        <v>Premium</v>
      </c>
    </row>
    <row r="27" spans="1:12" x14ac:dyDescent="0.3">
      <c r="A27" t="s">
        <v>12</v>
      </c>
      <c r="B27" t="s">
        <v>63</v>
      </c>
      <c r="C27" s="3">
        <v>4</v>
      </c>
      <c r="D27" s="3">
        <v>3057</v>
      </c>
      <c r="E27" t="s">
        <v>64</v>
      </c>
      <c r="F27" s="3">
        <v>18.918354000000001</v>
      </c>
      <c r="G27">
        <v>72.828256499999995</v>
      </c>
      <c r="H27">
        <f t="shared" si="0"/>
        <v>12228</v>
      </c>
      <c r="I27" s="3">
        <f t="shared" si="1"/>
        <v>76425</v>
      </c>
      <c r="J27" s="1">
        <f t="shared" si="2"/>
        <v>350</v>
      </c>
      <c r="K27" s="1">
        <f t="shared" si="3"/>
        <v>26748750</v>
      </c>
      <c r="L27" s="2" t="str">
        <f t="shared" si="4"/>
        <v>Popular</v>
      </c>
    </row>
    <row r="28" spans="1:12" x14ac:dyDescent="0.3">
      <c r="A28" t="s">
        <v>12</v>
      </c>
      <c r="B28" t="s">
        <v>65</v>
      </c>
      <c r="C28" s="3">
        <v>4.5999999999999996</v>
      </c>
      <c r="D28" s="3">
        <v>2871</v>
      </c>
      <c r="E28" t="s">
        <v>66</v>
      </c>
      <c r="F28" s="3">
        <v>18.924175999999999</v>
      </c>
      <c r="G28">
        <v>72.833066899999906</v>
      </c>
      <c r="H28">
        <f t="shared" si="0"/>
        <v>13206.599999999999</v>
      </c>
      <c r="I28" s="3">
        <f t="shared" si="1"/>
        <v>71775</v>
      </c>
      <c r="J28" s="1">
        <f t="shared" si="2"/>
        <v>450</v>
      </c>
      <c r="K28" s="1">
        <f t="shared" si="3"/>
        <v>32298750</v>
      </c>
      <c r="L28" s="2" t="str">
        <f t="shared" si="4"/>
        <v>Premium</v>
      </c>
    </row>
    <row r="29" spans="1:12" x14ac:dyDescent="0.3">
      <c r="A29" t="s">
        <v>12</v>
      </c>
      <c r="B29" t="s">
        <v>67</v>
      </c>
      <c r="C29" s="3">
        <v>4</v>
      </c>
      <c r="D29" s="3">
        <v>373</v>
      </c>
      <c r="E29" t="s">
        <v>68</v>
      </c>
      <c r="F29" s="3">
        <v>18.9175127</v>
      </c>
      <c r="G29">
        <v>72.827568200000002</v>
      </c>
      <c r="H29">
        <f t="shared" si="0"/>
        <v>1492</v>
      </c>
      <c r="I29" s="3">
        <f t="shared" si="1"/>
        <v>9325</v>
      </c>
      <c r="J29" s="1">
        <f t="shared" si="2"/>
        <v>350</v>
      </c>
      <c r="K29" s="1">
        <f t="shared" si="3"/>
        <v>3263750</v>
      </c>
      <c r="L29" s="2" t="str">
        <f t="shared" si="4"/>
        <v>Popular</v>
      </c>
    </row>
    <row r="30" spans="1:12" x14ac:dyDescent="0.3">
      <c r="A30" t="s">
        <v>12</v>
      </c>
      <c r="B30" t="s">
        <v>69</v>
      </c>
      <c r="C30" s="3">
        <v>4.4000000000000004</v>
      </c>
      <c r="D30" s="3">
        <v>1264</v>
      </c>
      <c r="E30" t="s">
        <v>70</v>
      </c>
      <c r="F30" s="3">
        <v>18.921610999999999</v>
      </c>
      <c r="G30">
        <v>72.833305099999905</v>
      </c>
      <c r="H30">
        <f t="shared" si="0"/>
        <v>5561.6</v>
      </c>
      <c r="I30" s="3">
        <f t="shared" si="1"/>
        <v>31600</v>
      </c>
      <c r="J30" s="1">
        <f t="shared" si="2"/>
        <v>450</v>
      </c>
      <c r="K30" s="1">
        <f t="shared" si="3"/>
        <v>14220000</v>
      </c>
      <c r="L30" s="2" t="str">
        <f t="shared" si="4"/>
        <v>Popular</v>
      </c>
    </row>
    <row r="31" spans="1:12" x14ac:dyDescent="0.3">
      <c r="A31" t="s">
        <v>12</v>
      </c>
      <c r="B31" t="s">
        <v>71</v>
      </c>
      <c r="C31" s="3">
        <v>4.5</v>
      </c>
      <c r="D31" s="3">
        <v>690</v>
      </c>
      <c r="E31" t="s">
        <v>72</v>
      </c>
      <c r="F31" s="3">
        <v>18.922055400000001</v>
      </c>
      <c r="G31">
        <v>72.833038700000003</v>
      </c>
      <c r="H31">
        <f t="shared" si="0"/>
        <v>3105</v>
      </c>
      <c r="I31" s="3">
        <f t="shared" si="1"/>
        <v>17250</v>
      </c>
      <c r="J31" s="1">
        <f t="shared" si="2"/>
        <v>450</v>
      </c>
      <c r="K31" s="1">
        <f t="shared" si="3"/>
        <v>7762500</v>
      </c>
      <c r="L31" s="2" t="str">
        <f t="shared" si="4"/>
        <v>Premium</v>
      </c>
    </row>
    <row r="32" spans="1:12" x14ac:dyDescent="0.3">
      <c r="A32" t="s">
        <v>12</v>
      </c>
      <c r="B32" t="s">
        <v>73</v>
      </c>
      <c r="C32" s="3">
        <v>4.5</v>
      </c>
      <c r="D32" s="3">
        <v>3434</v>
      </c>
      <c r="E32" t="s">
        <v>74</v>
      </c>
      <c r="F32" s="3">
        <v>18.9215418</v>
      </c>
      <c r="G32">
        <v>72.832518699999994</v>
      </c>
      <c r="H32">
        <f t="shared" si="0"/>
        <v>15453</v>
      </c>
      <c r="I32" s="3">
        <f t="shared" si="1"/>
        <v>85850</v>
      </c>
      <c r="J32" s="1">
        <f t="shared" si="2"/>
        <v>450</v>
      </c>
      <c r="K32" s="1">
        <f t="shared" si="3"/>
        <v>38632500</v>
      </c>
      <c r="L32" s="2" t="str">
        <f t="shared" si="4"/>
        <v>Premium</v>
      </c>
    </row>
    <row r="33" spans="1:12" x14ac:dyDescent="0.3">
      <c r="A33" t="s">
        <v>12</v>
      </c>
      <c r="B33" t="s">
        <v>75</v>
      </c>
      <c r="C33" s="3">
        <v>4.0999999999999996</v>
      </c>
      <c r="D33" s="3">
        <v>804</v>
      </c>
      <c r="E33" t="s">
        <v>76</v>
      </c>
      <c r="F33" s="3">
        <v>18.922256999999998</v>
      </c>
      <c r="G33">
        <v>72.832141300000004</v>
      </c>
      <c r="H33">
        <f t="shared" si="0"/>
        <v>3296.3999999999996</v>
      </c>
      <c r="I33" s="3">
        <f t="shared" si="1"/>
        <v>20100</v>
      </c>
      <c r="J33" s="1">
        <f t="shared" si="2"/>
        <v>350</v>
      </c>
      <c r="K33" s="1">
        <f t="shared" si="3"/>
        <v>7035000</v>
      </c>
      <c r="L33" s="2" t="str">
        <f t="shared" si="4"/>
        <v>Popular</v>
      </c>
    </row>
    <row r="34" spans="1:12" x14ac:dyDescent="0.3">
      <c r="A34" t="s">
        <v>12</v>
      </c>
      <c r="B34" t="s">
        <v>77</v>
      </c>
      <c r="C34" s="3">
        <v>4.4000000000000004</v>
      </c>
      <c r="D34" s="3">
        <v>4278</v>
      </c>
      <c r="E34" t="s">
        <v>78</v>
      </c>
      <c r="F34" s="3">
        <v>18.928277099999999</v>
      </c>
      <c r="G34">
        <v>72.831861000000004</v>
      </c>
      <c r="H34">
        <f t="shared" si="0"/>
        <v>18823.2</v>
      </c>
      <c r="I34" s="3">
        <f t="shared" si="1"/>
        <v>106950</v>
      </c>
      <c r="J34" s="1">
        <f t="shared" si="2"/>
        <v>450</v>
      </c>
      <c r="K34" s="1">
        <f t="shared" si="3"/>
        <v>48127500</v>
      </c>
      <c r="L34" s="2" t="str">
        <f t="shared" si="4"/>
        <v>Popular</v>
      </c>
    </row>
    <row r="35" spans="1:12" x14ac:dyDescent="0.3">
      <c r="A35" t="s">
        <v>12</v>
      </c>
      <c r="B35" t="s">
        <v>79</v>
      </c>
      <c r="C35" s="3">
        <v>4.4000000000000004</v>
      </c>
      <c r="D35" s="3">
        <v>2316</v>
      </c>
      <c r="E35" t="s">
        <v>80</v>
      </c>
      <c r="F35" s="3">
        <v>18.9248583</v>
      </c>
      <c r="G35">
        <v>72.831855599999997</v>
      </c>
      <c r="H35">
        <f t="shared" si="0"/>
        <v>10190.400000000001</v>
      </c>
      <c r="I35" s="3">
        <f t="shared" si="1"/>
        <v>57900</v>
      </c>
      <c r="J35" s="1">
        <f t="shared" si="2"/>
        <v>450</v>
      </c>
      <c r="K35" s="1">
        <f t="shared" si="3"/>
        <v>26055000</v>
      </c>
      <c r="L35" s="2" t="str">
        <f t="shared" si="4"/>
        <v>Popular</v>
      </c>
    </row>
    <row r="36" spans="1:12" x14ac:dyDescent="0.3">
      <c r="A36" t="s">
        <v>12</v>
      </c>
      <c r="B36" t="s">
        <v>81</v>
      </c>
      <c r="C36" s="3">
        <v>4.4000000000000004</v>
      </c>
      <c r="D36" s="3">
        <v>478</v>
      </c>
      <c r="E36" t="s">
        <v>82</v>
      </c>
      <c r="F36" s="3">
        <v>18.935954500000001</v>
      </c>
      <c r="G36">
        <v>72.840635300000002</v>
      </c>
      <c r="H36">
        <f t="shared" si="0"/>
        <v>2103.2000000000003</v>
      </c>
      <c r="I36" s="3">
        <f t="shared" si="1"/>
        <v>11950</v>
      </c>
      <c r="J36" s="1">
        <f t="shared" si="2"/>
        <v>450</v>
      </c>
      <c r="K36" s="1">
        <f t="shared" si="3"/>
        <v>5377500</v>
      </c>
      <c r="L36" s="2" t="str">
        <f t="shared" si="4"/>
        <v>Popular</v>
      </c>
    </row>
    <row r="37" spans="1:12" x14ac:dyDescent="0.3">
      <c r="A37" t="s">
        <v>12</v>
      </c>
      <c r="B37" t="s">
        <v>83</v>
      </c>
      <c r="C37" s="3">
        <v>3.9</v>
      </c>
      <c r="D37" s="3">
        <v>4866</v>
      </c>
      <c r="E37" t="s">
        <v>84</v>
      </c>
      <c r="F37" s="3">
        <v>18.918294400000001</v>
      </c>
      <c r="G37">
        <v>72.830873699999998</v>
      </c>
      <c r="H37">
        <f t="shared" si="0"/>
        <v>18977.399999999998</v>
      </c>
      <c r="I37" s="3">
        <f t="shared" si="1"/>
        <v>121650</v>
      </c>
      <c r="J37" s="1">
        <f t="shared" si="2"/>
        <v>350</v>
      </c>
      <c r="K37" s="1">
        <f t="shared" si="3"/>
        <v>42577500</v>
      </c>
      <c r="L37" s="2" t="str">
        <f t="shared" si="4"/>
        <v>Average</v>
      </c>
    </row>
    <row r="38" spans="1:12" x14ac:dyDescent="0.3">
      <c r="A38" t="s">
        <v>12</v>
      </c>
      <c r="B38" t="s">
        <v>85</v>
      </c>
      <c r="C38" s="3">
        <v>4.0999999999999996</v>
      </c>
      <c r="D38" s="3">
        <v>1439</v>
      </c>
      <c r="E38" t="s">
        <v>86</v>
      </c>
      <c r="F38" s="3">
        <v>18.937572299999999</v>
      </c>
      <c r="G38">
        <v>72.833657099999996</v>
      </c>
      <c r="H38">
        <f t="shared" si="0"/>
        <v>5899.9</v>
      </c>
      <c r="I38" s="3">
        <f t="shared" si="1"/>
        <v>35975</v>
      </c>
      <c r="J38" s="1">
        <f t="shared" si="2"/>
        <v>350</v>
      </c>
      <c r="K38" s="1">
        <f t="shared" si="3"/>
        <v>12591250</v>
      </c>
      <c r="L38" s="2" t="str">
        <f t="shared" si="4"/>
        <v>Popular</v>
      </c>
    </row>
    <row r="39" spans="1:12" x14ac:dyDescent="0.3">
      <c r="A39" t="s">
        <v>12</v>
      </c>
      <c r="B39" t="s">
        <v>87</v>
      </c>
      <c r="C39" s="3">
        <v>4.5</v>
      </c>
      <c r="D39" s="3">
        <v>139</v>
      </c>
      <c r="E39" t="s">
        <v>88</v>
      </c>
      <c r="F39" s="3">
        <v>18.9200035</v>
      </c>
      <c r="G39">
        <v>72.8301917</v>
      </c>
      <c r="H39">
        <f t="shared" si="0"/>
        <v>625.5</v>
      </c>
      <c r="I39" s="3">
        <f t="shared" si="1"/>
        <v>3475</v>
      </c>
      <c r="J39" s="1">
        <f t="shared" si="2"/>
        <v>450</v>
      </c>
      <c r="K39" s="1">
        <f t="shared" si="3"/>
        <v>1563750</v>
      </c>
      <c r="L39" s="2" t="str">
        <f t="shared" si="4"/>
        <v>Premium</v>
      </c>
    </row>
    <row r="40" spans="1:12" x14ac:dyDescent="0.3">
      <c r="A40" t="s">
        <v>12</v>
      </c>
      <c r="B40" t="s">
        <v>89</v>
      </c>
      <c r="C40" s="3">
        <v>4.3</v>
      </c>
      <c r="D40" s="3">
        <v>66</v>
      </c>
      <c r="E40" t="s">
        <v>90</v>
      </c>
      <c r="F40" s="3">
        <v>18.9176936</v>
      </c>
      <c r="G40">
        <v>72.827708599999994</v>
      </c>
      <c r="H40">
        <f t="shared" si="0"/>
        <v>283.8</v>
      </c>
      <c r="I40" s="3">
        <f t="shared" si="1"/>
        <v>1650</v>
      </c>
      <c r="J40" s="1">
        <f t="shared" si="2"/>
        <v>350</v>
      </c>
      <c r="K40" s="1">
        <f t="shared" si="3"/>
        <v>577500</v>
      </c>
      <c r="L40" s="2" t="str">
        <f t="shared" si="4"/>
        <v>Popular</v>
      </c>
    </row>
    <row r="41" spans="1:12" x14ac:dyDescent="0.3">
      <c r="A41" t="s">
        <v>12</v>
      </c>
      <c r="B41" t="s">
        <v>91</v>
      </c>
      <c r="C41" s="3">
        <v>3.9</v>
      </c>
      <c r="D41" s="3">
        <v>157</v>
      </c>
      <c r="E41" t="s">
        <v>92</v>
      </c>
      <c r="F41" s="3">
        <v>18.919003</v>
      </c>
      <c r="G41">
        <v>72.830482000000003</v>
      </c>
      <c r="H41">
        <f t="shared" si="0"/>
        <v>612.29999999999995</v>
      </c>
      <c r="I41" s="3">
        <f t="shared" si="1"/>
        <v>3925</v>
      </c>
      <c r="J41" s="1">
        <f t="shared" si="2"/>
        <v>350</v>
      </c>
      <c r="K41" s="1">
        <f t="shared" si="3"/>
        <v>1373750</v>
      </c>
      <c r="L41" s="2" t="str">
        <f t="shared" si="4"/>
        <v>Average</v>
      </c>
    </row>
    <row r="42" spans="1:12" x14ac:dyDescent="0.3">
      <c r="A42" t="s">
        <v>12</v>
      </c>
      <c r="B42" t="s">
        <v>93</v>
      </c>
      <c r="C42" s="3">
        <v>3.9</v>
      </c>
      <c r="D42" s="3">
        <v>689</v>
      </c>
      <c r="E42" t="s">
        <v>94</v>
      </c>
      <c r="F42" s="3">
        <v>18.924903700000002</v>
      </c>
      <c r="G42">
        <v>72.831838599999998</v>
      </c>
      <c r="H42">
        <f t="shared" si="0"/>
        <v>2687.1</v>
      </c>
      <c r="I42" s="3">
        <f t="shared" si="1"/>
        <v>17225</v>
      </c>
      <c r="J42" s="1">
        <f t="shared" si="2"/>
        <v>350</v>
      </c>
      <c r="K42" s="1">
        <f t="shared" si="3"/>
        <v>6028750</v>
      </c>
      <c r="L42" s="2" t="str">
        <f t="shared" si="4"/>
        <v>Average</v>
      </c>
    </row>
    <row r="43" spans="1:12" x14ac:dyDescent="0.3">
      <c r="A43" t="s">
        <v>12</v>
      </c>
      <c r="B43" t="s">
        <v>95</v>
      </c>
      <c r="C43" s="3">
        <v>3.7</v>
      </c>
      <c r="D43" s="3">
        <v>24277</v>
      </c>
      <c r="E43" t="s">
        <v>96</v>
      </c>
      <c r="F43" s="3">
        <v>18.923235900000002</v>
      </c>
      <c r="G43">
        <v>72.832522599999905</v>
      </c>
      <c r="H43">
        <f t="shared" si="0"/>
        <v>89824.900000000009</v>
      </c>
      <c r="I43" s="3">
        <f t="shared" si="1"/>
        <v>606925</v>
      </c>
      <c r="J43" s="1">
        <f t="shared" si="2"/>
        <v>350</v>
      </c>
      <c r="K43" s="1">
        <f t="shared" si="3"/>
        <v>212423750</v>
      </c>
      <c r="L43" s="2" t="str">
        <f t="shared" si="4"/>
        <v>Average</v>
      </c>
    </row>
    <row r="44" spans="1:12" x14ac:dyDescent="0.3">
      <c r="A44" t="s">
        <v>12</v>
      </c>
      <c r="B44" t="s">
        <v>97</v>
      </c>
      <c r="C44" s="3">
        <v>4.0999999999999996</v>
      </c>
      <c r="D44" s="3">
        <v>9027</v>
      </c>
      <c r="E44" t="s">
        <v>98</v>
      </c>
      <c r="F44" s="3">
        <v>18.922880599999999</v>
      </c>
      <c r="G44">
        <v>72.832390000000004</v>
      </c>
      <c r="H44">
        <f t="shared" si="0"/>
        <v>37010.699999999997</v>
      </c>
      <c r="I44" s="3">
        <f t="shared" si="1"/>
        <v>225675</v>
      </c>
      <c r="J44" s="1">
        <f t="shared" si="2"/>
        <v>350</v>
      </c>
      <c r="K44" s="1">
        <f t="shared" si="3"/>
        <v>78986250</v>
      </c>
      <c r="L44" s="2" t="str">
        <f t="shared" si="4"/>
        <v>Popular</v>
      </c>
    </row>
    <row r="45" spans="1:12" x14ac:dyDescent="0.3">
      <c r="A45" t="s">
        <v>12</v>
      </c>
      <c r="B45" t="s">
        <v>99</v>
      </c>
      <c r="C45" s="3">
        <v>4.4000000000000004</v>
      </c>
      <c r="D45" s="3">
        <v>3004</v>
      </c>
      <c r="E45" t="s">
        <v>100</v>
      </c>
      <c r="F45" s="3">
        <v>18.928371500000001</v>
      </c>
      <c r="G45">
        <v>72.833741599999996</v>
      </c>
      <c r="H45">
        <f t="shared" si="0"/>
        <v>13217.6</v>
      </c>
      <c r="I45" s="3">
        <f t="shared" si="1"/>
        <v>75100</v>
      </c>
      <c r="J45" s="1">
        <f t="shared" si="2"/>
        <v>450</v>
      </c>
      <c r="K45" s="1">
        <f t="shared" si="3"/>
        <v>33795000</v>
      </c>
      <c r="L45" s="2" t="str">
        <f t="shared" si="4"/>
        <v>Popular</v>
      </c>
    </row>
    <row r="46" spans="1:12" x14ac:dyDescent="0.3">
      <c r="A46" t="s">
        <v>12</v>
      </c>
      <c r="B46" t="s">
        <v>101</v>
      </c>
      <c r="C46" s="3">
        <v>4.3</v>
      </c>
      <c r="D46" s="3">
        <v>1197</v>
      </c>
      <c r="E46" t="s">
        <v>102</v>
      </c>
      <c r="F46" s="3">
        <v>18.9242381</v>
      </c>
      <c r="G46">
        <v>72.833314099999996</v>
      </c>
      <c r="H46">
        <f t="shared" si="0"/>
        <v>5147.0999999999995</v>
      </c>
      <c r="I46" s="3">
        <f t="shared" si="1"/>
        <v>29925</v>
      </c>
      <c r="J46" s="1">
        <f t="shared" si="2"/>
        <v>350</v>
      </c>
      <c r="K46" s="1">
        <f t="shared" si="3"/>
        <v>10473750</v>
      </c>
      <c r="L46" s="2" t="str">
        <f t="shared" si="4"/>
        <v>Popular</v>
      </c>
    </row>
    <row r="47" spans="1:12" x14ac:dyDescent="0.3">
      <c r="A47" t="s">
        <v>12</v>
      </c>
      <c r="B47" t="s">
        <v>103</v>
      </c>
      <c r="C47" s="3">
        <v>4.3</v>
      </c>
      <c r="D47" s="3">
        <v>58</v>
      </c>
      <c r="E47" t="s">
        <v>104</v>
      </c>
      <c r="F47" s="3">
        <v>18.915061099999999</v>
      </c>
      <c r="G47">
        <v>72.824283499999893</v>
      </c>
      <c r="H47">
        <f t="shared" si="0"/>
        <v>249.39999999999998</v>
      </c>
      <c r="I47" s="3">
        <f t="shared" si="1"/>
        <v>1450</v>
      </c>
      <c r="J47" s="1">
        <f t="shared" si="2"/>
        <v>350</v>
      </c>
      <c r="K47" s="1">
        <f t="shared" si="3"/>
        <v>507500</v>
      </c>
      <c r="L47" s="2" t="str">
        <f t="shared" si="4"/>
        <v>Popular</v>
      </c>
    </row>
    <row r="48" spans="1:12" x14ac:dyDescent="0.3">
      <c r="A48" t="s">
        <v>12</v>
      </c>
      <c r="B48" t="s">
        <v>105</v>
      </c>
      <c r="C48" s="3">
        <v>4.4000000000000004</v>
      </c>
      <c r="D48" s="3">
        <v>2503</v>
      </c>
      <c r="E48" t="s">
        <v>106</v>
      </c>
      <c r="F48" s="3">
        <v>18.917366399999999</v>
      </c>
      <c r="G48">
        <v>72.824587199999996</v>
      </c>
      <c r="H48">
        <f t="shared" si="0"/>
        <v>11013.2</v>
      </c>
      <c r="I48" s="3">
        <f t="shared" si="1"/>
        <v>62575</v>
      </c>
      <c r="J48" s="1">
        <f t="shared" si="2"/>
        <v>450</v>
      </c>
      <c r="K48" s="1">
        <f t="shared" si="3"/>
        <v>28158750</v>
      </c>
      <c r="L48" s="2" t="str">
        <f t="shared" si="4"/>
        <v>Popular</v>
      </c>
    </row>
    <row r="49" spans="1:12" x14ac:dyDescent="0.3">
      <c r="A49" t="s">
        <v>12</v>
      </c>
      <c r="B49" t="s">
        <v>107</v>
      </c>
      <c r="C49" s="3">
        <v>4.4000000000000004</v>
      </c>
      <c r="D49" s="3">
        <v>110</v>
      </c>
      <c r="E49" t="s">
        <v>108</v>
      </c>
      <c r="F49" s="3">
        <v>18.923784600000001</v>
      </c>
      <c r="G49">
        <v>72.832608899999997</v>
      </c>
      <c r="H49">
        <f t="shared" si="0"/>
        <v>484.00000000000006</v>
      </c>
      <c r="I49" s="3">
        <f t="shared" si="1"/>
        <v>2750</v>
      </c>
      <c r="J49" s="1">
        <f t="shared" si="2"/>
        <v>450</v>
      </c>
      <c r="K49" s="1">
        <f t="shared" si="3"/>
        <v>1237500</v>
      </c>
      <c r="L49" s="2" t="str">
        <f t="shared" si="4"/>
        <v>Popular</v>
      </c>
    </row>
    <row r="50" spans="1:12" x14ac:dyDescent="0.3">
      <c r="A50" t="s">
        <v>12</v>
      </c>
      <c r="B50" t="s">
        <v>109</v>
      </c>
      <c r="C50" s="3">
        <v>4.4000000000000004</v>
      </c>
      <c r="D50" s="3">
        <v>1569</v>
      </c>
      <c r="E50" t="s">
        <v>110</v>
      </c>
      <c r="F50" s="3">
        <v>18.923695899999998</v>
      </c>
      <c r="G50">
        <v>72.832431599999893</v>
      </c>
      <c r="H50">
        <f t="shared" si="0"/>
        <v>6903.6</v>
      </c>
      <c r="I50" s="3">
        <f t="shared" si="1"/>
        <v>39225</v>
      </c>
      <c r="J50" s="1">
        <f t="shared" si="2"/>
        <v>450</v>
      </c>
      <c r="K50" s="1">
        <f t="shared" si="3"/>
        <v>17651250</v>
      </c>
      <c r="L50" s="2" t="str">
        <f t="shared" si="4"/>
        <v>Popular</v>
      </c>
    </row>
    <row r="51" spans="1:12" x14ac:dyDescent="0.3">
      <c r="A51" t="s">
        <v>12</v>
      </c>
      <c r="B51" t="s">
        <v>111</v>
      </c>
      <c r="C51" s="3">
        <v>4.0999999999999996</v>
      </c>
      <c r="D51" s="3">
        <v>139</v>
      </c>
      <c r="E51" t="s">
        <v>112</v>
      </c>
      <c r="F51" s="3">
        <v>18.923876799999999</v>
      </c>
      <c r="G51">
        <v>72.833338900000001</v>
      </c>
      <c r="H51">
        <f t="shared" si="0"/>
        <v>569.9</v>
      </c>
      <c r="I51" s="3">
        <f t="shared" si="1"/>
        <v>3475</v>
      </c>
      <c r="J51" s="1">
        <f t="shared" si="2"/>
        <v>350</v>
      </c>
      <c r="K51" s="1">
        <f t="shared" si="3"/>
        <v>1216250</v>
      </c>
      <c r="L51" s="2" t="str">
        <f t="shared" si="4"/>
        <v>Popular</v>
      </c>
    </row>
    <row r="52" spans="1:12" x14ac:dyDescent="0.3">
      <c r="A52" t="s">
        <v>12</v>
      </c>
      <c r="B52" t="s">
        <v>113</v>
      </c>
      <c r="C52" s="3">
        <v>4</v>
      </c>
      <c r="D52" s="3">
        <v>2950</v>
      </c>
      <c r="E52" t="s">
        <v>114</v>
      </c>
      <c r="F52" s="3">
        <v>18.9296112</v>
      </c>
      <c r="G52">
        <v>72.834567699999994</v>
      </c>
      <c r="H52">
        <f t="shared" si="0"/>
        <v>11800</v>
      </c>
      <c r="I52" s="3">
        <f t="shared" si="1"/>
        <v>73750</v>
      </c>
      <c r="J52" s="1">
        <f t="shared" si="2"/>
        <v>350</v>
      </c>
      <c r="K52" s="1">
        <f t="shared" si="3"/>
        <v>25812500</v>
      </c>
      <c r="L52" s="2" t="str">
        <f t="shared" si="4"/>
        <v>Popular</v>
      </c>
    </row>
    <row r="53" spans="1:12" x14ac:dyDescent="0.3">
      <c r="A53" t="s">
        <v>12</v>
      </c>
      <c r="B53" t="s">
        <v>115</v>
      </c>
      <c r="C53" s="3">
        <v>4.5</v>
      </c>
      <c r="D53" s="3">
        <v>965</v>
      </c>
      <c r="E53" t="s">
        <v>116</v>
      </c>
      <c r="F53" s="3">
        <v>18.9242223</v>
      </c>
      <c r="G53">
        <v>72.833541499999995</v>
      </c>
      <c r="H53">
        <f t="shared" si="0"/>
        <v>4342.5</v>
      </c>
      <c r="I53" s="3">
        <f t="shared" si="1"/>
        <v>24125</v>
      </c>
      <c r="J53" s="1">
        <f t="shared" si="2"/>
        <v>450</v>
      </c>
      <c r="K53" s="1">
        <f t="shared" si="3"/>
        <v>10856250</v>
      </c>
      <c r="L53" s="2" t="str">
        <f t="shared" si="4"/>
        <v>Premium</v>
      </c>
    </row>
    <row r="54" spans="1:12" x14ac:dyDescent="0.3">
      <c r="A54" t="s">
        <v>12</v>
      </c>
      <c r="B54" t="s">
        <v>117</v>
      </c>
      <c r="C54" s="3">
        <v>4.5999999999999996</v>
      </c>
      <c r="D54" s="3">
        <v>466</v>
      </c>
      <c r="E54" t="s">
        <v>118</v>
      </c>
      <c r="F54" s="3">
        <v>18.9276746</v>
      </c>
      <c r="G54">
        <v>72.820946000000006</v>
      </c>
      <c r="H54">
        <f t="shared" si="0"/>
        <v>2143.6</v>
      </c>
      <c r="I54" s="3">
        <f t="shared" si="1"/>
        <v>11650</v>
      </c>
      <c r="J54" s="1">
        <f t="shared" si="2"/>
        <v>450</v>
      </c>
      <c r="K54" s="1">
        <f t="shared" si="3"/>
        <v>5242500</v>
      </c>
      <c r="L54" s="2" t="str">
        <f t="shared" si="4"/>
        <v>Premium</v>
      </c>
    </row>
    <row r="55" spans="1:12" x14ac:dyDescent="0.3">
      <c r="A55" t="s">
        <v>12</v>
      </c>
      <c r="B55" t="s">
        <v>119</v>
      </c>
      <c r="C55" s="3">
        <v>5</v>
      </c>
      <c r="D55" s="3">
        <v>16</v>
      </c>
      <c r="E55" t="s">
        <v>120</v>
      </c>
      <c r="F55" s="3">
        <v>18.9256998</v>
      </c>
      <c r="G55">
        <v>72.829637199999993</v>
      </c>
      <c r="H55">
        <f t="shared" si="0"/>
        <v>80</v>
      </c>
      <c r="I55" s="3">
        <f t="shared" si="1"/>
        <v>400</v>
      </c>
      <c r="J55" s="1">
        <f t="shared" si="2"/>
        <v>550</v>
      </c>
      <c r="K55" s="1">
        <f t="shared" si="3"/>
        <v>220000</v>
      </c>
      <c r="L55" s="2" t="str">
        <f t="shared" si="4"/>
        <v>Premium</v>
      </c>
    </row>
    <row r="56" spans="1:12" x14ac:dyDescent="0.3">
      <c r="A56" t="s">
        <v>12</v>
      </c>
      <c r="B56" t="s">
        <v>121</v>
      </c>
      <c r="C56" s="3">
        <v>4.4000000000000004</v>
      </c>
      <c r="D56" s="3">
        <v>1239</v>
      </c>
      <c r="E56" t="s">
        <v>122</v>
      </c>
      <c r="F56" s="3">
        <v>18.924139100000001</v>
      </c>
      <c r="G56">
        <v>72.832957100000002</v>
      </c>
      <c r="H56">
        <f t="shared" si="0"/>
        <v>5451.6</v>
      </c>
      <c r="I56" s="3">
        <f t="shared" si="1"/>
        <v>30975</v>
      </c>
      <c r="J56" s="1">
        <f t="shared" si="2"/>
        <v>450</v>
      </c>
      <c r="K56" s="1">
        <f t="shared" si="3"/>
        <v>13938750</v>
      </c>
      <c r="L56" s="2" t="str">
        <f t="shared" si="4"/>
        <v>Popular</v>
      </c>
    </row>
    <row r="57" spans="1:12" x14ac:dyDescent="0.3">
      <c r="A57" t="s">
        <v>12</v>
      </c>
      <c r="B57" t="s">
        <v>123</v>
      </c>
      <c r="C57" s="3">
        <v>4.5</v>
      </c>
      <c r="D57" s="3">
        <v>197</v>
      </c>
      <c r="E57" t="s">
        <v>124</v>
      </c>
      <c r="F57" s="3">
        <v>18.905807200000002</v>
      </c>
      <c r="G57">
        <v>72.816851599999893</v>
      </c>
      <c r="H57">
        <f t="shared" si="0"/>
        <v>886.5</v>
      </c>
      <c r="I57" s="3">
        <f t="shared" si="1"/>
        <v>4925</v>
      </c>
      <c r="J57" s="1">
        <f t="shared" si="2"/>
        <v>450</v>
      </c>
      <c r="K57" s="1">
        <f t="shared" si="3"/>
        <v>2216250</v>
      </c>
      <c r="L57" s="2" t="str">
        <f t="shared" si="4"/>
        <v>Premium</v>
      </c>
    </row>
    <row r="58" spans="1:12" x14ac:dyDescent="0.3">
      <c r="A58" t="s">
        <v>12</v>
      </c>
      <c r="B58" t="s">
        <v>125</v>
      </c>
      <c r="C58" s="3">
        <v>3.6</v>
      </c>
      <c r="D58" s="3">
        <v>96</v>
      </c>
      <c r="E58" t="s">
        <v>70</v>
      </c>
      <c r="F58" s="3">
        <v>18.921908200000001</v>
      </c>
      <c r="G58">
        <v>72.833253299999996</v>
      </c>
      <c r="H58">
        <f t="shared" si="0"/>
        <v>345.6</v>
      </c>
      <c r="I58" s="3">
        <f t="shared" si="1"/>
        <v>2400</v>
      </c>
      <c r="J58" s="1">
        <f t="shared" si="2"/>
        <v>350</v>
      </c>
      <c r="K58" s="1">
        <f t="shared" si="3"/>
        <v>840000</v>
      </c>
      <c r="L58" s="2" t="str">
        <f t="shared" si="4"/>
        <v>Average</v>
      </c>
    </row>
    <row r="59" spans="1:12" x14ac:dyDescent="0.3">
      <c r="A59" t="s">
        <v>12</v>
      </c>
      <c r="B59" t="s">
        <v>126</v>
      </c>
      <c r="C59" s="3">
        <v>4.3</v>
      </c>
      <c r="D59" s="3">
        <v>606</v>
      </c>
      <c r="E59" t="s">
        <v>127</v>
      </c>
      <c r="F59" s="3">
        <v>18.924929800000001</v>
      </c>
      <c r="G59">
        <v>72.821540599999906</v>
      </c>
      <c r="H59">
        <f t="shared" si="0"/>
        <v>2605.7999999999997</v>
      </c>
      <c r="I59" s="3">
        <f t="shared" si="1"/>
        <v>15150</v>
      </c>
      <c r="J59" s="1">
        <f t="shared" si="2"/>
        <v>350</v>
      </c>
      <c r="K59" s="1">
        <f t="shared" si="3"/>
        <v>5302500</v>
      </c>
      <c r="L59" s="2" t="str">
        <f t="shared" si="4"/>
        <v>Popular</v>
      </c>
    </row>
    <row r="60" spans="1:12" x14ac:dyDescent="0.3">
      <c r="A60" t="s">
        <v>12</v>
      </c>
      <c r="B60" t="s">
        <v>128</v>
      </c>
      <c r="C60" s="3">
        <v>4.5</v>
      </c>
      <c r="D60" s="3">
        <v>937</v>
      </c>
      <c r="E60" t="s">
        <v>129</v>
      </c>
      <c r="F60" s="3">
        <v>18.930039000000001</v>
      </c>
      <c r="G60">
        <v>72.826060099999907</v>
      </c>
      <c r="H60">
        <f t="shared" si="0"/>
        <v>4216.5</v>
      </c>
      <c r="I60" s="3">
        <f t="shared" si="1"/>
        <v>23425</v>
      </c>
      <c r="J60" s="1">
        <f t="shared" si="2"/>
        <v>450</v>
      </c>
      <c r="K60" s="1">
        <f t="shared" si="3"/>
        <v>10541250</v>
      </c>
      <c r="L60" s="2" t="str">
        <f t="shared" si="4"/>
        <v>Premium</v>
      </c>
    </row>
    <row r="61" spans="1:12" x14ac:dyDescent="0.3">
      <c r="A61" t="s">
        <v>12</v>
      </c>
      <c r="B61" t="s">
        <v>130</v>
      </c>
      <c r="C61" s="3">
        <v>4.4000000000000004</v>
      </c>
      <c r="D61" s="3">
        <v>1130</v>
      </c>
      <c r="E61" t="s">
        <v>131</v>
      </c>
      <c r="F61" s="3">
        <v>18.902339099999999</v>
      </c>
      <c r="G61">
        <v>72.8080085</v>
      </c>
      <c r="H61">
        <f t="shared" si="0"/>
        <v>4972</v>
      </c>
      <c r="I61" s="3">
        <f t="shared" si="1"/>
        <v>28250</v>
      </c>
      <c r="J61" s="1">
        <f t="shared" si="2"/>
        <v>450</v>
      </c>
      <c r="K61" s="1">
        <f t="shared" si="3"/>
        <v>12712500</v>
      </c>
      <c r="L61" s="2" t="str">
        <f t="shared" si="4"/>
        <v>Popular</v>
      </c>
    </row>
    <row r="62" spans="1:12" x14ac:dyDescent="0.3">
      <c r="A62" t="s">
        <v>132</v>
      </c>
      <c r="B62" t="s">
        <v>55</v>
      </c>
      <c r="C62" s="3">
        <v>4.4000000000000004</v>
      </c>
      <c r="D62" s="3">
        <v>7038</v>
      </c>
      <c r="E62" t="s">
        <v>56</v>
      </c>
      <c r="F62" s="3">
        <v>18.933501499999998</v>
      </c>
      <c r="G62">
        <v>72.826274999999995</v>
      </c>
      <c r="H62">
        <f t="shared" si="0"/>
        <v>30967.200000000001</v>
      </c>
      <c r="I62" s="3">
        <f t="shared" si="1"/>
        <v>175950</v>
      </c>
      <c r="J62" s="1">
        <f t="shared" si="2"/>
        <v>450</v>
      </c>
      <c r="K62" s="1">
        <f t="shared" si="3"/>
        <v>79177500</v>
      </c>
      <c r="L62" s="2" t="str">
        <f t="shared" si="4"/>
        <v>Popular</v>
      </c>
    </row>
    <row r="63" spans="1:12" x14ac:dyDescent="0.3">
      <c r="A63" t="s">
        <v>132</v>
      </c>
      <c r="B63" t="s">
        <v>29</v>
      </c>
      <c r="C63" s="3">
        <v>4.4000000000000004</v>
      </c>
      <c r="D63" s="3">
        <v>3447</v>
      </c>
      <c r="E63" t="s">
        <v>30</v>
      </c>
      <c r="F63" s="3">
        <v>18.928066999999999</v>
      </c>
      <c r="G63">
        <v>72.832415999999995</v>
      </c>
      <c r="H63">
        <f t="shared" si="0"/>
        <v>15166.800000000001</v>
      </c>
      <c r="I63" s="3">
        <f t="shared" si="1"/>
        <v>86175</v>
      </c>
      <c r="J63" s="1">
        <f t="shared" si="2"/>
        <v>450</v>
      </c>
      <c r="K63" s="1">
        <f t="shared" si="3"/>
        <v>38778750</v>
      </c>
      <c r="L63" s="2" t="str">
        <f t="shared" si="4"/>
        <v>Popular</v>
      </c>
    </row>
    <row r="64" spans="1:12" x14ac:dyDescent="0.3">
      <c r="A64" t="s">
        <v>132</v>
      </c>
      <c r="B64" t="s">
        <v>128</v>
      </c>
      <c r="C64" s="3">
        <v>4.5</v>
      </c>
      <c r="D64" s="3">
        <v>937</v>
      </c>
      <c r="E64" t="s">
        <v>129</v>
      </c>
      <c r="F64" s="3">
        <v>18.930039000000001</v>
      </c>
      <c r="G64">
        <v>72.826060099999907</v>
      </c>
      <c r="H64">
        <f t="shared" si="0"/>
        <v>4216.5</v>
      </c>
      <c r="I64" s="3">
        <f t="shared" si="1"/>
        <v>23425</v>
      </c>
      <c r="J64" s="1">
        <f t="shared" si="2"/>
        <v>450</v>
      </c>
      <c r="K64" s="1">
        <f t="shared" si="3"/>
        <v>10541250</v>
      </c>
      <c r="L64" s="2" t="str">
        <f t="shared" si="4"/>
        <v>Premium</v>
      </c>
    </row>
    <row r="65" spans="1:12" x14ac:dyDescent="0.3">
      <c r="A65" t="s">
        <v>132</v>
      </c>
      <c r="B65" t="s">
        <v>133</v>
      </c>
      <c r="C65" s="3">
        <v>4</v>
      </c>
      <c r="D65" s="3">
        <v>921</v>
      </c>
      <c r="E65" t="s">
        <v>134</v>
      </c>
      <c r="F65" s="3">
        <v>18.9337105</v>
      </c>
      <c r="G65">
        <v>72.827086299999905</v>
      </c>
      <c r="H65">
        <f t="shared" si="0"/>
        <v>3684</v>
      </c>
      <c r="I65" s="3">
        <f t="shared" si="1"/>
        <v>23025</v>
      </c>
      <c r="J65" s="1">
        <f t="shared" si="2"/>
        <v>350</v>
      </c>
      <c r="K65" s="1">
        <f t="shared" si="3"/>
        <v>8058750</v>
      </c>
      <c r="L65" s="2" t="str">
        <f t="shared" si="4"/>
        <v>Popular</v>
      </c>
    </row>
    <row r="66" spans="1:12" x14ac:dyDescent="0.3">
      <c r="A66" t="s">
        <v>132</v>
      </c>
      <c r="B66" t="s">
        <v>135</v>
      </c>
      <c r="C66" s="3">
        <v>4.0999999999999996</v>
      </c>
      <c r="D66" s="3">
        <v>306</v>
      </c>
      <c r="E66" t="s">
        <v>136</v>
      </c>
      <c r="F66" s="3">
        <v>18.9318071</v>
      </c>
      <c r="G66">
        <v>72.828059999999994</v>
      </c>
      <c r="H66">
        <f t="shared" ref="H66:H129" si="5">C66*D66</f>
        <v>1254.5999999999999</v>
      </c>
      <c r="I66" s="3">
        <f t="shared" ref="I66:I129" si="6">D66*25</f>
        <v>7650</v>
      </c>
      <c r="J66" s="1">
        <f t="shared" ref="J66:J129" si="7">IF(C66&gt;=4.7,550,IF(C66&gt;=4.4,450,IF(C66&gt;=O68,350,250)))</f>
        <v>350</v>
      </c>
      <c r="K66" s="1">
        <f t="shared" ref="K66:K129" si="8">I66*J66</f>
        <v>2677500</v>
      </c>
      <c r="L66" s="2" t="str">
        <f t="shared" ref="L66:L129" si="9">IF(C66&gt;=4.5,"Premium",IF(C66&gt;=4,"Popular","Average"))</f>
        <v>Popular</v>
      </c>
    </row>
    <row r="67" spans="1:12" x14ac:dyDescent="0.3">
      <c r="A67" t="s">
        <v>132</v>
      </c>
      <c r="B67" t="s">
        <v>137</v>
      </c>
      <c r="C67" s="3">
        <v>4.5</v>
      </c>
      <c r="D67" s="3">
        <v>27</v>
      </c>
      <c r="E67" t="s">
        <v>138</v>
      </c>
      <c r="F67" s="3">
        <v>18.931263900000001</v>
      </c>
      <c r="G67">
        <v>72.826985899999997</v>
      </c>
      <c r="H67">
        <f t="shared" si="5"/>
        <v>121.5</v>
      </c>
      <c r="I67" s="3">
        <f t="shared" si="6"/>
        <v>675</v>
      </c>
      <c r="J67" s="1">
        <f t="shared" si="7"/>
        <v>450</v>
      </c>
      <c r="K67" s="1">
        <f t="shared" si="8"/>
        <v>303750</v>
      </c>
      <c r="L67" s="2" t="str">
        <f t="shared" si="9"/>
        <v>Premium</v>
      </c>
    </row>
    <row r="68" spans="1:12" x14ac:dyDescent="0.3">
      <c r="A68" t="s">
        <v>132</v>
      </c>
      <c r="B68" t="s">
        <v>37</v>
      </c>
      <c r="C68" s="3">
        <v>4.3</v>
      </c>
      <c r="D68" s="3">
        <v>1395</v>
      </c>
      <c r="E68" t="s">
        <v>38</v>
      </c>
      <c r="F68" s="3">
        <v>18.935252999999999</v>
      </c>
      <c r="G68">
        <v>72.838378599999999</v>
      </c>
      <c r="H68">
        <f t="shared" si="5"/>
        <v>5998.5</v>
      </c>
      <c r="I68" s="3">
        <f t="shared" si="6"/>
        <v>34875</v>
      </c>
      <c r="J68" s="1">
        <f t="shared" si="7"/>
        <v>350</v>
      </c>
      <c r="K68" s="1">
        <f t="shared" si="8"/>
        <v>12206250</v>
      </c>
      <c r="L68" s="2" t="str">
        <f t="shared" si="9"/>
        <v>Popular</v>
      </c>
    </row>
    <row r="69" spans="1:12" x14ac:dyDescent="0.3">
      <c r="A69" t="s">
        <v>132</v>
      </c>
      <c r="B69" t="s">
        <v>139</v>
      </c>
      <c r="C69" s="3">
        <v>3.8</v>
      </c>
      <c r="D69" s="3">
        <v>1431</v>
      </c>
      <c r="E69" t="s">
        <v>140</v>
      </c>
      <c r="F69" s="3">
        <v>18.9334913</v>
      </c>
      <c r="G69">
        <v>72.8270287</v>
      </c>
      <c r="H69">
        <f t="shared" si="5"/>
        <v>5437.8</v>
      </c>
      <c r="I69" s="3">
        <f t="shared" si="6"/>
        <v>35775</v>
      </c>
      <c r="J69" s="1">
        <f t="shared" si="7"/>
        <v>350</v>
      </c>
      <c r="K69" s="1">
        <f t="shared" si="8"/>
        <v>12521250</v>
      </c>
      <c r="L69" s="2" t="str">
        <f t="shared" si="9"/>
        <v>Average</v>
      </c>
    </row>
    <row r="70" spans="1:12" x14ac:dyDescent="0.3">
      <c r="A70" t="s">
        <v>132</v>
      </c>
      <c r="B70" t="s">
        <v>33</v>
      </c>
      <c r="C70" s="3">
        <v>4.3</v>
      </c>
      <c r="D70" s="3">
        <v>1136</v>
      </c>
      <c r="E70" t="s">
        <v>34</v>
      </c>
      <c r="F70" s="3">
        <v>18.927662600000001</v>
      </c>
      <c r="G70">
        <v>72.832998000000003</v>
      </c>
      <c r="H70">
        <f t="shared" si="5"/>
        <v>4884.8</v>
      </c>
      <c r="I70" s="3">
        <f t="shared" si="6"/>
        <v>28400</v>
      </c>
      <c r="J70" s="1">
        <f t="shared" si="7"/>
        <v>350</v>
      </c>
      <c r="K70" s="1">
        <f t="shared" si="8"/>
        <v>9940000</v>
      </c>
      <c r="L70" s="2" t="str">
        <f t="shared" si="9"/>
        <v>Popular</v>
      </c>
    </row>
    <row r="71" spans="1:12" x14ac:dyDescent="0.3">
      <c r="A71" t="s">
        <v>132</v>
      </c>
      <c r="B71" t="s">
        <v>141</v>
      </c>
      <c r="C71" s="3">
        <v>4.0999999999999996</v>
      </c>
      <c r="D71" s="3">
        <v>501</v>
      </c>
      <c r="E71" t="s">
        <v>142</v>
      </c>
      <c r="F71" s="3">
        <v>18.9324944</v>
      </c>
      <c r="G71">
        <v>72.827559999999906</v>
      </c>
      <c r="H71">
        <f t="shared" si="5"/>
        <v>2054.1</v>
      </c>
      <c r="I71" s="3">
        <f t="shared" si="6"/>
        <v>12525</v>
      </c>
      <c r="J71" s="1">
        <f t="shared" si="7"/>
        <v>350</v>
      </c>
      <c r="K71" s="1">
        <f t="shared" si="8"/>
        <v>4383750</v>
      </c>
      <c r="L71" s="2" t="str">
        <f t="shared" si="9"/>
        <v>Popular</v>
      </c>
    </row>
    <row r="72" spans="1:12" x14ac:dyDescent="0.3">
      <c r="A72" t="s">
        <v>132</v>
      </c>
      <c r="B72" t="s">
        <v>31</v>
      </c>
      <c r="C72" s="3">
        <v>4.3</v>
      </c>
      <c r="D72" s="3">
        <v>4955</v>
      </c>
      <c r="E72" t="s">
        <v>32</v>
      </c>
      <c r="F72" s="3">
        <v>18.928495399999999</v>
      </c>
      <c r="G72">
        <v>72.8322067</v>
      </c>
      <c r="H72">
        <f t="shared" si="5"/>
        <v>21306.5</v>
      </c>
      <c r="I72" s="3">
        <f t="shared" si="6"/>
        <v>123875</v>
      </c>
      <c r="J72" s="1">
        <f t="shared" si="7"/>
        <v>350</v>
      </c>
      <c r="K72" s="1">
        <f t="shared" si="8"/>
        <v>43356250</v>
      </c>
      <c r="L72" s="2" t="str">
        <f t="shared" si="9"/>
        <v>Popular</v>
      </c>
    </row>
    <row r="73" spans="1:12" x14ac:dyDescent="0.3">
      <c r="A73" t="s">
        <v>132</v>
      </c>
      <c r="B73" t="s">
        <v>143</v>
      </c>
      <c r="C73" s="3">
        <v>4.4000000000000004</v>
      </c>
      <c r="D73" s="3">
        <v>997</v>
      </c>
      <c r="E73" t="s">
        <v>144</v>
      </c>
      <c r="F73" s="3">
        <v>18.937878999999999</v>
      </c>
      <c r="G73">
        <v>72.832886599999995</v>
      </c>
      <c r="H73">
        <f t="shared" si="5"/>
        <v>4386.8</v>
      </c>
      <c r="I73" s="3">
        <f t="shared" si="6"/>
        <v>24925</v>
      </c>
      <c r="J73" s="1">
        <f t="shared" si="7"/>
        <v>450</v>
      </c>
      <c r="K73" s="1">
        <f t="shared" si="8"/>
        <v>11216250</v>
      </c>
      <c r="L73" s="2" t="str">
        <f t="shared" si="9"/>
        <v>Popular</v>
      </c>
    </row>
    <row r="74" spans="1:12" x14ac:dyDescent="0.3">
      <c r="A74" t="s">
        <v>132</v>
      </c>
      <c r="B74" t="s">
        <v>145</v>
      </c>
      <c r="C74" s="3">
        <v>4.0999999999999996</v>
      </c>
      <c r="D74" s="3">
        <v>2742</v>
      </c>
      <c r="E74" t="s">
        <v>146</v>
      </c>
      <c r="F74" s="3">
        <v>18.932700499999999</v>
      </c>
      <c r="G74">
        <v>72.823598199999907</v>
      </c>
      <c r="H74">
        <f t="shared" si="5"/>
        <v>11242.199999999999</v>
      </c>
      <c r="I74" s="3">
        <f t="shared" si="6"/>
        <v>68550</v>
      </c>
      <c r="J74" s="1">
        <f t="shared" si="7"/>
        <v>350</v>
      </c>
      <c r="K74" s="1">
        <f t="shared" si="8"/>
        <v>23992500</v>
      </c>
      <c r="L74" s="2" t="str">
        <f t="shared" si="9"/>
        <v>Popular</v>
      </c>
    </row>
    <row r="75" spans="1:12" x14ac:dyDescent="0.3">
      <c r="A75" t="s">
        <v>132</v>
      </c>
      <c r="B75" t="s">
        <v>147</v>
      </c>
      <c r="C75" s="3">
        <v>4.2</v>
      </c>
      <c r="D75" s="3">
        <v>4235</v>
      </c>
      <c r="E75" t="s">
        <v>148</v>
      </c>
      <c r="F75" s="3">
        <v>18.930181999999999</v>
      </c>
      <c r="G75">
        <v>72.826759799999905</v>
      </c>
      <c r="H75">
        <f t="shared" si="5"/>
        <v>17787</v>
      </c>
      <c r="I75" s="3">
        <f t="shared" si="6"/>
        <v>105875</v>
      </c>
      <c r="J75" s="1">
        <f t="shared" si="7"/>
        <v>350</v>
      </c>
      <c r="K75" s="1">
        <f t="shared" si="8"/>
        <v>37056250</v>
      </c>
      <c r="L75" s="2" t="str">
        <f t="shared" si="9"/>
        <v>Popular</v>
      </c>
    </row>
    <row r="76" spans="1:12" x14ac:dyDescent="0.3">
      <c r="A76" t="s">
        <v>132</v>
      </c>
      <c r="B76" t="s">
        <v>85</v>
      </c>
      <c r="C76" s="3">
        <v>4.0999999999999996</v>
      </c>
      <c r="D76" s="3">
        <v>1439</v>
      </c>
      <c r="E76" t="s">
        <v>86</v>
      </c>
      <c r="F76" s="3">
        <v>18.937572299999999</v>
      </c>
      <c r="G76">
        <v>72.833657099999996</v>
      </c>
      <c r="H76">
        <f t="shared" si="5"/>
        <v>5899.9</v>
      </c>
      <c r="I76" s="3">
        <f t="shared" si="6"/>
        <v>35975</v>
      </c>
      <c r="J76" s="1">
        <f t="shared" si="7"/>
        <v>350</v>
      </c>
      <c r="K76" s="1">
        <f t="shared" si="8"/>
        <v>12591250</v>
      </c>
      <c r="L76" s="2" t="str">
        <f t="shared" si="9"/>
        <v>Popular</v>
      </c>
    </row>
    <row r="77" spans="1:12" x14ac:dyDescent="0.3">
      <c r="A77" t="s">
        <v>132</v>
      </c>
      <c r="B77" t="s">
        <v>149</v>
      </c>
      <c r="C77" s="3">
        <v>3.9</v>
      </c>
      <c r="D77" s="3">
        <v>1897</v>
      </c>
      <c r="E77" t="s">
        <v>150</v>
      </c>
      <c r="F77" s="3">
        <v>18.932120999999999</v>
      </c>
      <c r="G77">
        <v>72.828144199999997</v>
      </c>
      <c r="H77">
        <f t="shared" si="5"/>
        <v>7398.3</v>
      </c>
      <c r="I77" s="3">
        <f t="shared" si="6"/>
        <v>47425</v>
      </c>
      <c r="J77" s="1">
        <f t="shared" si="7"/>
        <v>350</v>
      </c>
      <c r="K77" s="1">
        <f t="shared" si="8"/>
        <v>16598750</v>
      </c>
      <c r="L77" s="2" t="str">
        <f t="shared" si="9"/>
        <v>Average</v>
      </c>
    </row>
    <row r="78" spans="1:12" x14ac:dyDescent="0.3">
      <c r="A78" t="s">
        <v>132</v>
      </c>
      <c r="B78" t="s">
        <v>128</v>
      </c>
      <c r="C78" s="3">
        <v>4.4000000000000004</v>
      </c>
      <c r="D78" s="3">
        <v>2996</v>
      </c>
      <c r="E78" t="s">
        <v>151</v>
      </c>
      <c r="F78" s="3">
        <v>18.927624000000002</v>
      </c>
      <c r="G78">
        <v>72.822002999999995</v>
      </c>
      <c r="H78">
        <f t="shared" si="5"/>
        <v>13182.400000000001</v>
      </c>
      <c r="I78" s="3">
        <f t="shared" si="6"/>
        <v>74900</v>
      </c>
      <c r="J78" s="1">
        <f t="shared" si="7"/>
        <v>450</v>
      </c>
      <c r="K78" s="1">
        <f t="shared" si="8"/>
        <v>33705000</v>
      </c>
      <c r="L78" s="2" t="str">
        <f t="shared" si="9"/>
        <v>Popular</v>
      </c>
    </row>
    <row r="79" spans="1:12" x14ac:dyDescent="0.3">
      <c r="A79" t="s">
        <v>132</v>
      </c>
      <c r="B79" t="s">
        <v>128</v>
      </c>
      <c r="C79" s="3">
        <v>4.5999999999999996</v>
      </c>
      <c r="D79" s="3">
        <v>2399</v>
      </c>
      <c r="E79" t="s">
        <v>152</v>
      </c>
      <c r="F79" s="3">
        <v>18.932224300000001</v>
      </c>
      <c r="G79">
        <v>72.834240199999996</v>
      </c>
      <c r="H79">
        <f t="shared" si="5"/>
        <v>11035.4</v>
      </c>
      <c r="I79" s="3">
        <f t="shared" si="6"/>
        <v>59975</v>
      </c>
      <c r="J79" s="1">
        <f t="shared" si="7"/>
        <v>450</v>
      </c>
      <c r="K79" s="1">
        <f t="shared" si="8"/>
        <v>26988750</v>
      </c>
      <c r="L79" s="2" t="str">
        <f t="shared" si="9"/>
        <v>Premium</v>
      </c>
    </row>
    <row r="80" spans="1:12" x14ac:dyDescent="0.3">
      <c r="A80" t="s">
        <v>132</v>
      </c>
      <c r="B80" t="s">
        <v>153</v>
      </c>
      <c r="C80" s="3">
        <v>4.3</v>
      </c>
      <c r="D80" s="3">
        <v>29</v>
      </c>
      <c r="E80" t="s">
        <v>154</v>
      </c>
      <c r="F80" s="3">
        <v>18.929934599999999</v>
      </c>
      <c r="G80">
        <v>72.826206999999997</v>
      </c>
      <c r="H80">
        <f t="shared" si="5"/>
        <v>124.69999999999999</v>
      </c>
      <c r="I80" s="3">
        <f t="shared" si="6"/>
        <v>725</v>
      </c>
      <c r="J80" s="1">
        <f t="shared" si="7"/>
        <v>350</v>
      </c>
      <c r="K80" s="1">
        <f t="shared" si="8"/>
        <v>253750</v>
      </c>
      <c r="L80" s="2" t="str">
        <f t="shared" si="9"/>
        <v>Popular</v>
      </c>
    </row>
    <row r="81" spans="1:12" x14ac:dyDescent="0.3">
      <c r="A81" t="s">
        <v>132</v>
      </c>
      <c r="B81" t="s">
        <v>77</v>
      </c>
      <c r="C81" s="3">
        <v>4.4000000000000004</v>
      </c>
      <c r="D81" s="3">
        <v>4278</v>
      </c>
      <c r="E81" t="s">
        <v>78</v>
      </c>
      <c r="F81" s="3">
        <v>18.928277099999999</v>
      </c>
      <c r="G81">
        <v>72.831861000000004</v>
      </c>
      <c r="H81">
        <f t="shared" si="5"/>
        <v>18823.2</v>
      </c>
      <c r="I81" s="3">
        <f t="shared" si="6"/>
        <v>106950</v>
      </c>
      <c r="J81" s="1">
        <f t="shared" si="7"/>
        <v>450</v>
      </c>
      <c r="K81" s="1">
        <f t="shared" si="8"/>
        <v>48127500</v>
      </c>
      <c r="L81" s="2" t="str">
        <f t="shared" si="9"/>
        <v>Popular</v>
      </c>
    </row>
    <row r="82" spans="1:12" x14ac:dyDescent="0.3">
      <c r="A82" t="s">
        <v>132</v>
      </c>
      <c r="B82" t="s">
        <v>81</v>
      </c>
      <c r="C82" s="3">
        <v>4.4000000000000004</v>
      </c>
      <c r="D82" s="3">
        <v>478</v>
      </c>
      <c r="E82" t="s">
        <v>82</v>
      </c>
      <c r="F82" s="3">
        <v>18.935954500000001</v>
      </c>
      <c r="G82">
        <v>72.840635300000002</v>
      </c>
      <c r="H82">
        <f t="shared" si="5"/>
        <v>2103.2000000000003</v>
      </c>
      <c r="I82" s="3">
        <f t="shared" si="6"/>
        <v>11950</v>
      </c>
      <c r="J82" s="1">
        <f t="shared" si="7"/>
        <v>450</v>
      </c>
      <c r="K82" s="1">
        <f t="shared" si="8"/>
        <v>5377500</v>
      </c>
      <c r="L82" s="2" t="str">
        <f t="shared" si="9"/>
        <v>Popular</v>
      </c>
    </row>
    <row r="83" spans="1:12" x14ac:dyDescent="0.3">
      <c r="A83" t="s">
        <v>132</v>
      </c>
      <c r="B83" t="s">
        <v>155</v>
      </c>
      <c r="C83" s="3">
        <v>4</v>
      </c>
      <c r="D83" s="3">
        <v>2692</v>
      </c>
      <c r="E83" t="s">
        <v>156</v>
      </c>
      <c r="F83" s="3">
        <v>18.9427208</v>
      </c>
      <c r="G83">
        <v>72.826841000000002</v>
      </c>
      <c r="H83">
        <f t="shared" si="5"/>
        <v>10768</v>
      </c>
      <c r="I83" s="3">
        <f t="shared" si="6"/>
        <v>67300</v>
      </c>
      <c r="J83" s="1">
        <f t="shared" si="7"/>
        <v>350</v>
      </c>
      <c r="K83" s="1">
        <f t="shared" si="8"/>
        <v>23555000</v>
      </c>
      <c r="L83" s="2" t="str">
        <f t="shared" si="9"/>
        <v>Popular</v>
      </c>
    </row>
    <row r="84" spans="1:12" x14ac:dyDescent="0.3">
      <c r="A84" t="s">
        <v>132</v>
      </c>
      <c r="B84" t="s">
        <v>17</v>
      </c>
      <c r="C84" s="3">
        <v>4.2</v>
      </c>
      <c r="D84" s="3">
        <v>3443</v>
      </c>
      <c r="E84" t="s">
        <v>18</v>
      </c>
      <c r="F84" s="3">
        <v>18.918851400000001</v>
      </c>
      <c r="G84">
        <v>72.831991500000001</v>
      </c>
      <c r="H84">
        <f t="shared" si="5"/>
        <v>14460.6</v>
      </c>
      <c r="I84" s="3">
        <f t="shared" si="6"/>
        <v>86075</v>
      </c>
      <c r="J84" s="1">
        <f t="shared" si="7"/>
        <v>350</v>
      </c>
      <c r="K84" s="1">
        <f t="shared" si="8"/>
        <v>30126250</v>
      </c>
      <c r="L84" s="2" t="str">
        <f t="shared" si="9"/>
        <v>Popular</v>
      </c>
    </row>
    <row r="85" spans="1:12" x14ac:dyDescent="0.3">
      <c r="A85" t="s">
        <v>132</v>
      </c>
      <c r="B85" t="s">
        <v>157</v>
      </c>
      <c r="C85" s="3">
        <v>4.0999999999999996</v>
      </c>
      <c r="D85" s="3">
        <v>3015</v>
      </c>
      <c r="E85" t="s">
        <v>158</v>
      </c>
      <c r="F85" s="3">
        <v>18.930776699999999</v>
      </c>
      <c r="G85">
        <v>72.832023999999905</v>
      </c>
      <c r="H85">
        <f t="shared" si="5"/>
        <v>12361.499999999998</v>
      </c>
      <c r="I85" s="3">
        <f t="shared" si="6"/>
        <v>75375</v>
      </c>
      <c r="J85" s="1">
        <f t="shared" si="7"/>
        <v>350</v>
      </c>
      <c r="K85" s="1">
        <f t="shared" si="8"/>
        <v>26381250</v>
      </c>
      <c r="L85" s="2" t="str">
        <f t="shared" si="9"/>
        <v>Popular</v>
      </c>
    </row>
    <row r="86" spans="1:12" x14ac:dyDescent="0.3">
      <c r="A86" t="s">
        <v>132</v>
      </c>
      <c r="B86" t="s">
        <v>159</v>
      </c>
      <c r="C86" s="3">
        <v>4.2</v>
      </c>
      <c r="D86" s="3">
        <v>94</v>
      </c>
      <c r="E86" t="s">
        <v>160</v>
      </c>
      <c r="F86" s="3">
        <v>18.930410999999999</v>
      </c>
      <c r="G86">
        <v>72.826265999999904</v>
      </c>
      <c r="H86">
        <f t="shared" si="5"/>
        <v>394.8</v>
      </c>
      <c r="I86" s="3">
        <f t="shared" si="6"/>
        <v>2350</v>
      </c>
      <c r="J86" s="1">
        <f t="shared" si="7"/>
        <v>350</v>
      </c>
      <c r="K86" s="1">
        <f t="shared" si="8"/>
        <v>822500</v>
      </c>
      <c r="L86" s="2" t="str">
        <f t="shared" si="9"/>
        <v>Popular</v>
      </c>
    </row>
    <row r="87" spans="1:12" x14ac:dyDescent="0.3">
      <c r="A87" t="s">
        <v>132</v>
      </c>
      <c r="B87" t="s">
        <v>161</v>
      </c>
      <c r="C87" s="3">
        <v>4.2</v>
      </c>
      <c r="D87" s="3">
        <v>7287</v>
      </c>
      <c r="E87" t="s">
        <v>162</v>
      </c>
      <c r="F87" s="3">
        <v>18.932879</v>
      </c>
      <c r="G87">
        <v>72.826101299999905</v>
      </c>
      <c r="H87">
        <f t="shared" si="5"/>
        <v>30605.4</v>
      </c>
      <c r="I87" s="3">
        <f t="shared" si="6"/>
        <v>182175</v>
      </c>
      <c r="J87" s="1">
        <f t="shared" si="7"/>
        <v>350</v>
      </c>
      <c r="K87" s="1">
        <f t="shared" si="8"/>
        <v>63761250</v>
      </c>
      <c r="L87" s="2" t="str">
        <f t="shared" si="9"/>
        <v>Popular</v>
      </c>
    </row>
    <row r="88" spans="1:12" x14ac:dyDescent="0.3">
      <c r="A88" t="s">
        <v>132</v>
      </c>
      <c r="B88" t="s">
        <v>59</v>
      </c>
      <c r="C88" s="3">
        <v>4.3</v>
      </c>
      <c r="D88" s="3">
        <v>2111</v>
      </c>
      <c r="E88" t="s">
        <v>60</v>
      </c>
      <c r="F88" s="3">
        <v>18.936138199999998</v>
      </c>
      <c r="G88">
        <v>72.837612300000004</v>
      </c>
      <c r="H88">
        <f t="shared" si="5"/>
        <v>9077.2999999999993</v>
      </c>
      <c r="I88" s="3">
        <f t="shared" si="6"/>
        <v>52775</v>
      </c>
      <c r="J88" s="1">
        <f t="shared" si="7"/>
        <v>350</v>
      </c>
      <c r="K88" s="1">
        <f t="shared" si="8"/>
        <v>18471250</v>
      </c>
      <c r="L88" s="2" t="str">
        <f t="shared" si="9"/>
        <v>Popular</v>
      </c>
    </row>
    <row r="89" spans="1:12" x14ac:dyDescent="0.3">
      <c r="A89" t="s">
        <v>132</v>
      </c>
      <c r="B89" t="s">
        <v>15</v>
      </c>
      <c r="C89" s="3">
        <v>4.2</v>
      </c>
      <c r="D89" s="3">
        <v>29972</v>
      </c>
      <c r="E89" t="s">
        <v>16</v>
      </c>
      <c r="F89" s="3">
        <v>18.9226402</v>
      </c>
      <c r="G89">
        <v>72.831640100000001</v>
      </c>
      <c r="H89">
        <f t="shared" si="5"/>
        <v>125882.40000000001</v>
      </c>
      <c r="I89" s="3">
        <f t="shared" si="6"/>
        <v>749300</v>
      </c>
      <c r="J89" s="1">
        <f t="shared" si="7"/>
        <v>350</v>
      </c>
      <c r="K89" s="1">
        <f t="shared" si="8"/>
        <v>262255000</v>
      </c>
      <c r="L89" s="2" t="str">
        <f t="shared" si="9"/>
        <v>Popular</v>
      </c>
    </row>
    <row r="90" spans="1:12" x14ac:dyDescent="0.3">
      <c r="A90" t="s">
        <v>132</v>
      </c>
      <c r="B90" t="s">
        <v>163</v>
      </c>
      <c r="C90" s="3">
        <v>4</v>
      </c>
      <c r="D90" s="3">
        <v>141</v>
      </c>
      <c r="E90" t="s">
        <v>164</v>
      </c>
      <c r="F90" s="3">
        <v>18.933803600000001</v>
      </c>
      <c r="G90">
        <v>72.824869999999905</v>
      </c>
      <c r="H90">
        <f t="shared" si="5"/>
        <v>564</v>
      </c>
      <c r="I90" s="3">
        <f t="shared" si="6"/>
        <v>3525</v>
      </c>
      <c r="J90" s="1">
        <f t="shared" si="7"/>
        <v>350</v>
      </c>
      <c r="K90" s="1">
        <f t="shared" si="8"/>
        <v>1233750</v>
      </c>
      <c r="L90" s="2" t="str">
        <f t="shared" si="9"/>
        <v>Popular</v>
      </c>
    </row>
    <row r="91" spans="1:12" x14ac:dyDescent="0.3">
      <c r="A91" t="s">
        <v>132</v>
      </c>
      <c r="B91" t="s">
        <v>117</v>
      </c>
      <c r="C91" s="3">
        <v>4.5999999999999996</v>
      </c>
      <c r="D91" s="3">
        <v>466</v>
      </c>
      <c r="E91" t="s">
        <v>118</v>
      </c>
      <c r="F91" s="3">
        <v>18.9276746</v>
      </c>
      <c r="G91">
        <v>72.820946000000006</v>
      </c>
      <c r="H91">
        <f t="shared" si="5"/>
        <v>2143.6</v>
      </c>
      <c r="I91" s="3">
        <f t="shared" si="6"/>
        <v>11650</v>
      </c>
      <c r="J91" s="1">
        <f t="shared" si="7"/>
        <v>450</v>
      </c>
      <c r="K91" s="1">
        <f t="shared" si="8"/>
        <v>5242500</v>
      </c>
      <c r="L91" s="2" t="str">
        <f t="shared" si="9"/>
        <v>Premium</v>
      </c>
    </row>
    <row r="92" spans="1:12" x14ac:dyDescent="0.3">
      <c r="A92" t="s">
        <v>132</v>
      </c>
      <c r="B92" t="s">
        <v>19</v>
      </c>
      <c r="C92" s="3">
        <v>4.3</v>
      </c>
      <c r="D92" s="3">
        <v>2868</v>
      </c>
      <c r="E92" t="s">
        <v>20</v>
      </c>
      <c r="F92" s="3">
        <v>18.919908100000001</v>
      </c>
      <c r="G92">
        <v>72.830269099999995</v>
      </c>
      <c r="H92">
        <f t="shared" si="5"/>
        <v>12332.4</v>
      </c>
      <c r="I92" s="3">
        <f t="shared" si="6"/>
        <v>71700</v>
      </c>
      <c r="J92" s="1">
        <f t="shared" si="7"/>
        <v>350</v>
      </c>
      <c r="K92" s="1">
        <f t="shared" si="8"/>
        <v>25095000</v>
      </c>
      <c r="L92" s="2" t="str">
        <f t="shared" si="9"/>
        <v>Popular</v>
      </c>
    </row>
    <row r="93" spans="1:12" x14ac:dyDescent="0.3">
      <c r="A93" t="s">
        <v>132</v>
      </c>
      <c r="B93" t="s">
        <v>165</v>
      </c>
      <c r="C93" s="3">
        <v>4.3</v>
      </c>
      <c r="D93" s="3">
        <v>660</v>
      </c>
      <c r="E93" t="s">
        <v>166</v>
      </c>
      <c r="F93" s="3">
        <v>18.9312024</v>
      </c>
      <c r="G93">
        <v>72.823126199999905</v>
      </c>
      <c r="H93">
        <f t="shared" si="5"/>
        <v>2838</v>
      </c>
      <c r="I93" s="3">
        <f t="shared" si="6"/>
        <v>16500</v>
      </c>
      <c r="J93" s="1">
        <f t="shared" si="7"/>
        <v>350</v>
      </c>
      <c r="K93" s="1">
        <f t="shared" si="8"/>
        <v>5775000</v>
      </c>
      <c r="L93" s="2" t="str">
        <f t="shared" si="9"/>
        <v>Popular</v>
      </c>
    </row>
    <row r="94" spans="1:12" x14ac:dyDescent="0.3">
      <c r="A94" t="s">
        <v>132</v>
      </c>
      <c r="B94" t="s">
        <v>167</v>
      </c>
      <c r="C94" s="3">
        <v>4.0999999999999996</v>
      </c>
      <c r="D94" s="3">
        <v>163</v>
      </c>
      <c r="E94" t="s">
        <v>168</v>
      </c>
      <c r="F94" s="3">
        <v>18.9430169</v>
      </c>
      <c r="G94">
        <v>72.8276477</v>
      </c>
      <c r="H94">
        <f t="shared" si="5"/>
        <v>668.3</v>
      </c>
      <c r="I94" s="3">
        <f t="shared" si="6"/>
        <v>4075</v>
      </c>
      <c r="J94" s="1">
        <f t="shared" si="7"/>
        <v>350</v>
      </c>
      <c r="K94" s="1">
        <f t="shared" si="8"/>
        <v>1426250</v>
      </c>
      <c r="L94" s="2" t="str">
        <f t="shared" si="9"/>
        <v>Popular</v>
      </c>
    </row>
    <row r="95" spans="1:12" x14ac:dyDescent="0.3">
      <c r="A95" t="s">
        <v>132</v>
      </c>
      <c r="B95" t="s">
        <v>169</v>
      </c>
      <c r="C95" s="3">
        <v>4.2</v>
      </c>
      <c r="D95" s="3">
        <v>698</v>
      </c>
      <c r="E95" t="s">
        <v>170</v>
      </c>
      <c r="F95" s="3">
        <v>18.9350323</v>
      </c>
      <c r="G95">
        <v>72.824201000000002</v>
      </c>
      <c r="H95">
        <f t="shared" si="5"/>
        <v>2931.6</v>
      </c>
      <c r="I95" s="3">
        <f t="shared" si="6"/>
        <v>17450</v>
      </c>
      <c r="J95" s="1">
        <f t="shared" si="7"/>
        <v>350</v>
      </c>
      <c r="K95" s="1">
        <f t="shared" si="8"/>
        <v>6107500</v>
      </c>
      <c r="L95" s="2" t="str">
        <f t="shared" si="9"/>
        <v>Popular</v>
      </c>
    </row>
    <row r="96" spans="1:12" x14ac:dyDescent="0.3">
      <c r="A96" t="s">
        <v>132</v>
      </c>
      <c r="B96" t="s">
        <v>171</v>
      </c>
      <c r="C96" s="3">
        <v>4.2</v>
      </c>
      <c r="D96" s="3">
        <v>3225</v>
      </c>
      <c r="E96" t="s">
        <v>172</v>
      </c>
      <c r="F96" s="3">
        <v>18.957948200000001</v>
      </c>
      <c r="G96">
        <v>72.810955399999997</v>
      </c>
      <c r="H96">
        <f t="shared" si="5"/>
        <v>13545</v>
      </c>
      <c r="I96" s="3">
        <f t="shared" si="6"/>
        <v>80625</v>
      </c>
      <c r="J96" s="1">
        <f t="shared" si="7"/>
        <v>350</v>
      </c>
      <c r="K96" s="1">
        <f t="shared" si="8"/>
        <v>28218750</v>
      </c>
      <c r="L96" s="2" t="str">
        <f t="shared" si="9"/>
        <v>Popular</v>
      </c>
    </row>
    <row r="97" spans="1:12" x14ac:dyDescent="0.3">
      <c r="A97" t="s">
        <v>132</v>
      </c>
      <c r="B97" t="s">
        <v>173</v>
      </c>
      <c r="C97" s="3">
        <v>4.3</v>
      </c>
      <c r="D97" s="3">
        <v>46</v>
      </c>
      <c r="E97" t="s">
        <v>174</v>
      </c>
      <c r="F97" s="3">
        <v>18.931485500000001</v>
      </c>
      <c r="G97">
        <v>72.827008599999999</v>
      </c>
      <c r="H97">
        <f t="shared" si="5"/>
        <v>197.79999999999998</v>
      </c>
      <c r="I97" s="3">
        <f t="shared" si="6"/>
        <v>1150</v>
      </c>
      <c r="J97" s="1">
        <f t="shared" si="7"/>
        <v>350</v>
      </c>
      <c r="K97" s="1">
        <f t="shared" si="8"/>
        <v>402500</v>
      </c>
      <c r="L97" s="2" t="str">
        <f t="shared" si="9"/>
        <v>Popular</v>
      </c>
    </row>
    <row r="98" spans="1:12" x14ac:dyDescent="0.3">
      <c r="A98" t="s">
        <v>132</v>
      </c>
      <c r="B98" t="s">
        <v>43</v>
      </c>
      <c r="C98" s="3">
        <v>3.9</v>
      </c>
      <c r="D98" s="3">
        <v>1747</v>
      </c>
      <c r="E98" t="s">
        <v>44</v>
      </c>
      <c r="F98" s="3">
        <v>18.9190833</v>
      </c>
      <c r="G98">
        <v>72.831969399999906</v>
      </c>
      <c r="H98">
        <f t="shared" si="5"/>
        <v>6813.3</v>
      </c>
      <c r="I98" s="3">
        <f t="shared" si="6"/>
        <v>43675</v>
      </c>
      <c r="J98" s="1">
        <f t="shared" si="7"/>
        <v>350</v>
      </c>
      <c r="K98" s="1">
        <f t="shared" si="8"/>
        <v>15286250</v>
      </c>
      <c r="L98" s="2" t="str">
        <f t="shared" si="9"/>
        <v>Average</v>
      </c>
    </row>
    <row r="99" spans="1:12" x14ac:dyDescent="0.3">
      <c r="A99" t="s">
        <v>132</v>
      </c>
      <c r="B99" t="s">
        <v>175</v>
      </c>
      <c r="C99" s="3">
        <v>4.8</v>
      </c>
      <c r="D99" s="3">
        <v>279</v>
      </c>
      <c r="E99" t="s">
        <v>176</v>
      </c>
      <c r="F99" s="3">
        <v>18.953211</v>
      </c>
      <c r="G99">
        <v>72.817983299999995</v>
      </c>
      <c r="H99">
        <f t="shared" si="5"/>
        <v>1339.2</v>
      </c>
      <c r="I99" s="3">
        <f t="shared" si="6"/>
        <v>6975</v>
      </c>
      <c r="J99" s="1">
        <f t="shared" si="7"/>
        <v>550</v>
      </c>
      <c r="K99" s="1">
        <f t="shared" si="8"/>
        <v>3836250</v>
      </c>
      <c r="L99" s="2" t="str">
        <f t="shared" si="9"/>
        <v>Premium</v>
      </c>
    </row>
    <row r="100" spans="1:12" x14ac:dyDescent="0.3">
      <c r="A100" t="s">
        <v>132</v>
      </c>
      <c r="B100" t="s">
        <v>99</v>
      </c>
      <c r="C100" s="3">
        <v>4.4000000000000004</v>
      </c>
      <c r="D100" s="3">
        <v>3004</v>
      </c>
      <c r="E100" t="s">
        <v>100</v>
      </c>
      <c r="F100" s="3">
        <v>18.928371500000001</v>
      </c>
      <c r="G100">
        <v>72.833741599999996</v>
      </c>
      <c r="H100">
        <f t="shared" si="5"/>
        <v>13217.6</v>
      </c>
      <c r="I100" s="3">
        <f t="shared" si="6"/>
        <v>75100</v>
      </c>
      <c r="J100" s="1">
        <f t="shared" si="7"/>
        <v>450</v>
      </c>
      <c r="K100" s="1">
        <f t="shared" si="8"/>
        <v>33795000</v>
      </c>
      <c r="L100" s="2" t="str">
        <f t="shared" si="9"/>
        <v>Popular</v>
      </c>
    </row>
    <row r="101" spans="1:12" x14ac:dyDescent="0.3">
      <c r="A101" t="s">
        <v>132</v>
      </c>
      <c r="B101" t="s">
        <v>177</v>
      </c>
      <c r="C101" s="3">
        <v>4.4000000000000004</v>
      </c>
      <c r="D101" s="3">
        <v>13597</v>
      </c>
      <c r="E101" t="s">
        <v>178</v>
      </c>
      <c r="F101" s="3">
        <v>18.933139099999998</v>
      </c>
      <c r="G101">
        <v>72.824899500000001</v>
      </c>
      <c r="H101">
        <f t="shared" si="5"/>
        <v>59826.8</v>
      </c>
      <c r="I101" s="3">
        <f t="shared" si="6"/>
        <v>339925</v>
      </c>
      <c r="J101" s="1">
        <f t="shared" si="7"/>
        <v>450</v>
      </c>
      <c r="K101" s="1">
        <f t="shared" si="8"/>
        <v>152966250</v>
      </c>
      <c r="L101" s="2" t="str">
        <f t="shared" si="9"/>
        <v>Popular</v>
      </c>
    </row>
    <row r="102" spans="1:12" x14ac:dyDescent="0.3">
      <c r="A102" t="s">
        <v>132</v>
      </c>
      <c r="B102" t="s">
        <v>23</v>
      </c>
      <c r="C102" s="3">
        <v>4.4000000000000004</v>
      </c>
      <c r="D102" s="3">
        <v>4578</v>
      </c>
      <c r="E102" t="s">
        <v>24</v>
      </c>
      <c r="F102" s="3">
        <v>18.924050300000001</v>
      </c>
      <c r="G102">
        <v>72.832154700000004</v>
      </c>
      <c r="H102">
        <f t="shared" si="5"/>
        <v>20143.2</v>
      </c>
      <c r="I102" s="3">
        <f t="shared" si="6"/>
        <v>114450</v>
      </c>
      <c r="J102" s="1">
        <f t="shared" si="7"/>
        <v>450</v>
      </c>
      <c r="K102" s="1">
        <f t="shared" si="8"/>
        <v>51502500</v>
      </c>
      <c r="L102" s="2" t="str">
        <f t="shared" si="9"/>
        <v>Popular</v>
      </c>
    </row>
    <row r="103" spans="1:12" x14ac:dyDescent="0.3">
      <c r="A103" t="s">
        <v>132</v>
      </c>
      <c r="B103" t="s">
        <v>179</v>
      </c>
      <c r="C103" s="3">
        <v>4.4000000000000004</v>
      </c>
      <c r="D103" s="3">
        <v>1105</v>
      </c>
      <c r="E103" t="s">
        <v>180</v>
      </c>
      <c r="F103" s="3">
        <v>18.928695900000001</v>
      </c>
      <c r="G103">
        <v>72.822745599999905</v>
      </c>
      <c r="H103">
        <f t="shared" si="5"/>
        <v>4862</v>
      </c>
      <c r="I103" s="3">
        <f t="shared" si="6"/>
        <v>27625</v>
      </c>
      <c r="J103" s="1">
        <f t="shared" si="7"/>
        <v>450</v>
      </c>
      <c r="K103" s="1">
        <f t="shared" si="8"/>
        <v>12431250</v>
      </c>
      <c r="L103" s="2" t="str">
        <f t="shared" si="9"/>
        <v>Popular</v>
      </c>
    </row>
    <row r="104" spans="1:12" x14ac:dyDescent="0.3">
      <c r="A104" t="s">
        <v>132</v>
      </c>
      <c r="B104" t="s">
        <v>181</v>
      </c>
      <c r="C104" s="3">
        <v>4.2</v>
      </c>
      <c r="D104" s="3">
        <v>144</v>
      </c>
      <c r="E104" t="s">
        <v>182</v>
      </c>
      <c r="F104" s="3">
        <v>18.931060200000001</v>
      </c>
      <c r="G104">
        <v>72.8339888</v>
      </c>
      <c r="H104">
        <f t="shared" si="5"/>
        <v>604.80000000000007</v>
      </c>
      <c r="I104" s="3">
        <f t="shared" si="6"/>
        <v>3600</v>
      </c>
      <c r="J104" s="1">
        <f t="shared" si="7"/>
        <v>350</v>
      </c>
      <c r="K104" s="1">
        <f t="shared" si="8"/>
        <v>1260000</v>
      </c>
      <c r="L104" s="2" t="str">
        <f t="shared" si="9"/>
        <v>Popular</v>
      </c>
    </row>
    <row r="105" spans="1:12" x14ac:dyDescent="0.3">
      <c r="A105" t="s">
        <v>132</v>
      </c>
      <c r="B105" t="s">
        <v>183</v>
      </c>
      <c r="C105" s="3">
        <v>4.8</v>
      </c>
      <c r="D105" s="3">
        <v>101</v>
      </c>
      <c r="E105" t="s">
        <v>184</v>
      </c>
      <c r="F105" s="3">
        <v>18.926181700000001</v>
      </c>
      <c r="G105">
        <v>72.825935000000001</v>
      </c>
      <c r="H105">
        <f t="shared" si="5"/>
        <v>484.79999999999995</v>
      </c>
      <c r="I105" s="3">
        <f t="shared" si="6"/>
        <v>2525</v>
      </c>
      <c r="J105" s="1">
        <f t="shared" si="7"/>
        <v>550</v>
      </c>
      <c r="K105" s="1">
        <f t="shared" si="8"/>
        <v>1388750</v>
      </c>
      <c r="L105" s="2" t="str">
        <f t="shared" si="9"/>
        <v>Premium</v>
      </c>
    </row>
    <row r="106" spans="1:12" x14ac:dyDescent="0.3">
      <c r="A106" t="s">
        <v>132</v>
      </c>
      <c r="B106" t="s">
        <v>185</v>
      </c>
      <c r="C106" s="3">
        <v>4</v>
      </c>
      <c r="D106" s="3">
        <v>138</v>
      </c>
      <c r="E106" t="s">
        <v>186</v>
      </c>
      <c r="F106" s="3">
        <v>18.942909799999999</v>
      </c>
      <c r="G106">
        <v>72.828975</v>
      </c>
      <c r="H106">
        <f t="shared" si="5"/>
        <v>552</v>
      </c>
      <c r="I106" s="3">
        <f t="shared" si="6"/>
        <v>3450</v>
      </c>
      <c r="J106" s="1">
        <f t="shared" si="7"/>
        <v>350</v>
      </c>
      <c r="K106" s="1">
        <f t="shared" si="8"/>
        <v>1207500</v>
      </c>
      <c r="L106" s="2" t="str">
        <f t="shared" si="9"/>
        <v>Popular</v>
      </c>
    </row>
    <row r="107" spans="1:12" x14ac:dyDescent="0.3">
      <c r="A107" t="s">
        <v>132</v>
      </c>
      <c r="B107" t="s">
        <v>187</v>
      </c>
      <c r="C107" s="3">
        <v>4.9000000000000004</v>
      </c>
      <c r="D107" s="3">
        <v>478</v>
      </c>
      <c r="E107" t="s">
        <v>188</v>
      </c>
      <c r="F107" s="3">
        <v>18.931219800000001</v>
      </c>
      <c r="G107">
        <v>72.833408899999995</v>
      </c>
      <c r="H107">
        <f t="shared" si="5"/>
        <v>2342.2000000000003</v>
      </c>
      <c r="I107" s="3">
        <f t="shared" si="6"/>
        <v>11950</v>
      </c>
      <c r="J107" s="1">
        <f t="shared" si="7"/>
        <v>550</v>
      </c>
      <c r="K107" s="1">
        <f t="shared" si="8"/>
        <v>6572500</v>
      </c>
      <c r="L107" s="2" t="str">
        <f t="shared" si="9"/>
        <v>Premium</v>
      </c>
    </row>
    <row r="108" spans="1:12" x14ac:dyDescent="0.3">
      <c r="A108" t="s">
        <v>132</v>
      </c>
      <c r="B108" t="s">
        <v>189</v>
      </c>
      <c r="C108" s="3">
        <v>4.4000000000000004</v>
      </c>
      <c r="D108" s="3">
        <v>5385</v>
      </c>
      <c r="E108" t="s">
        <v>190</v>
      </c>
      <c r="F108" s="3">
        <v>18.930366299999999</v>
      </c>
      <c r="G108">
        <v>72.826398099999906</v>
      </c>
      <c r="H108">
        <f t="shared" si="5"/>
        <v>23694.000000000004</v>
      </c>
      <c r="I108" s="3">
        <f t="shared" si="6"/>
        <v>134625</v>
      </c>
      <c r="J108" s="1">
        <f t="shared" si="7"/>
        <v>450</v>
      </c>
      <c r="K108" s="1">
        <f t="shared" si="8"/>
        <v>60581250</v>
      </c>
      <c r="L108" s="2" t="str">
        <f t="shared" si="9"/>
        <v>Popular</v>
      </c>
    </row>
    <row r="109" spans="1:12" x14ac:dyDescent="0.3">
      <c r="A109" t="s">
        <v>132</v>
      </c>
      <c r="B109" t="s">
        <v>191</v>
      </c>
      <c r="C109" s="3">
        <v>4.5999999999999996</v>
      </c>
      <c r="D109" s="3">
        <v>420</v>
      </c>
      <c r="E109" t="s">
        <v>192</v>
      </c>
      <c r="F109" s="3">
        <v>18.9286554</v>
      </c>
      <c r="G109">
        <v>72.832139799999993</v>
      </c>
      <c r="H109">
        <f t="shared" si="5"/>
        <v>1931.9999999999998</v>
      </c>
      <c r="I109" s="3">
        <f t="shared" si="6"/>
        <v>10500</v>
      </c>
      <c r="J109" s="1">
        <f t="shared" si="7"/>
        <v>450</v>
      </c>
      <c r="K109" s="1">
        <f t="shared" si="8"/>
        <v>4725000</v>
      </c>
      <c r="L109" s="2" t="str">
        <f t="shared" si="9"/>
        <v>Premium</v>
      </c>
    </row>
    <row r="110" spans="1:12" x14ac:dyDescent="0.3">
      <c r="A110" t="s">
        <v>132</v>
      </c>
      <c r="B110" t="s">
        <v>193</v>
      </c>
      <c r="C110" s="3">
        <v>4.3</v>
      </c>
      <c r="D110" s="3">
        <v>330</v>
      </c>
      <c r="E110" t="s">
        <v>194</v>
      </c>
      <c r="F110" s="3">
        <v>18.926452099999999</v>
      </c>
      <c r="G110">
        <v>72.822676899999905</v>
      </c>
      <c r="H110">
        <f t="shared" si="5"/>
        <v>1419</v>
      </c>
      <c r="I110" s="3">
        <f t="shared" si="6"/>
        <v>8250</v>
      </c>
      <c r="J110" s="1">
        <f t="shared" si="7"/>
        <v>350</v>
      </c>
      <c r="K110" s="1">
        <f t="shared" si="8"/>
        <v>2887500</v>
      </c>
      <c r="L110" s="2" t="str">
        <f t="shared" si="9"/>
        <v>Popular</v>
      </c>
    </row>
    <row r="111" spans="1:12" x14ac:dyDescent="0.3">
      <c r="A111" t="s">
        <v>132</v>
      </c>
      <c r="B111" t="s">
        <v>195</v>
      </c>
      <c r="C111" s="3">
        <v>4.3</v>
      </c>
      <c r="D111" s="3">
        <v>1469</v>
      </c>
      <c r="E111" t="s">
        <v>196</v>
      </c>
      <c r="F111" s="3">
        <v>18.928684799999999</v>
      </c>
      <c r="G111">
        <v>72.832267899999906</v>
      </c>
      <c r="H111">
        <f t="shared" si="5"/>
        <v>6316.7</v>
      </c>
      <c r="I111" s="3">
        <f t="shared" si="6"/>
        <v>36725</v>
      </c>
      <c r="J111" s="1">
        <f t="shared" si="7"/>
        <v>350</v>
      </c>
      <c r="K111" s="1">
        <f t="shared" si="8"/>
        <v>12853750</v>
      </c>
      <c r="L111" s="2" t="str">
        <f t="shared" si="9"/>
        <v>Popular</v>
      </c>
    </row>
    <row r="112" spans="1:12" x14ac:dyDescent="0.3">
      <c r="A112" t="s">
        <v>132</v>
      </c>
      <c r="B112" t="s">
        <v>197</v>
      </c>
      <c r="C112" s="3">
        <v>4.5999999999999996</v>
      </c>
      <c r="D112" s="3">
        <v>619</v>
      </c>
      <c r="E112" t="s">
        <v>198</v>
      </c>
      <c r="F112" s="3">
        <v>18.954806600000001</v>
      </c>
      <c r="G112">
        <v>72.823354999999907</v>
      </c>
      <c r="H112">
        <f t="shared" si="5"/>
        <v>2847.3999999999996</v>
      </c>
      <c r="I112" s="3">
        <f t="shared" si="6"/>
        <v>15475</v>
      </c>
      <c r="J112" s="1">
        <f t="shared" si="7"/>
        <v>450</v>
      </c>
      <c r="K112" s="1">
        <f t="shared" si="8"/>
        <v>6963750</v>
      </c>
      <c r="L112" s="2" t="str">
        <f t="shared" si="9"/>
        <v>Premium</v>
      </c>
    </row>
    <row r="113" spans="1:12" x14ac:dyDescent="0.3">
      <c r="A113" t="s">
        <v>132</v>
      </c>
      <c r="B113" t="s">
        <v>53</v>
      </c>
      <c r="C113" s="3">
        <v>4.5999999999999996</v>
      </c>
      <c r="D113" s="3">
        <v>443</v>
      </c>
      <c r="E113" t="s">
        <v>199</v>
      </c>
      <c r="F113" s="3">
        <v>18.955420199999999</v>
      </c>
      <c r="G113">
        <v>72.813679699999994</v>
      </c>
      <c r="H113">
        <f t="shared" si="5"/>
        <v>2037.8</v>
      </c>
      <c r="I113" s="3">
        <f t="shared" si="6"/>
        <v>11075</v>
      </c>
      <c r="J113" s="1">
        <f t="shared" si="7"/>
        <v>450</v>
      </c>
      <c r="K113" s="1">
        <f t="shared" si="8"/>
        <v>4983750</v>
      </c>
      <c r="L113" s="2" t="str">
        <f t="shared" si="9"/>
        <v>Premium</v>
      </c>
    </row>
    <row r="114" spans="1:12" x14ac:dyDescent="0.3">
      <c r="A114" t="s">
        <v>132</v>
      </c>
      <c r="B114" t="s">
        <v>200</v>
      </c>
      <c r="C114" s="3">
        <v>4</v>
      </c>
      <c r="D114" s="3">
        <v>1586</v>
      </c>
      <c r="E114" t="s">
        <v>201</v>
      </c>
      <c r="F114" s="3">
        <v>18.942869399999999</v>
      </c>
      <c r="G114">
        <v>72.828422699999905</v>
      </c>
      <c r="H114">
        <f t="shared" si="5"/>
        <v>6344</v>
      </c>
      <c r="I114" s="3">
        <f t="shared" si="6"/>
        <v>39650</v>
      </c>
      <c r="J114" s="1">
        <f t="shared" si="7"/>
        <v>350</v>
      </c>
      <c r="K114" s="1">
        <f t="shared" si="8"/>
        <v>13877500</v>
      </c>
      <c r="L114" s="2" t="str">
        <f t="shared" si="9"/>
        <v>Popular</v>
      </c>
    </row>
    <row r="115" spans="1:12" x14ac:dyDescent="0.3">
      <c r="A115" t="s">
        <v>132</v>
      </c>
      <c r="B115" t="s">
        <v>202</v>
      </c>
      <c r="C115" s="3">
        <v>4.4000000000000004</v>
      </c>
      <c r="D115" s="3">
        <v>16</v>
      </c>
      <c r="E115" t="s">
        <v>203</v>
      </c>
      <c r="F115" s="3">
        <v>18.939498799999999</v>
      </c>
      <c r="G115">
        <v>72.828173699999994</v>
      </c>
      <c r="H115">
        <f t="shared" si="5"/>
        <v>70.400000000000006</v>
      </c>
      <c r="I115" s="3">
        <f t="shared" si="6"/>
        <v>400</v>
      </c>
      <c r="J115" s="1">
        <f t="shared" si="7"/>
        <v>450</v>
      </c>
      <c r="K115" s="1">
        <f t="shared" si="8"/>
        <v>180000</v>
      </c>
      <c r="L115" s="2" t="str">
        <f t="shared" si="9"/>
        <v>Popular</v>
      </c>
    </row>
    <row r="116" spans="1:12" x14ac:dyDescent="0.3">
      <c r="A116" t="s">
        <v>132</v>
      </c>
      <c r="B116" t="s">
        <v>53</v>
      </c>
      <c r="C116" s="3">
        <v>4.8</v>
      </c>
      <c r="D116" s="3">
        <v>1251</v>
      </c>
      <c r="E116" t="s">
        <v>54</v>
      </c>
      <c r="F116" s="3">
        <v>18.914994499999999</v>
      </c>
      <c r="G116">
        <v>72.823645099999993</v>
      </c>
      <c r="H116">
        <f t="shared" si="5"/>
        <v>6004.8</v>
      </c>
      <c r="I116" s="3">
        <f t="shared" si="6"/>
        <v>31275</v>
      </c>
      <c r="J116" s="1">
        <f t="shared" si="7"/>
        <v>550</v>
      </c>
      <c r="K116" s="1">
        <f t="shared" si="8"/>
        <v>17201250</v>
      </c>
      <c r="L116" s="2" t="str">
        <f t="shared" si="9"/>
        <v>Premium</v>
      </c>
    </row>
    <row r="117" spans="1:12" x14ac:dyDescent="0.3">
      <c r="A117" t="s">
        <v>132</v>
      </c>
      <c r="B117" t="s">
        <v>204</v>
      </c>
      <c r="C117" s="3">
        <v>4.4000000000000004</v>
      </c>
      <c r="D117" s="3">
        <v>134</v>
      </c>
      <c r="E117" t="s">
        <v>205</v>
      </c>
      <c r="F117" s="3">
        <v>18.9414567</v>
      </c>
      <c r="G117">
        <v>72.827862499999995</v>
      </c>
      <c r="H117">
        <f t="shared" si="5"/>
        <v>589.6</v>
      </c>
      <c r="I117" s="3">
        <f t="shared" si="6"/>
        <v>3350</v>
      </c>
      <c r="J117" s="1">
        <f t="shared" si="7"/>
        <v>450</v>
      </c>
      <c r="K117" s="1">
        <f t="shared" si="8"/>
        <v>1507500</v>
      </c>
      <c r="L117" s="2" t="str">
        <f t="shared" si="9"/>
        <v>Popular</v>
      </c>
    </row>
    <row r="118" spans="1:12" x14ac:dyDescent="0.3">
      <c r="A118" t="s">
        <v>132</v>
      </c>
      <c r="B118" t="s">
        <v>206</v>
      </c>
      <c r="C118" s="3">
        <v>4.2</v>
      </c>
      <c r="D118" s="3">
        <v>25681</v>
      </c>
      <c r="E118" t="s">
        <v>207</v>
      </c>
      <c r="F118" s="3">
        <v>18.933391499999999</v>
      </c>
      <c r="G118">
        <v>72.823882099999906</v>
      </c>
      <c r="H118">
        <f t="shared" si="5"/>
        <v>107860.20000000001</v>
      </c>
      <c r="I118" s="3">
        <f t="shared" si="6"/>
        <v>642025</v>
      </c>
      <c r="J118" s="1">
        <f t="shared" si="7"/>
        <v>350</v>
      </c>
      <c r="K118" s="1">
        <f t="shared" si="8"/>
        <v>224708750</v>
      </c>
      <c r="L118" s="2" t="str">
        <f t="shared" si="9"/>
        <v>Popular</v>
      </c>
    </row>
    <row r="119" spans="1:12" x14ac:dyDescent="0.3">
      <c r="A119" t="s">
        <v>132</v>
      </c>
      <c r="B119" t="s">
        <v>208</v>
      </c>
      <c r="C119" s="3">
        <v>4.4000000000000004</v>
      </c>
      <c r="D119" s="3">
        <v>255</v>
      </c>
      <c r="E119" t="s">
        <v>209</v>
      </c>
      <c r="F119" s="3">
        <v>18.932031599999998</v>
      </c>
      <c r="G119">
        <v>72.831901500000001</v>
      </c>
      <c r="H119">
        <f t="shared" si="5"/>
        <v>1122</v>
      </c>
      <c r="I119" s="3">
        <f t="shared" si="6"/>
        <v>6375</v>
      </c>
      <c r="J119" s="1">
        <f t="shared" si="7"/>
        <v>450</v>
      </c>
      <c r="K119" s="1">
        <f t="shared" si="8"/>
        <v>2868750</v>
      </c>
      <c r="L119" s="2" t="str">
        <f t="shared" si="9"/>
        <v>Popular</v>
      </c>
    </row>
    <row r="120" spans="1:12" x14ac:dyDescent="0.3">
      <c r="A120" t="s">
        <v>132</v>
      </c>
      <c r="B120" t="s">
        <v>210</v>
      </c>
      <c r="C120" s="3">
        <v>4.0999999999999996</v>
      </c>
      <c r="D120" s="3">
        <v>2934</v>
      </c>
      <c r="E120" t="s">
        <v>211</v>
      </c>
      <c r="F120" s="3">
        <v>18.955721</v>
      </c>
      <c r="G120">
        <v>72.813020299999906</v>
      </c>
      <c r="H120">
        <f t="shared" si="5"/>
        <v>12029.4</v>
      </c>
      <c r="I120" s="3">
        <f t="shared" si="6"/>
        <v>73350</v>
      </c>
      <c r="J120" s="1">
        <f t="shared" si="7"/>
        <v>350</v>
      </c>
      <c r="K120" s="1">
        <f t="shared" si="8"/>
        <v>25672500</v>
      </c>
      <c r="L120" s="2" t="str">
        <f t="shared" si="9"/>
        <v>Popular</v>
      </c>
    </row>
    <row r="121" spans="1:12" x14ac:dyDescent="0.3">
      <c r="A121" t="s">
        <v>132</v>
      </c>
      <c r="B121" t="s">
        <v>27</v>
      </c>
      <c r="C121" s="3">
        <v>4.2</v>
      </c>
      <c r="D121" s="3">
        <v>9490</v>
      </c>
      <c r="E121" t="s">
        <v>28</v>
      </c>
      <c r="F121" s="3">
        <v>18.9216619</v>
      </c>
      <c r="G121">
        <v>72.832298399999999</v>
      </c>
      <c r="H121">
        <f t="shared" si="5"/>
        <v>39858</v>
      </c>
      <c r="I121" s="3">
        <f t="shared" si="6"/>
        <v>237250</v>
      </c>
      <c r="J121" s="1">
        <f t="shared" si="7"/>
        <v>350</v>
      </c>
      <c r="K121" s="1">
        <f t="shared" si="8"/>
        <v>83037500</v>
      </c>
      <c r="L121" s="2" t="str">
        <f t="shared" si="9"/>
        <v>Popular</v>
      </c>
    </row>
    <row r="122" spans="1:12" x14ac:dyDescent="0.3">
      <c r="A122" t="s">
        <v>212</v>
      </c>
      <c r="B122" t="s">
        <v>213</v>
      </c>
      <c r="C122" s="3">
        <v>4.0999999999999996</v>
      </c>
      <c r="D122" s="3">
        <v>8457</v>
      </c>
      <c r="E122" t="s">
        <v>214</v>
      </c>
      <c r="F122" s="3">
        <v>19.0168049</v>
      </c>
      <c r="G122">
        <v>72.846186899999907</v>
      </c>
      <c r="H122">
        <f t="shared" si="5"/>
        <v>34673.699999999997</v>
      </c>
      <c r="I122" s="3">
        <f t="shared" si="6"/>
        <v>211425</v>
      </c>
      <c r="J122" s="1">
        <f t="shared" si="7"/>
        <v>350</v>
      </c>
      <c r="K122" s="1">
        <f t="shared" si="8"/>
        <v>73998750</v>
      </c>
      <c r="L122" s="2" t="str">
        <f t="shared" si="9"/>
        <v>Popular</v>
      </c>
    </row>
    <row r="123" spans="1:12" x14ac:dyDescent="0.3">
      <c r="A123" t="s">
        <v>212</v>
      </c>
      <c r="B123" t="s">
        <v>215</v>
      </c>
      <c r="C123" s="3">
        <v>4</v>
      </c>
      <c r="D123" s="3">
        <v>1561</v>
      </c>
      <c r="E123" t="s">
        <v>216</v>
      </c>
      <c r="F123" s="3">
        <v>19.016320799999999</v>
      </c>
      <c r="G123">
        <v>72.835219999999893</v>
      </c>
      <c r="H123">
        <f t="shared" si="5"/>
        <v>6244</v>
      </c>
      <c r="I123" s="3">
        <f t="shared" si="6"/>
        <v>39025</v>
      </c>
      <c r="J123" s="1">
        <f t="shared" si="7"/>
        <v>350</v>
      </c>
      <c r="K123" s="1">
        <f t="shared" si="8"/>
        <v>13658750</v>
      </c>
      <c r="L123" s="2" t="str">
        <f t="shared" si="9"/>
        <v>Popular</v>
      </c>
    </row>
    <row r="124" spans="1:12" x14ac:dyDescent="0.3">
      <c r="A124" t="s">
        <v>212</v>
      </c>
      <c r="B124" t="s">
        <v>217</v>
      </c>
      <c r="C124" s="3">
        <v>4.2</v>
      </c>
      <c r="D124" s="3">
        <v>1898</v>
      </c>
      <c r="E124" t="s">
        <v>218</v>
      </c>
      <c r="F124" s="3">
        <v>19.028188100000001</v>
      </c>
      <c r="G124">
        <v>72.841099</v>
      </c>
      <c r="H124">
        <f t="shared" si="5"/>
        <v>7971.6</v>
      </c>
      <c r="I124" s="3">
        <f t="shared" si="6"/>
        <v>47450</v>
      </c>
      <c r="J124" s="1">
        <f t="shared" si="7"/>
        <v>350</v>
      </c>
      <c r="K124" s="1">
        <f t="shared" si="8"/>
        <v>16607500</v>
      </c>
      <c r="L124" s="2" t="str">
        <f t="shared" si="9"/>
        <v>Popular</v>
      </c>
    </row>
    <row r="125" spans="1:12" x14ac:dyDescent="0.3">
      <c r="A125" t="s">
        <v>212</v>
      </c>
      <c r="B125" t="s">
        <v>219</v>
      </c>
      <c r="C125" s="3">
        <v>4.5999999999999996</v>
      </c>
      <c r="D125" s="3">
        <v>375</v>
      </c>
      <c r="E125" t="s">
        <v>220</v>
      </c>
      <c r="F125" s="3">
        <v>19.015682699999999</v>
      </c>
      <c r="G125">
        <v>72.837904899999998</v>
      </c>
      <c r="H125">
        <f t="shared" si="5"/>
        <v>1724.9999999999998</v>
      </c>
      <c r="I125" s="3">
        <f t="shared" si="6"/>
        <v>9375</v>
      </c>
      <c r="J125" s="1">
        <f t="shared" si="7"/>
        <v>450</v>
      </c>
      <c r="K125" s="1">
        <f t="shared" si="8"/>
        <v>4218750</v>
      </c>
      <c r="L125" s="2" t="str">
        <f t="shared" si="9"/>
        <v>Premium</v>
      </c>
    </row>
    <row r="126" spans="1:12" x14ac:dyDescent="0.3">
      <c r="A126" t="s">
        <v>212</v>
      </c>
      <c r="B126" t="s">
        <v>221</v>
      </c>
      <c r="C126" s="3">
        <v>4.2</v>
      </c>
      <c r="D126" s="3">
        <v>846</v>
      </c>
      <c r="E126" t="s">
        <v>222</v>
      </c>
      <c r="F126" s="3">
        <v>19.017466299999999</v>
      </c>
      <c r="G126">
        <v>72.848709299999996</v>
      </c>
      <c r="H126">
        <f t="shared" si="5"/>
        <v>3553.2000000000003</v>
      </c>
      <c r="I126" s="3">
        <f t="shared" si="6"/>
        <v>21150</v>
      </c>
      <c r="J126" s="1">
        <f t="shared" si="7"/>
        <v>350</v>
      </c>
      <c r="K126" s="1">
        <f t="shared" si="8"/>
        <v>7402500</v>
      </c>
      <c r="L126" s="2" t="str">
        <f t="shared" si="9"/>
        <v>Popular</v>
      </c>
    </row>
    <row r="127" spans="1:12" x14ac:dyDescent="0.3">
      <c r="A127" t="s">
        <v>212</v>
      </c>
      <c r="B127" t="s">
        <v>223</v>
      </c>
      <c r="C127" s="3">
        <v>4</v>
      </c>
      <c r="D127" s="3">
        <v>117</v>
      </c>
      <c r="E127" t="s">
        <v>224</v>
      </c>
      <c r="F127" s="3">
        <v>19.021225900000001</v>
      </c>
      <c r="G127">
        <v>72.836906999999997</v>
      </c>
      <c r="H127">
        <f t="shared" si="5"/>
        <v>468</v>
      </c>
      <c r="I127" s="3">
        <f t="shared" si="6"/>
        <v>2925</v>
      </c>
      <c r="J127" s="1">
        <f t="shared" si="7"/>
        <v>350</v>
      </c>
      <c r="K127" s="1">
        <f t="shared" si="8"/>
        <v>1023750</v>
      </c>
      <c r="L127" s="2" t="str">
        <f t="shared" si="9"/>
        <v>Popular</v>
      </c>
    </row>
    <row r="128" spans="1:12" x14ac:dyDescent="0.3">
      <c r="A128" t="s">
        <v>212</v>
      </c>
      <c r="B128" t="s">
        <v>225</v>
      </c>
      <c r="C128" s="3">
        <v>4.7</v>
      </c>
      <c r="D128" s="3">
        <v>175</v>
      </c>
      <c r="E128" t="s">
        <v>226</v>
      </c>
      <c r="F128" s="3">
        <v>19.0118069</v>
      </c>
      <c r="G128">
        <v>72.845613299999997</v>
      </c>
      <c r="H128">
        <f t="shared" si="5"/>
        <v>822.5</v>
      </c>
      <c r="I128" s="3">
        <f t="shared" si="6"/>
        <v>4375</v>
      </c>
      <c r="J128" s="1">
        <f t="shared" si="7"/>
        <v>550</v>
      </c>
      <c r="K128" s="1">
        <f t="shared" si="8"/>
        <v>2406250</v>
      </c>
      <c r="L128" s="2" t="str">
        <f t="shared" si="9"/>
        <v>Premium</v>
      </c>
    </row>
    <row r="129" spans="1:12" x14ac:dyDescent="0.3">
      <c r="A129" t="s">
        <v>212</v>
      </c>
      <c r="B129" t="s">
        <v>227</v>
      </c>
      <c r="C129" s="3">
        <v>4.3</v>
      </c>
      <c r="D129" s="3">
        <v>2687</v>
      </c>
      <c r="E129" t="s">
        <v>228</v>
      </c>
      <c r="F129" s="3">
        <v>19.006262400000001</v>
      </c>
      <c r="G129">
        <v>72.840791799999906</v>
      </c>
      <c r="H129">
        <f t="shared" si="5"/>
        <v>11554.1</v>
      </c>
      <c r="I129" s="3">
        <f t="shared" si="6"/>
        <v>67175</v>
      </c>
      <c r="J129" s="1">
        <f t="shared" si="7"/>
        <v>350</v>
      </c>
      <c r="K129" s="1">
        <f t="shared" si="8"/>
        <v>23511250</v>
      </c>
      <c r="L129" s="2" t="str">
        <f t="shared" si="9"/>
        <v>Popular</v>
      </c>
    </row>
    <row r="130" spans="1:12" x14ac:dyDescent="0.3">
      <c r="A130" t="s">
        <v>212</v>
      </c>
      <c r="B130" t="s">
        <v>229</v>
      </c>
      <c r="C130" s="3">
        <v>4</v>
      </c>
      <c r="D130" s="3">
        <v>1104</v>
      </c>
      <c r="E130" t="s">
        <v>230</v>
      </c>
      <c r="F130" s="3">
        <v>19.0186867</v>
      </c>
      <c r="G130">
        <v>72.846830999999995</v>
      </c>
      <c r="H130">
        <f t="shared" ref="H130:H193" si="10">C130*D130</f>
        <v>4416</v>
      </c>
      <c r="I130" s="3">
        <f t="shared" ref="I130:I193" si="11">D130*25</f>
        <v>27600</v>
      </c>
      <c r="J130" s="1">
        <f t="shared" ref="J130:J193" si="12">IF(C130&gt;=4.7,550,IF(C130&gt;=4.4,450,IF(C130&gt;=O132,350,250)))</f>
        <v>350</v>
      </c>
      <c r="K130" s="1">
        <f t="shared" ref="K130:K193" si="13">I130*J130</f>
        <v>9660000</v>
      </c>
      <c r="L130" s="2" t="str">
        <f t="shared" ref="L130:L193" si="14">IF(C130&gt;=4.5,"Premium",IF(C130&gt;=4,"Popular","Average"))</f>
        <v>Popular</v>
      </c>
    </row>
    <row r="131" spans="1:12" x14ac:dyDescent="0.3">
      <c r="A131" t="s">
        <v>212</v>
      </c>
      <c r="B131" t="s">
        <v>231</v>
      </c>
      <c r="C131" s="3">
        <v>4.8</v>
      </c>
      <c r="D131" s="3">
        <v>325</v>
      </c>
      <c r="E131" t="s">
        <v>232</v>
      </c>
      <c r="F131" s="3">
        <v>19.011390599999999</v>
      </c>
      <c r="G131">
        <v>72.835269199999999</v>
      </c>
      <c r="H131">
        <f t="shared" si="10"/>
        <v>1560</v>
      </c>
      <c r="I131" s="3">
        <f t="shared" si="11"/>
        <v>8125</v>
      </c>
      <c r="J131" s="1">
        <f t="shared" si="12"/>
        <v>550</v>
      </c>
      <c r="K131" s="1">
        <f t="shared" si="13"/>
        <v>4468750</v>
      </c>
      <c r="L131" s="2" t="str">
        <f t="shared" si="14"/>
        <v>Premium</v>
      </c>
    </row>
    <row r="132" spans="1:12" x14ac:dyDescent="0.3">
      <c r="A132" t="s">
        <v>212</v>
      </c>
      <c r="B132" t="s">
        <v>233</v>
      </c>
      <c r="C132" s="3">
        <v>3.9</v>
      </c>
      <c r="D132" s="3">
        <v>2130</v>
      </c>
      <c r="E132" t="s">
        <v>234</v>
      </c>
      <c r="F132" s="3">
        <v>19.017140300000001</v>
      </c>
      <c r="G132">
        <v>72.844657499999997</v>
      </c>
      <c r="H132">
        <f t="shared" si="10"/>
        <v>8307</v>
      </c>
      <c r="I132" s="3">
        <f t="shared" si="11"/>
        <v>53250</v>
      </c>
      <c r="J132" s="1">
        <f t="shared" si="12"/>
        <v>350</v>
      </c>
      <c r="K132" s="1">
        <f t="shared" si="13"/>
        <v>18637500</v>
      </c>
      <c r="L132" s="2" t="str">
        <f t="shared" si="14"/>
        <v>Average</v>
      </c>
    </row>
    <row r="133" spans="1:12" x14ac:dyDescent="0.3">
      <c r="A133" t="s">
        <v>212</v>
      </c>
      <c r="B133" t="s">
        <v>235</v>
      </c>
      <c r="C133" s="3">
        <v>4.5</v>
      </c>
      <c r="D133" s="3">
        <v>774</v>
      </c>
      <c r="E133" t="s">
        <v>236</v>
      </c>
      <c r="F133" s="3">
        <v>19.019539099999999</v>
      </c>
      <c r="G133">
        <v>72.831898199999998</v>
      </c>
      <c r="H133">
        <f t="shared" si="10"/>
        <v>3483</v>
      </c>
      <c r="I133" s="3">
        <f t="shared" si="11"/>
        <v>19350</v>
      </c>
      <c r="J133" s="1">
        <f t="shared" si="12"/>
        <v>450</v>
      </c>
      <c r="K133" s="1">
        <f t="shared" si="13"/>
        <v>8707500</v>
      </c>
      <c r="L133" s="2" t="str">
        <f t="shared" si="14"/>
        <v>Premium</v>
      </c>
    </row>
    <row r="134" spans="1:12" x14ac:dyDescent="0.3">
      <c r="A134" t="s">
        <v>212</v>
      </c>
      <c r="B134" t="s">
        <v>237</v>
      </c>
      <c r="C134" s="3">
        <v>4.5</v>
      </c>
      <c r="D134" s="3">
        <v>92</v>
      </c>
      <c r="E134" t="s">
        <v>238</v>
      </c>
      <c r="F134" s="3">
        <v>19.025475799999999</v>
      </c>
      <c r="G134">
        <v>72.835516999999996</v>
      </c>
      <c r="H134">
        <f t="shared" si="10"/>
        <v>414</v>
      </c>
      <c r="I134" s="3">
        <f t="shared" si="11"/>
        <v>2300</v>
      </c>
      <c r="J134" s="1">
        <f t="shared" si="12"/>
        <v>450</v>
      </c>
      <c r="K134" s="1">
        <f t="shared" si="13"/>
        <v>1035000</v>
      </c>
      <c r="L134" s="2" t="str">
        <f t="shared" si="14"/>
        <v>Premium</v>
      </c>
    </row>
    <row r="135" spans="1:12" x14ac:dyDescent="0.3">
      <c r="A135" t="s">
        <v>212</v>
      </c>
      <c r="B135" t="s">
        <v>239</v>
      </c>
      <c r="C135" s="3">
        <v>4.5</v>
      </c>
      <c r="D135" s="3">
        <v>23</v>
      </c>
      <c r="E135" t="s">
        <v>240</v>
      </c>
      <c r="F135" s="3">
        <v>19.0255689</v>
      </c>
      <c r="G135">
        <v>72.840978800000002</v>
      </c>
      <c r="H135">
        <f t="shared" si="10"/>
        <v>103.5</v>
      </c>
      <c r="I135" s="3">
        <f t="shared" si="11"/>
        <v>575</v>
      </c>
      <c r="J135" s="1">
        <f t="shared" si="12"/>
        <v>450</v>
      </c>
      <c r="K135" s="1">
        <f t="shared" si="13"/>
        <v>258750</v>
      </c>
      <c r="L135" s="2" t="str">
        <f t="shared" si="14"/>
        <v>Premium</v>
      </c>
    </row>
    <row r="136" spans="1:12" x14ac:dyDescent="0.3">
      <c r="A136" t="s">
        <v>212</v>
      </c>
      <c r="B136" t="s">
        <v>241</v>
      </c>
      <c r="C136" s="3">
        <v>4.8</v>
      </c>
      <c r="D136" s="3">
        <v>17</v>
      </c>
      <c r="E136" t="s">
        <v>242</v>
      </c>
      <c r="F136" s="3">
        <v>19.016491500000001</v>
      </c>
      <c r="G136">
        <v>72.835392799999994</v>
      </c>
      <c r="H136">
        <f t="shared" si="10"/>
        <v>81.599999999999994</v>
      </c>
      <c r="I136" s="3">
        <f t="shared" si="11"/>
        <v>425</v>
      </c>
      <c r="J136" s="1">
        <f t="shared" si="12"/>
        <v>550</v>
      </c>
      <c r="K136" s="1">
        <f t="shared" si="13"/>
        <v>233750</v>
      </c>
      <c r="L136" s="2" t="str">
        <f t="shared" si="14"/>
        <v>Premium</v>
      </c>
    </row>
    <row r="137" spans="1:12" x14ac:dyDescent="0.3">
      <c r="A137" t="s">
        <v>212</v>
      </c>
      <c r="B137" t="s">
        <v>243</v>
      </c>
      <c r="C137" s="3">
        <v>4.4000000000000004</v>
      </c>
      <c r="D137" s="3">
        <v>24600</v>
      </c>
      <c r="E137" t="s">
        <v>244</v>
      </c>
      <c r="F137" s="3">
        <v>19.027620299999999</v>
      </c>
      <c r="G137">
        <v>72.855041499999999</v>
      </c>
      <c r="H137">
        <f t="shared" si="10"/>
        <v>108240.00000000001</v>
      </c>
      <c r="I137" s="3">
        <f t="shared" si="11"/>
        <v>615000</v>
      </c>
      <c r="J137" s="1">
        <f t="shared" si="12"/>
        <v>450</v>
      </c>
      <c r="K137" s="1">
        <f t="shared" si="13"/>
        <v>276750000</v>
      </c>
      <c r="L137" s="2" t="str">
        <f t="shared" si="14"/>
        <v>Popular</v>
      </c>
    </row>
    <row r="138" spans="1:12" x14ac:dyDescent="0.3">
      <c r="A138" t="s">
        <v>212</v>
      </c>
      <c r="B138" t="s">
        <v>245</v>
      </c>
      <c r="C138" s="3">
        <v>4.0999999999999996</v>
      </c>
      <c r="D138" s="3">
        <v>583</v>
      </c>
      <c r="E138" t="s">
        <v>246</v>
      </c>
      <c r="F138" s="3">
        <v>19.029471399999998</v>
      </c>
      <c r="G138">
        <v>72.840066399999998</v>
      </c>
      <c r="H138">
        <f t="shared" si="10"/>
        <v>2390.2999999999997</v>
      </c>
      <c r="I138" s="3">
        <f t="shared" si="11"/>
        <v>14575</v>
      </c>
      <c r="J138" s="1">
        <f t="shared" si="12"/>
        <v>350</v>
      </c>
      <c r="K138" s="1">
        <f t="shared" si="13"/>
        <v>5101250</v>
      </c>
      <c r="L138" s="2" t="str">
        <f t="shared" si="14"/>
        <v>Popular</v>
      </c>
    </row>
    <row r="139" spans="1:12" x14ac:dyDescent="0.3">
      <c r="A139" t="s">
        <v>212</v>
      </c>
      <c r="B139" t="s">
        <v>145</v>
      </c>
      <c r="C139" s="3">
        <v>3.9</v>
      </c>
      <c r="D139" s="3">
        <v>1392</v>
      </c>
      <c r="E139" t="s">
        <v>247</v>
      </c>
      <c r="F139" s="3">
        <v>19.0290097</v>
      </c>
      <c r="G139">
        <v>72.838479199999995</v>
      </c>
      <c r="H139">
        <f t="shared" si="10"/>
        <v>5428.8</v>
      </c>
      <c r="I139" s="3">
        <f t="shared" si="11"/>
        <v>34800</v>
      </c>
      <c r="J139" s="1">
        <f t="shared" si="12"/>
        <v>350</v>
      </c>
      <c r="K139" s="1">
        <f t="shared" si="13"/>
        <v>12180000</v>
      </c>
      <c r="L139" s="2" t="str">
        <f t="shared" si="14"/>
        <v>Average</v>
      </c>
    </row>
    <row r="140" spans="1:12" x14ac:dyDescent="0.3">
      <c r="A140" t="s">
        <v>212</v>
      </c>
      <c r="B140" t="s">
        <v>53</v>
      </c>
      <c r="C140" s="3">
        <v>4.7</v>
      </c>
      <c r="D140" s="3">
        <v>1415</v>
      </c>
      <c r="E140" t="s">
        <v>248</v>
      </c>
      <c r="F140" s="3">
        <v>19.0408896</v>
      </c>
      <c r="G140">
        <v>72.846201800000003</v>
      </c>
      <c r="H140">
        <f t="shared" si="10"/>
        <v>6650.5</v>
      </c>
      <c r="I140" s="3">
        <f t="shared" si="11"/>
        <v>35375</v>
      </c>
      <c r="J140" s="1">
        <f t="shared" si="12"/>
        <v>550</v>
      </c>
      <c r="K140" s="1">
        <f t="shared" si="13"/>
        <v>19456250</v>
      </c>
      <c r="L140" s="2" t="str">
        <f t="shared" si="14"/>
        <v>Premium</v>
      </c>
    </row>
    <row r="141" spans="1:12" x14ac:dyDescent="0.3">
      <c r="A141" t="s">
        <v>212</v>
      </c>
      <c r="B141" t="s">
        <v>249</v>
      </c>
      <c r="C141" s="3">
        <v>4.5</v>
      </c>
      <c r="D141" s="3">
        <v>31</v>
      </c>
      <c r="E141" t="s">
        <v>250</v>
      </c>
      <c r="F141" s="3">
        <v>19.016371100000001</v>
      </c>
      <c r="G141">
        <v>72.830413399999998</v>
      </c>
      <c r="H141">
        <f t="shared" si="10"/>
        <v>139.5</v>
      </c>
      <c r="I141" s="3">
        <f t="shared" si="11"/>
        <v>775</v>
      </c>
      <c r="J141" s="1">
        <f t="shared" si="12"/>
        <v>450</v>
      </c>
      <c r="K141" s="1">
        <f t="shared" si="13"/>
        <v>348750</v>
      </c>
      <c r="L141" s="2" t="str">
        <f t="shared" si="14"/>
        <v>Premium</v>
      </c>
    </row>
    <row r="142" spans="1:12" x14ac:dyDescent="0.3">
      <c r="A142" t="s">
        <v>212</v>
      </c>
      <c r="B142" t="s">
        <v>251</v>
      </c>
      <c r="C142" s="3">
        <v>4.4000000000000004</v>
      </c>
      <c r="D142" s="3">
        <v>5790</v>
      </c>
      <c r="E142" t="s">
        <v>252</v>
      </c>
      <c r="F142" s="3">
        <v>19.0390084</v>
      </c>
      <c r="G142">
        <v>72.842680099999995</v>
      </c>
      <c r="H142">
        <f t="shared" si="10"/>
        <v>25476.000000000004</v>
      </c>
      <c r="I142" s="3">
        <f t="shared" si="11"/>
        <v>144750</v>
      </c>
      <c r="J142" s="1">
        <f t="shared" si="12"/>
        <v>450</v>
      </c>
      <c r="K142" s="1">
        <f t="shared" si="13"/>
        <v>65137500</v>
      </c>
      <c r="L142" s="2" t="str">
        <f t="shared" si="14"/>
        <v>Popular</v>
      </c>
    </row>
    <row r="143" spans="1:12" x14ac:dyDescent="0.3">
      <c r="A143" t="s">
        <v>212</v>
      </c>
      <c r="B143" t="s">
        <v>253</v>
      </c>
      <c r="C143" s="3">
        <v>4.8</v>
      </c>
      <c r="D143" s="3">
        <v>55</v>
      </c>
      <c r="E143" t="s">
        <v>254</v>
      </c>
      <c r="F143" s="3">
        <v>19.011507999999999</v>
      </c>
      <c r="G143">
        <v>72.846718499999994</v>
      </c>
      <c r="H143">
        <f t="shared" si="10"/>
        <v>264</v>
      </c>
      <c r="I143" s="3">
        <f t="shared" si="11"/>
        <v>1375</v>
      </c>
      <c r="J143" s="1">
        <f t="shared" si="12"/>
        <v>550</v>
      </c>
      <c r="K143" s="1">
        <f t="shared" si="13"/>
        <v>756250</v>
      </c>
      <c r="L143" s="2" t="str">
        <f t="shared" si="14"/>
        <v>Premium</v>
      </c>
    </row>
    <row r="144" spans="1:12" x14ac:dyDescent="0.3">
      <c r="A144" t="s">
        <v>212</v>
      </c>
      <c r="B144" t="s">
        <v>255</v>
      </c>
      <c r="C144" s="3">
        <v>4.2</v>
      </c>
      <c r="D144" s="3">
        <v>4162</v>
      </c>
      <c r="E144" t="s">
        <v>256</v>
      </c>
      <c r="F144" s="3">
        <v>19.031528699999999</v>
      </c>
      <c r="G144">
        <v>72.838803900000002</v>
      </c>
      <c r="H144">
        <f t="shared" si="10"/>
        <v>17480.400000000001</v>
      </c>
      <c r="I144" s="3">
        <f t="shared" si="11"/>
        <v>104050</v>
      </c>
      <c r="J144" s="1">
        <f t="shared" si="12"/>
        <v>350</v>
      </c>
      <c r="K144" s="1">
        <f t="shared" si="13"/>
        <v>36417500</v>
      </c>
      <c r="L144" s="2" t="str">
        <f t="shared" si="14"/>
        <v>Popular</v>
      </c>
    </row>
    <row r="145" spans="1:12" x14ac:dyDescent="0.3">
      <c r="A145" t="s">
        <v>212</v>
      </c>
      <c r="B145" t="s">
        <v>257</v>
      </c>
      <c r="C145" s="3">
        <v>4.7</v>
      </c>
      <c r="D145" s="3">
        <v>38</v>
      </c>
      <c r="E145" t="s">
        <v>258</v>
      </c>
      <c r="F145" s="3">
        <v>19.026431500000001</v>
      </c>
      <c r="G145">
        <v>72.834798399999997</v>
      </c>
      <c r="H145">
        <f t="shared" si="10"/>
        <v>178.6</v>
      </c>
      <c r="I145" s="3">
        <f t="shared" si="11"/>
        <v>950</v>
      </c>
      <c r="J145" s="1">
        <f t="shared" si="12"/>
        <v>550</v>
      </c>
      <c r="K145" s="1">
        <f t="shared" si="13"/>
        <v>522500</v>
      </c>
      <c r="L145" s="2" t="str">
        <f t="shared" si="14"/>
        <v>Premium</v>
      </c>
    </row>
    <row r="146" spans="1:12" x14ac:dyDescent="0.3">
      <c r="A146" t="s">
        <v>212</v>
      </c>
      <c r="B146" t="s">
        <v>259</v>
      </c>
      <c r="C146" s="3">
        <v>4.0999999999999996</v>
      </c>
      <c r="D146" s="3">
        <v>1093</v>
      </c>
      <c r="E146" t="s">
        <v>260</v>
      </c>
      <c r="F146" s="3">
        <v>19.029337300000002</v>
      </c>
      <c r="G146">
        <v>72.838066400000002</v>
      </c>
      <c r="H146">
        <f t="shared" si="10"/>
        <v>4481.2999999999993</v>
      </c>
      <c r="I146" s="3">
        <f t="shared" si="11"/>
        <v>27325</v>
      </c>
      <c r="J146" s="1">
        <f t="shared" si="12"/>
        <v>350</v>
      </c>
      <c r="K146" s="1">
        <f t="shared" si="13"/>
        <v>9563750</v>
      </c>
      <c r="L146" s="2" t="str">
        <f t="shared" si="14"/>
        <v>Popular</v>
      </c>
    </row>
    <row r="147" spans="1:12" x14ac:dyDescent="0.3">
      <c r="A147" t="s">
        <v>212</v>
      </c>
      <c r="B147" t="s">
        <v>261</v>
      </c>
      <c r="C147" s="3">
        <v>4.3</v>
      </c>
      <c r="D147" s="3">
        <v>251</v>
      </c>
      <c r="E147" t="s">
        <v>262</v>
      </c>
      <c r="F147" s="3">
        <v>19.0182802</v>
      </c>
      <c r="G147">
        <v>72.839340500000006</v>
      </c>
      <c r="H147">
        <f t="shared" si="10"/>
        <v>1079.3</v>
      </c>
      <c r="I147" s="3">
        <f t="shared" si="11"/>
        <v>6275</v>
      </c>
      <c r="J147" s="1">
        <f t="shared" si="12"/>
        <v>350</v>
      </c>
      <c r="K147" s="1">
        <f t="shared" si="13"/>
        <v>2196250</v>
      </c>
      <c r="L147" s="2" t="str">
        <f t="shared" si="14"/>
        <v>Popular</v>
      </c>
    </row>
    <row r="148" spans="1:12" x14ac:dyDescent="0.3">
      <c r="A148" t="s">
        <v>212</v>
      </c>
      <c r="B148" t="s">
        <v>263</v>
      </c>
      <c r="C148" s="3">
        <v>4.5999999999999996</v>
      </c>
      <c r="D148" s="3">
        <v>475</v>
      </c>
      <c r="E148" t="s">
        <v>264</v>
      </c>
      <c r="F148" s="3">
        <v>19.019210099999999</v>
      </c>
      <c r="G148">
        <v>72.837106399999996</v>
      </c>
      <c r="H148">
        <f t="shared" si="10"/>
        <v>2185</v>
      </c>
      <c r="I148" s="3">
        <f t="shared" si="11"/>
        <v>11875</v>
      </c>
      <c r="J148" s="1">
        <f t="shared" si="12"/>
        <v>450</v>
      </c>
      <c r="K148" s="1">
        <f t="shared" si="13"/>
        <v>5343750</v>
      </c>
      <c r="L148" s="2" t="str">
        <f t="shared" si="14"/>
        <v>Premium</v>
      </c>
    </row>
    <row r="149" spans="1:12" x14ac:dyDescent="0.3">
      <c r="A149" t="s">
        <v>212</v>
      </c>
      <c r="B149" t="s">
        <v>265</v>
      </c>
      <c r="C149" s="3">
        <v>4.4000000000000004</v>
      </c>
      <c r="D149" s="3">
        <v>611</v>
      </c>
      <c r="E149" t="s">
        <v>266</v>
      </c>
      <c r="F149" s="3">
        <v>19.000219999999999</v>
      </c>
      <c r="G149">
        <v>72.830248999999995</v>
      </c>
      <c r="H149">
        <f t="shared" si="10"/>
        <v>2688.4</v>
      </c>
      <c r="I149" s="3">
        <f t="shared" si="11"/>
        <v>15275</v>
      </c>
      <c r="J149" s="1">
        <f t="shared" si="12"/>
        <v>450</v>
      </c>
      <c r="K149" s="1">
        <f t="shared" si="13"/>
        <v>6873750</v>
      </c>
      <c r="L149" s="2" t="str">
        <f t="shared" si="14"/>
        <v>Popular</v>
      </c>
    </row>
    <row r="150" spans="1:12" x14ac:dyDescent="0.3">
      <c r="A150" t="s">
        <v>212</v>
      </c>
      <c r="B150" t="s">
        <v>267</v>
      </c>
      <c r="C150" s="3">
        <v>4.0999999999999996</v>
      </c>
      <c r="D150" s="3">
        <v>3936</v>
      </c>
      <c r="E150" t="s">
        <v>268</v>
      </c>
      <c r="F150" s="3">
        <v>19.016950900000001</v>
      </c>
      <c r="G150">
        <v>72.845926199999994</v>
      </c>
      <c r="H150">
        <f t="shared" si="10"/>
        <v>16137.599999999999</v>
      </c>
      <c r="I150" s="3">
        <f t="shared" si="11"/>
        <v>98400</v>
      </c>
      <c r="J150" s="1">
        <f t="shared" si="12"/>
        <v>350</v>
      </c>
      <c r="K150" s="1">
        <f t="shared" si="13"/>
        <v>34440000</v>
      </c>
      <c r="L150" s="2" t="str">
        <f t="shared" si="14"/>
        <v>Popular</v>
      </c>
    </row>
    <row r="151" spans="1:12" x14ac:dyDescent="0.3">
      <c r="A151" t="s">
        <v>212</v>
      </c>
      <c r="B151" t="s">
        <v>269</v>
      </c>
      <c r="C151" s="3">
        <v>4</v>
      </c>
      <c r="D151" s="3">
        <v>1011</v>
      </c>
      <c r="E151" t="s">
        <v>270</v>
      </c>
      <c r="F151" s="3">
        <v>19.024792900000001</v>
      </c>
      <c r="G151">
        <v>72.841970899999893</v>
      </c>
      <c r="H151">
        <f t="shared" si="10"/>
        <v>4044</v>
      </c>
      <c r="I151" s="3">
        <f t="shared" si="11"/>
        <v>25275</v>
      </c>
      <c r="J151" s="1">
        <f t="shared" si="12"/>
        <v>350</v>
      </c>
      <c r="K151" s="1">
        <f t="shared" si="13"/>
        <v>8846250</v>
      </c>
      <c r="L151" s="2" t="str">
        <f t="shared" si="14"/>
        <v>Popular</v>
      </c>
    </row>
    <row r="152" spans="1:12" x14ac:dyDescent="0.3">
      <c r="A152" t="s">
        <v>212</v>
      </c>
      <c r="B152" t="s">
        <v>271</v>
      </c>
      <c r="C152" s="3">
        <v>3.9</v>
      </c>
      <c r="D152" s="3">
        <v>30</v>
      </c>
      <c r="E152" t="s">
        <v>272</v>
      </c>
      <c r="F152" s="3">
        <v>19.024669500000002</v>
      </c>
      <c r="G152">
        <v>72.842014199999994</v>
      </c>
      <c r="H152">
        <f t="shared" si="10"/>
        <v>117</v>
      </c>
      <c r="I152" s="3">
        <f t="shared" si="11"/>
        <v>750</v>
      </c>
      <c r="J152" s="1">
        <f t="shared" si="12"/>
        <v>350</v>
      </c>
      <c r="K152" s="1">
        <f t="shared" si="13"/>
        <v>262500</v>
      </c>
      <c r="L152" s="2" t="str">
        <f t="shared" si="14"/>
        <v>Average</v>
      </c>
    </row>
    <row r="153" spans="1:12" x14ac:dyDescent="0.3">
      <c r="A153" t="s">
        <v>212</v>
      </c>
      <c r="B153" t="s">
        <v>181</v>
      </c>
      <c r="C153" s="3">
        <v>4.2</v>
      </c>
      <c r="D153" s="3">
        <v>1675</v>
      </c>
      <c r="E153" t="s">
        <v>273</v>
      </c>
      <c r="F153" s="3">
        <v>19.005612599999999</v>
      </c>
      <c r="G153">
        <v>72.831034599999995</v>
      </c>
      <c r="H153">
        <f t="shared" si="10"/>
        <v>7035</v>
      </c>
      <c r="I153" s="3">
        <f t="shared" si="11"/>
        <v>41875</v>
      </c>
      <c r="J153" s="1">
        <f t="shared" si="12"/>
        <v>350</v>
      </c>
      <c r="K153" s="1">
        <f t="shared" si="13"/>
        <v>14656250</v>
      </c>
      <c r="L153" s="2" t="str">
        <f t="shared" si="14"/>
        <v>Popular</v>
      </c>
    </row>
    <row r="154" spans="1:12" x14ac:dyDescent="0.3">
      <c r="A154" t="s">
        <v>212</v>
      </c>
      <c r="B154" t="s">
        <v>274</v>
      </c>
      <c r="C154" s="3">
        <v>3.9</v>
      </c>
      <c r="D154" s="3">
        <v>3574</v>
      </c>
      <c r="E154" t="s">
        <v>275</v>
      </c>
      <c r="F154" s="3">
        <v>19.024196</v>
      </c>
      <c r="G154">
        <v>72.837619000000004</v>
      </c>
      <c r="H154">
        <f t="shared" si="10"/>
        <v>13938.6</v>
      </c>
      <c r="I154" s="3">
        <f t="shared" si="11"/>
        <v>89350</v>
      </c>
      <c r="J154" s="1">
        <f t="shared" si="12"/>
        <v>350</v>
      </c>
      <c r="K154" s="1">
        <f t="shared" si="13"/>
        <v>31272500</v>
      </c>
      <c r="L154" s="2" t="str">
        <f t="shared" si="14"/>
        <v>Average</v>
      </c>
    </row>
    <row r="155" spans="1:12" x14ac:dyDescent="0.3">
      <c r="A155" t="s">
        <v>212</v>
      </c>
      <c r="B155" t="s">
        <v>276</v>
      </c>
      <c r="C155" s="3">
        <v>4.7</v>
      </c>
      <c r="D155" s="3">
        <v>25</v>
      </c>
      <c r="E155" t="s">
        <v>277</v>
      </c>
      <c r="F155" s="3">
        <v>19.019376600000001</v>
      </c>
      <c r="G155">
        <v>72.836246000000003</v>
      </c>
      <c r="H155">
        <f t="shared" si="10"/>
        <v>117.5</v>
      </c>
      <c r="I155" s="3">
        <f t="shared" si="11"/>
        <v>625</v>
      </c>
      <c r="J155" s="1">
        <f t="shared" si="12"/>
        <v>550</v>
      </c>
      <c r="K155" s="1">
        <f t="shared" si="13"/>
        <v>343750</v>
      </c>
      <c r="L155" s="2" t="str">
        <f t="shared" si="14"/>
        <v>Premium</v>
      </c>
    </row>
    <row r="156" spans="1:12" x14ac:dyDescent="0.3">
      <c r="A156" t="s">
        <v>212</v>
      </c>
      <c r="B156" t="s">
        <v>278</v>
      </c>
      <c r="C156" s="3">
        <v>4.4000000000000004</v>
      </c>
      <c r="D156" s="3">
        <v>154</v>
      </c>
      <c r="E156" t="s">
        <v>279</v>
      </c>
      <c r="F156" s="3">
        <v>19.027432699999999</v>
      </c>
      <c r="G156">
        <v>72.857090900000003</v>
      </c>
      <c r="H156">
        <f t="shared" si="10"/>
        <v>677.6</v>
      </c>
      <c r="I156" s="3">
        <f t="shared" si="11"/>
        <v>3850</v>
      </c>
      <c r="J156" s="1">
        <f t="shared" si="12"/>
        <v>450</v>
      </c>
      <c r="K156" s="1">
        <f t="shared" si="13"/>
        <v>1732500</v>
      </c>
      <c r="L156" s="2" t="str">
        <f t="shared" si="14"/>
        <v>Popular</v>
      </c>
    </row>
    <row r="157" spans="1:12" x14ac:dyDescent="0.3">
      <c r="A157" t="s">
        <v>212</v>
      </c>
      <c r="B157" t="s">
        <v>280</v>
      </c>
      <c r="C157" s="3">
        <v>4.4000000000000004</v>
      </c>
      <c r="D157" s="3">
        <v>258</v>
      </c>
      <c r="E157" t="s">
        <v>281</v>
      </c>
      <c r="F157" s="3">
        <v>19.0012553</v>
      </c>
      <c r="G157">
        <v>72.829367599999998</v>
      </c>
      <c r="H157">
        <f t="shared" si="10"/>
        <v>1135.2</v>
      </c>
      <c r="I157" s="3">
        <f t="shared" si="11"/>
        <v>6450</v>
      </c>
      <c r="J157" s="1">
        <f t="shared" si="12"/>
        <v>450</v>
      </c>
      <c r="K157" s="1">
        <f t="shared" si="13"/>
        <v>2902500</v>
      </c>
      <c r="L157" s="2" t="str">
        <f t="shared" si="14"/>
        <v>Popular</v>
      </c>
    </row>
    <row r="158" spans="1:12" x14ac:dyDescent="0.3">
      <c r="A158" t="s">
        <v>212</v>
      </c>
      <c r="B158" t="s">
        <v>282</v>
      </c>
      <c r="C158" s="3">
        <v>4.5999999999999996</v>
      </c>
      <c r="D158" s="3">
        <v>62</v>
      </c>
      <c r="E158" t="s">
        <v>283</v>
      </c>
      <c r="F158" s="3">
        <v>19.023062100000001</v>
      </c>
      <c r="G158">
        <v>72.849080499999999</v>
      </c>
      <c r="H158">
        <f t="shared" si="10"/>
        <v>285.2</v>
      </c>
      <c r="I158" s="3">
        <f t="shared" si="11"/>
        <v>1550</v>
      </c>
      <c r="J158" s="1">
        <f t="shared" si="12"/>
        <v>450</v>
      </c>
      <c r="K158" s="1">
        <f t="shared" si="13"/>
        <v>697500</v>
      </c>
      <c r="L158" s="2" t="str">
        <f t="shared" si="14"/>
        <v>Premium</v>
      </c>
    </row>
    <row r="159" spans="1:12" x14ac:dyDescent="0.3">
      <c r="A159" t="s">
        <v>212</v>
      </c>
      <c r="B159" t="s">
        <v>284</v>
      </c>
      <c r="C159" s="3">
        <v>4.4000000000000004</v>
      </c>
      <c r="D159" s="3">
        <v>176</v>
      </c>
      <c r="E159" t="s">
        <v>285</v>
      </c>
      <c r="F159" s="3">
        <v>19.0019192</v>
      </c>
      <c r="G159">
        <v>72.829302499999997</v>
      </c>
      <c r="H159">
        <f t="shared" si="10"/>
        <v>774.40000000000009</v>
      </c>
      <c r="I159" s="3">
        <f t="shared" si="11"/>
        <v>4400</v>
      </c>
      <c r="J159" s="1">
        <f t="shared" si="12"/>
        <v>450</v>
      </c>
      <c r="K159" s="1">
        <f t="shared" si="13"/>
        <v>1980000</v>
      </c>
      <c r="L159" s="2" t="str">
        <f t="shared" si="14"/>
        <v>Popular</v>
      </c>
    </row>
    <row r="160" spans="1:12" x14ac:dyDescent="0.3">
      <c r="A160" t="s">
        <v>212</v>
      </c>
      <c r="B160" t="s">
        <v>286</v>
      </c>
      <c r="C160" s="3">
        <v>4.0999999999999996</v>
      </c>
      <c r="D160" s="3">
        <v>2470</v>
      </c>
      <c r="E160" t="s">
        <v>287</v>
      </c>
      <c r="F160" s="3">
        <v>19.0241069</v>
      </c>
      <c r="G160">
        <v>72.837660999999997</v>
      </c>
      <c r="H160">
        <f t="shared" si="10"/>
        <v>10127</v>
      </c>
      <c r="I160" s="3">
        <f t="shared" si="11"/>
        <v>61750</v>
      </c>
      <c r="J160" s="1">
        <f t="shared" si="12"/>
        <v>350</v>
      </c>
      <c r="K160" s="1">
        <f t="shared" si="13"/>
        <v>21612500</v>
      </c>
      <c r="L160" s="2" t="str">
        <f t="shared" si="14"/>
        <v>Popular</v>
      </c>
    </row>
    <row r="161" spans="1:12" x14ac:dyDescent="0.3">
      <c r="A161" t="s">
        <v>212</v>
      </c>
      <c r="B161" t="s">
        <v>288</v>
      </c>
      <c r="C161" s="3">
        <v>4.4000000000000004</v>
      </c>
      <c r="D161" s="3">
        <v>3727</v>
      </c>
      <c r="E161" t="s">
        <v>289</v>
      </c>
      <c r="F161" s="3">
        <v>19.0256738</v>
      </c>
      <c r="G161">
        <v>72.835225299999905</v>
      </c>
      <c r="H161">
        <f t="shared" si="10"/>
        <v>16398.800000000003</v>
      </c>
      <c r="I161" s="3">
        <f t="shared" si="11"/>
        <v>93175</v>
      </c>
      <c r="J161" s="1">
        <f t="shared" si="12"/>
        <v>450</v>
      </c>
      <c r="K161" s="1">
        <f t="shared" si="13"/>
        <v>41928750</v>
      </c>
      <c r="L161" s="2" t="str">
        <f t="shared" si="14"/>
        <v>Popular</v>
      </c>
    </row>
    <row r="162" spans="1:12" x14ac:dyDescent="0.3">
      <c r="A162" t="s">
        <v>212</v>
      </c>
      <c r="B162" t="s">
        <v>128</v>
      </c>
      <c r="C162" s="3">
        <v>4.3</v>
      </c>
      <c r="D162" s="3">
        <v>2352</v>
      </c>
      <c r="E162" t="s">
        <v>290</v>
      </c>
      <c r="F162" s="3">
        <v>19.012695999999998</v>
      </c>
      <c r="G162">
        <v>72.823788999999906</v>
      </c>
      <c r="H162">
        <f t="shared" si="10"/>
        <v>10113.6</v>
      </c>
      <c r="I162" s="3">
        <f t="shared" si="11"/>
        <v>58800</v>
      </c>
      <c r="J162" s="1">
        <f t="shared" si="12"/>
        <v>350</v>
      </c>
      <c r="K162" s="1">
        <f t="shared" si="13"/>
        <v>20580000</v>
      </c>
      <c r="L162" s="2" t="str">
        <f t="shared" si="14"/>
        <v>Popular</v>
      </c>
    </row>
    <row r="163" spans="1:12" x14ac:dyDescent="0.3">
      <c r="A163" t="s">
        <v>212</v>
      </c>
      <c r="B163" t="s">
        <v>291</v>
      </c>
      <c r="C163" s="3">
        <v>4.5999999999999996</v>
      </c>
      <c r="D163" s="3">
        <v>287</v>
      </c>
      <c r="E163" t="s">
        <v>292</v>
      </c>
      <c r="F163" s="3">
        <v>19.0067083</v>
      </c>
      <c r="G163">
        <v>72.832725499999995</v>
      </c>
      <c r="H163">
        <f t="shared" si="10"/>
        <v>1320.1999999999998</v>
      </c>
      <c r="I163" s="3">
        <f t="shared" si="11"/>
        <v>7175</v>
      </c>
      <c r="J163" s="1">
        <f t="shared" si="12"/>
        <v>450</v>
      </c>
      <c r="K163" s="1">
        <f t="shared" si="13"/>
        <v>3228750</v>
      </c>
      <c r="L163" s="2" t="str">
        <f t="shared" si="14"/>
        <v>Premium</v>
      </c>
    </row>
    <row r="164" spans="1:12" x14ac:dyDescent="0.3">
      <c r="A164" t="s">
        <v>212</v>
      </c>
      <c r="B164" t="s">
        <v>293</v>
      </c>
      <c r="C164" s="3">
        <v>4.2</v>
      </c>
      <c r="D164" s="3">
        <v>505</v>
      </c>
      <c r="E164" t="s">
        <v>294</v>
      </c>
      <c r="F164" s="3">
        <v>19.025401299999999</v>
      </c>
      <c r="G164">
        <v>72.839640500000002</v>
      </c>
      <c r="H164">
        <f t="shared" si="10"/>
        <v>2121</v>
      </c>
      <c r="I164" s="3">
        <f t="shared" si="11"/>
        <v>12625</v>
      </c>
      <c r="J164" s="1">
        <f t="shared" si="12"/>
        <v>350</v>
      </c>
      <c r="K164" s="1">
        <f t="shared" si="13"/>
        <v>4418750</v>
      </c>
      <c r="L164" s="2" t="str">
        <f t="shared" si="14"/>
        <v>Popular</v>
      </c>
    </row>
    <row r="165" spans="1:12" x14ac:dyDescent="0.3">
      <c r="A165" t="s">
        <v>212</v>
      </c>
      <c r="B165" t="s">
        <v>128</v>
      </c>
      <c r="C165" s="3">
        <v>4.4000000000000004</v>
      </c>
      <c r="D165" s="3">
        <v>724</v>
      </c>
      <c r="E165" t="s">
        <v>295</v>
      </c>
      <c r="F165" s="3">
        <v>19.025138599999998</v>
      </c>
      <c r="G165">
        <v>72.835923600000001</v>
      </c>
      <c r="H165">
        <f t="shared" si="10"/>
        <v>3185.6000000000004</v>
      </c>
      <c r="I165" s="3">
        <f t="shared" si="11"/>
        <v>18100</v>
      </c>
      <c r="J165" s="1">
        <f t="shared" si="12"/>
        <v>450</v>
      </c>
      <c r="K165" s="1">
        <f t="shared" si="13"/>
        <v>8145000</v>
      </c>
      <c r="L165" s="2" t="str">
        <f t="shared" si="14"/>
        <v>Popular</v>
      </c>
    </row>
    <row r="166" spans="1:12" x14ac:dyDescent="0.3">
      <c r="A166" t="s">
        <v>212</v>
      </c>
      <c r="B166" t="s">
        <v>296</v>
      </c>
      <c r="C166" s="3">
        <v>4.2</v>
      </c>
      <c r="D166" s="3">
        <v>188</v>
      </c>
      <c r="E166" t="s">
        <v>297</v>
      </c>
      <c r="F166" s="3">
        <v>19.010125800000001</v>
      </c>
      <c r="G166">
        <v>72.842715099999893</v>
      </c>
      <c r="H166">
        <f t="shared" si="10"/>
        <v>789.6</v>
      </c>
      <c r="I166" s="3">
        <f t="shared" si="11"/>
        <v>4700</v>
      </c>
      <c r="J166" s="1">
        <f t="shared" si="12"/>
        <v>350</v>
      </c>
      <c r="K166" s="1">
        <f t="shared" si="13"/>
        <v>1645000</v>
      </c>
      <c r="L166" s="2" t="str">
        <f t="shared" si="14"/>
        <v>Popular</v>
      </c>
    </row>
    <row r="167" spans="1:12" x14ac:dyDescent="0.3">
      <c r="A167" t="s">
        <v>212</v>
      </c>
      <c r="B167" t="s">
        <v>298</v>
      </c>
      <c r="C167" s="3">
        <v>4.3</v>
      </c>
      <c r="D167" s="3">
        <v>1817</v>
      </c>
      <c r="E167" t="s">
        <v>299</v>
      </c>
      <c r="F167" s="3">
        <v>19.0272942</v>
      </c>
      <c r="G167">
        <v>72.854620299999993</v>
      </c>
      <c r="H167">
        <f t="shared" si="10"/>
        <v>7813.0999999999995</v>
      </c>
      <c r="I167" s="3">
        <f t="shared" si="11"/>
        <v>45425</v>
      </c>
      <c r="J167" s="1">
        <f t="shared" si="12"/>
        <v>350</v>
      </c>
      <c r="K167" s="1">
        <f t="shared" si="13"/>
        <v>15898750</v>
      </c>
      <c r="L167" s="2" t="str">
        <f t="shared" si="14"/>
        <v>Popular</v>
      </c>
    </row>
    <row r="168" spans="1:12" x14ac:dyDescent="0.3">
      <c r="A168" t="s">
        <v>212</v>
      </c>
      <c r="B168" t="s">
        <v>300</v>
      </c>
      <c r="C168" s="3">
        <v>4.5</v>
      </c>
      <c r="D168" s="3">
        <v>257</v>
      </c>
      <c r="E168" t="s">
        <v>301</v>
      </c>
      <c r="F168" s="3">
        <v>18.992530299999999</v>
      </c>
      <c r="G168">
        <v>72.831305799999996</v>
      </c>
      <c r="H168">
        <f t="shared" si="10"/>
        <v>1156.5</v>
      </c>
      <c r="I168" s="3">
        <f t="shared" si="11"/>
        <v>6425</v>
      </c>
      <c r="J168" s="1">
        <f t="shared" si="12"/>
        <v>450</v>
      </c>
      <c r="K168" s="1">
        <f t="shared" si="13"/>
        <v>2891250</v>
      </c>
      <c r="L168" s="2" t="str">
        <f t="shared" si="14"/>
        <v>Premium</v>
      </c>
    </row>
    <row r="169" spans="1:12" x14ac:dyDescent="0.3">
      <c r="A169" t="s">
        <v>212</v>
      </c>
      <c r="B169" t="s">
        <v>302</v>
      </c>
      <c r="C169" s="3">
        <v>4.3</v>
      </c>
      <c r="D169" s="3">
        <v>675</v>
      </c>
      <c r="E169" t="s">
        <v>303</v>
      </c>
      <c r="F169" s="3">
        <v>19.026518599999999</v>
      </c>
      <c r="G169">
        <v>72.856184499999998</v>
      </c>
      <c r="H169">
        <f t="shared" si="10"/>
        <v>2902.5</v>
      </c>
      <c r="I169" s="3">
        <f t="shared" si="11"/>
        <v>16875</v>
      </c>
      <c r="J169" s="1">
        <f t="shared" si="12"/>
        <v>350</v>
      </c>
      <c r="K169" s="1">
        <f t="shared" si="13"/>
        <v>5906250</v>
      </c>
      <c r="L169" s="2" t="str">
        <f t="shared" si="14"/>
        <v>Popular</v>
      </c>
    </row>
    <row r="170" spans="1:12" x14ac:dyDescent="0.3">
      <c r="A170" t="s">
        <v>212</v>
      </c>
      <c r="B170" t="s">
        <v>304</v>
      </c>
      <c r="C170" s="3">
        <v>4.9000000000000004</v>
      </c>
      <c r="D170" s="3">
        <v>12</v>
      </c>
      <c r="E170" t="s">
        <v>305</v>
      </c>
      <c r="F170" s="3">
        <v>19.014835399999999</v>
      </c>
      <c r="G170">
        <v>72.832108399999996</v>
      </c>
      <c r="H170">
        <f t="shared" si="10"/>
        <v>58.800000000000004</v>
      </c>
      <c r="I170" s="3">
        <f t="shared" si="11"/>
        <v>300</v>
      </c>
      <c r="J170" s="1">
        <f t="shared" si="12"/>
        <v>550</v>
      </c>
      <c r="K170" s="1">
        <f t="shared" si="13"/>
        <v>165000</v>
      </c>
      <c r="L170" s="2" t="str">
        <f t="shared" si="14"/>
        <v>Premium</v>
      </c>
    </row>
    <row r="171" spans="1:12" x14ac:dyDescent="0.3">
      <c r="A171" t="s">
        <v>212</v>
      </c>
      <c r="B171" t="s">
        <v>306</v>
      </c>
      <c r="C171" s="3">
        <v>4.7</v>
      </c>
      <c r="D171" s="3">
        <v>215</v>
      </c>
      <c r="E171" t="s">
        <v>307</v>
      </c>
      <c r="F171" s="3">
        <v>19.030428100000002</v>
      </c>
      <c r="G171">
        <v>72.838623600000005</v>
      </c>
      <c r="H171">
        <f t="shared" si="10"/>
        <v>1010.5</v>
      </c>
      <c r="I171" s="3">
        <f t="shared" si="11"/>
        <v>5375</v>
      </c>
      <c r="J171" s="1">
        <f t="shared" si="12"/>
        <v>550</v>
      </c>
      <c r="K171" s="1">
        <f t="shared" si="13"/>
        <v>2956250</v>
      </c>
      <c r="L171" s="2" t="str">
        <f t="shared" si="14"/>
        <v>Premium</v>
      </c>
    </row>
    <row r="172" spans="1:12" x14ac:dyDescent="0.3">
      <c r="A172" t="s">
        <v>212</v>
      </c>
      <c r="B172" t="s">
        <v>308</v>
      </c>
      <c r="C172" s="3">
        <v>3.9</v>
      </c>
      <c r="D172" s="3">
        <v>511</v>
      </c>
      <c r="E172" t="s">
        <v>309</v>
      </c>
      <c r="F172" s="3">
        <v>19.011612899999999</v>
      </c>
      <c r="G172">
        <v>72.843729499999995</v>
      </c>
      <c r="H172">
        <f t="shared" si="10"/>
        <v>1992.8999999999999</v>
      </c>
      <c r="I172" s="3">
        <f t="shared" si="11"/>
        <v>12775</v>
      </c>
      <c r="J172" s="1">
        <f t="shared" si="12"/>
        <v>350</v>
      </c>
      <c r="K172" s="1">
        <f t="shared" si="13"/>
        <v>4471250</v>
      </c>
      <c r="L172" s="2" t="str">
        <f t="shared" si="14"/>
        <v>Average</v>
      </c>
    </row>
    <row r="173" spans="1:12" x14ac:dyDescent="0.3">
      <c r="A173" t="s">
        <v>212</v>
      </c>
      <c r="B173" t="s">
        <v>310</v>
      </c>
      <c r="C173" s="3">
        <v>3.5</v>
      </c>
      <c r="D173" s="3">
        <v>3943</v>
      </c>
      <c r="E173" t="s">
        <v>311</v>
      </c>
      <c r="F173" s="3">
        <v>19.026073400000001</v>
      </c>
      <c r="G173">
        <v>72.854984599999995</v>
      </c>
      <c r="H173">
        <f t="shared" si="10"/>
        <v>13800.5</v>
      </c>
      <c r="I173" s="3">
        <f t="shared" si="11"/>
        <v>98575</v>
      </c>
      <c r="J173" s="1">
        <f t="shared" si="12"/>
        <v>350</v>
      </c>
      <c r="K173" s="1">
        <f t="shared" si="13"/>
        <v>34501250</v>
      </c>
      <c r="L173" s="2" t="str">
        <f t="shared" si="14"/>
        <v>Average</v>
      </c>
    </row>
    <row r="174" spans="1:12" x14ac:dyDescent="0.3">
      <c r="A174" t="s">
        <v>212</v>
      </c>
      <c r="B174" t="s">
        <v>312</v>
      </c>
      <c r="C174" s="3">
        <v>4.8</v>
      </c>
      <c r="D174" s="3">
        <v>145</v>
      </c>
      <c r="E174" t="s">
        <v>313</v>
      </c>
      <c r="F174" s="3">
        <v>19.0276757</v>
      </c>
      <c r="G174">
        <v>72.851663000000002</v>
      </c>
      <c r="H174">
        <f t="shared" si="10"/>
        <v>696</v>
      </c>
      <c r="I174" s="3">
        <f t="shared" si="11"/>
        <v>3625</v>
      </c>
      <c r="J174" s="1">
        <f t="shared" si="12"/>
        <v>550</v>
      </c>
      <c r="K174" s="1">
        <f t="shared" si="13"/>
        <v>1993750</v>
      </c>
      <c r="L174" s="2" t="str">
        <f t="shared" si="14"/>
        <v>Premium</v>
      </c>
    </row>
    <row r="175" spans="1:12" x14ac:dyDescent="0.3">
      <c r="A175" t="s">
        <v>212</v>
      </c>
      <c r="B175" t="s">
        <v>314</v>
      </c>
      <c r="C175" s="3">
        <v>3.9</v>
      </c>
      <c r="D175" s="3">
        <v>90</v>
      </c>
      <c r="E175" t="s">
        <v>315</v>
      </c>
      <c r="F175" s="3">
        <v>19.025843699999999</v>
      </c>
      <c r="G175">
        <v>72.835785200000004</v>
      </c>
      <c r="H175">
        <f t="shared" si="10"/>
        <v>351</v>
      </c>
      <c r="I175" s="3">
        <f t="shared" si="11"/>
        <v>2250</v>
      </c>
      <c r="J175" s="1">
        <f t="shared" si="12"/>
        <v>350</v>
      </c>
      <c r="K175" s="1">
        <f t="shared" si="13"/>
        <v>787500</v>
      </c>
      <c r="L175" s="2" t="str">
        <f t="shared" si="14"/>
        <v>Average</v>
      </c>
    </row>
    <row r="176" spans="1:12" x14ac:dyDescent="0.3">
      <c r="A176" t="s">
        <v>212</v>
      </c>
      <c r="B176" t="s">
        <v>316</v>
      </c>
      <c r="C176" s="3">
        <v>4.3</v>
      </c>
      <c r="D176" s="3">
        <v>7730</v>
      </c>
      <c r="E176" t="s">
        <v>317</v>
      </c>
      <c r="F176" s="3">
        <v>19.023957800000002</v>
      </c>
      <c r="G176">
        <v>72.837996700000005</v>
      </c>
      <c r="H176">
        <f t="shared" si="10"/>
        <v>33239</v>
      </c>
      <c r="I176" s="3">
        <f t="shared" si="11"/>
        <v>193250</v>
      </c>
      <c r="J176" s="1">
        <f t="shared" si="12"/>
        <v>350</v>
      </c>
      <c r="K176" s="1">
        <f t="shared" si="13"/>
        <v>67637500</v>
      </c>
      <c r="L176" s="2" t="str">
        <f t="shared" si="14"/>
        <v>Popular</v>
      </c>
    </row>
    <row r="177" spans="1:12" x14ac:dyDescent="0.3">
      <c r="A177" t="s">
        <v>212</v>
      </c>
      <c r="B177" t="s">
        <v>318</v>
      </c>
      <c r="C177" s="3">
        <v>4.2</v>
      </c>
      <c r="D177" s="3">
        <v>5086</v>
      </c>
      <c r="E177" t="s">
        <v>319</v>
      </c>
      <c r="F177" s="3">
        <v>19.0276064</v>
      </c>
      <c r="G177">
        <v>72.855504400000001</v>
      </c>
      <c r="H177">
        <f t="shared" si="10"/>
        <v>21361.200000000001</v>
      </c>
      <c r="I177" s="3">
        <f t="shared" si="11"/>
        <v>127150</v>
      </c>
      <c r="J177" s="1">
        <f t="shared" si="12"/>
        <v>350</v>
      </c>
      <c r="K177" s="1">
        <f t="shared" si="13"/>
        <v>44502500</v>
      </c>
      <c r="L177" s="2" t="str">
        <f t="shared" si="14"/>
        <v>Popular</v>
      </c>
    </row>
    <row r="178" spans="1:12" x14ac:dyDescent="0.3">
      <c r="A178" t="s">
        <v>212</v>
      </c>
      <c r="B178" t="s">
        <v>320</v>
      </c>
      <c r="C178" s="3">
        <v>4.0999999999999996</v>
      </c>
      <c r="D178" s="3">
        <v>810</v>
      </c>
      <c r="E178" t="s">
        <v>321</v>
      </c>
      <c r="F178" s="3">
        <v>19.018442</v>
      </c>
      <c r="G178">
        <v>72.856666899999993</v>
      </c>
      <c r="H178">
        <f t="shared" si="10"/>
        <v>3320.9999999999995</v>
      </c>
      <c r="I178" s="3">
        <f t="shared" si="11"/>
        <v>20250</v>
      </c>
      <c r="J178" s="1">
        <f t="shared" si="12"/>
        <v>350</v>
      </c>
      <c r="K178" s="1">
        <f t="shared" si="13"/>
        <v>7087500</v>
      </c>
      <c r="L178" s="2" t="str">
        <f t="shared" si="14"/>
        <v>Popular</v>
      </c>
    </row>
    <row r="179" spans="1:12" x14ac:dyDescent="0.3">
      <c r="A179" t="s">
        <v>212</v>
      </c>
      <c r="B179" t="s">
        <v>128</v>
      </c>
      <c r="C179" s="3">
        <v>4.4000000000000004</v>
      </c>
      <c r="D179" s="3">
        <v>789</v>
      </c>
      <c r="E179" t="s">
        <v>322</v>
      </c>
      <c r="F179" s="3">
        <v>19.010279499999999</v>
      </c>
      <c r="G179">
        <v>72.835153300000002</v>
      </c>
      <c r="H179">
        <f t="shared" si="10"/>
        <v>3471.6000000000004</v>
      </c>
      <c r="I179" s="3">
        <f t="shared" si="11"/>
        <v>19725</v>
      </c>
      <c r="J179" s="1">
        <f t="shared" si="12"/>
        <v>450</v>
      </c>
      <c r="K179" s="1">
        <f t="shared" si="13"/>
        <v>8876250</v>
      </c>
      <c r="L179" s="2" t="str">
        <f t="shared" si="14"/>
        <v>Popular</v>
      </c>
    </row>
    <row r="180" spans="1:12" x14ac:dyDescent="0.3">
      <c r="A180" t="s">
        <v>212</v>
      </c>
      <c r="B180" t="s">
        <v>323</v>
      </c>
      <c r="C180" s="3">
        <v>4.9000000000000004</v>
      </c>
      <c r="D180" s="3">
        <v>18</v>
      </c>
      <c r="E180" t="s">
        <v>324</v>
      </c>
      <c r="F180" s="3">
        <v>19.024987100000001</v>
      </c>
      <c r="G180">
        <v>72.841512299999906</v>
      </c>
      <c r="H180">
        <f t="shared" si="10"/>
        <v>88.2</v>
      </c>
      <c r="I180" s="3">
        <f t="shared" si="11"/>
        <v>450</v>
      </c>
      <c r="J180" s="1">
        <f t="shared" si="12"/>
        <v>550</v>
      </c>
      <c r="K180" s="1">
        <f t="shared" si="13"/>
        <v>247500</v>
      </c>
      <c r="L180" s="2" t="str">
        <f t="shared" si="14"/>
        <v>Premium</v>
      </c>
    </row>
    <row r="181" spans="1:12" x14ac:dyDescent="0.3">
      <c r="A181" t="s">
        <v>212</v>
      </c>
      <c r="B181" t="s">
        <v>325</v>
      </c>
      <c r="C181" s="3">
        <v>4.2</v>
      </c>
      <c r="D181" s="3">
        <v>64</v>
      </c>
      <c r="E181" t="s">
        <v>326</v>
      </c>
      <c r="F181" s="3">
        <v>19.031223099999998</v>
      </c>
      <c r="G181">
        <v>72.838468699999893</v>
      </c>
      <c r="H181">
        <f t="shared" si="10"/>
        <v>268.8</v>
      </c>
      <c r="I181" s="3">
        <f t="shared" si="11"/>
        <v>1600</v>
      </c>
      <c r="J181" s="1">
        <f t="shared" si="12"/>
        <v>350</v>
      </c>
      <c r="K181" s="1">
        <f t="shared" si="13"/>
        <v>560000</v>
      </c>
      <c r="L181" s="2" t="str">
        <f t="shared" si="14"/>
        <v>Popular</v>
      </c>
    </row>
    <row r="182" spans="1:12" x14ac:dyDescent="0.3">
      <c r="A182" t="s">
        <v>327</v>
      </c>
      <c r="B182" t="s">
        <v>328</v>
      </c>
      <c r="C182" s="3">
        <v>3.9</v>
      </c>
      <c r="D182" s="3">
        <v>3213</v>
      </c>
      <c r="E182" t="s">
        <v>329</v>
      </c>
      <c r="F182" s="3">
        <v>18.994295600000001</v>
      </c>
      <c r="G182">
        <v>72.814949499999997</v>
      </c>
      <c r="H182">
        <f t="shared" si="10"/>
        <v>12530.699999999999</v>
      </c>
      <c r="I182" s="3">
        <f t="shared" si="11"/>
        <v>80325</v>
      </c>
      <c r="J182" s="1">
        <f t="shared" si="12"/>
        <v>350</v>
      </c>
      <c r="K182" s="1">
        <f t="shared" si="13"/>
        <v>28113750</v>
      </c>
      <c r="L182" s="2" t="str">
        <f t="shared" si="14"/>
        <v>Average</v>
      </c>
    </row>
    <row r="183" spans="1:12" x14ac:dyDescent="0.3">
      <c r="A183" t="s">
        <v>327</v>
      </c>
      <c r="B183" t="s">
        <v>330</v>
      </c>
      <c r="C183" s="3">
        <v>4.2</v>
      </c>
      <c r="D183" s="3">
        <v>206</v>
      </c>
      <c r="E183" t="s">
        <v>331</v>
      </c>
      <c r="F183" s="3">
        <v>19.0023096</v>
      </c>
      <c r="G183">
        <v>72.827494099999996</v>
      </c>
      <c r="H183">
        <f t="shared" si="10"/>
        <v>865.2</v>
      </c>
      <c r="I183" s="3">
        <f t="shared" si="11"/>
        <v>5150</v>
      </c>
      <c r="J183" s="1">
        <f t="shared" si="12"/>
        <v>350</v>
      </c>
      <c r="K183" s="1">
        <f t="shared" si="13"/>
        <v>1802500</v>
      </c>
      <c r="L183" s="2" t="str">
        <f t="shared" si="14"/>
        <v>Popular</v>
      </c>
    </row>
    <row r="184" spans="1:12" x14ac:dyDescent="0.3">
      <c r="A184" t="s">
        <v>327</v>
      </c>
      <c r="B184" t="s">
        <v>332</v>
      </c>
      <c r="C184" s="3">
        <v>4.0999999999999996</v>
      </c>
      <c r="D184" s="3">
        <v>142</v>
      </c>
      <c r="E184" t="s">
        <v>333</v>
      </c>
      <c r="F184" s="3">
        <v>19.0014295</v>
      </c>
      <c r="G184">
        <v>72.8149327</v>
      </c>
      <c r="H184">
        <f t="shared" si="10"/>
        <v>582.19999999999993</v>
      </c>
      <c r="I184" s="3">
        <f t="shared" si="11"/>
        <v>3550</v>
      </c>
      <c r="J184" s="1">
        <f t="shared" si="12"/>
        <v>350</v>
      </c>
      <c r="K184" s="1">
        <f t="shared" si="13"/>
        <v>1242500</v>
      </c>
      <c r="L184" s="2" t="str">
        <f t="shared" si="14"/>
        <v>Popular</v>
      </c>
    </row>
    <row r="185" spans="1:12" x14ac:dyDescent="0.3">
      <c r="A185" t="s">
        <v>327</v>
      </c>
      <c r="B185" t="s">
        <v>334</v>
      </c>
      <c r="C185" s="3">
        <v>4.9000000000000004</v>
      </c>
      <c r="D185" s="3">
        <v>109</v>
      </c>
      <c r="E185" t="s">
        <v>335</v>
      </c>
      <c r="F185" s="3">
        <v>19.012579299999999</v>
      </c>
      <c r="G185">
        <v>72.821957400000002</v>
      </c>
      <c r="H185">
        <f t="shared" si="10"/>
        <v>534.1</v>
      </c>
      <c r="I185" s="3">
        <f t="shared" si="11"/>
        <v>2725</v>
      </c>
      <c r="J185" s="1">
        <f t="shared" si="12"/>
        <v>550</v>
      </c>
      <c r="K185" s="1">
        <f t="shared" si="13"/>
        <v>1498750</v>
      </c>
      <c r="L185" s="2" t="str">
        <f t="shared" si="14"/>
        <v>Premium</v>
      </c>
    </row>
    <row r="186" spans="1:12" x14ac:dyDescent="0.3">
      <c r="A186" t="s">
        <v>327</v>
      </c>
      <c r="B186" t="s">
        <v>181</v>
      </c>
      <c r="C186" s="3">
        <v>4.2</v>
      </c>
      <c r="D186" s="3">
        <v>1675</v>
      </c>
      <c r="E186" t="s">
        <v>273</v>
      </c>
      <c r="F186" s="3">
        <v>19.005612599999999</v>
      </c>
      <c r="G186">
        <v>72.831034599999995</v>
      </c>
      <c r="H186">
        <f t="shared" si="10"/>
        <v>7035</v>
      </c>
      <c r="I186" s="3">
        <f t="shared" si="11"/>
        <v>41875</v>
      </c>
      <c r="J186" s="1">
        <f t="shared" si="12"/>
        <v>350</v>
      </c>
      <c r="K186" s="1">
        <f t="shared" si="13"/>
        <v>14656250</v>
      </c>
      <c r="L186" s="2" t="str">
        <f t="shared" si="14"/>
        <v>Popular</v>
      </c>
    </row>
    <row r="187" spans="1:12" x14ac:dyDescent="0.3">
      <c r="A187" t="s">
        <v>327</v>
      </c>
      <c r="B187" t="s">
        <v>336</v>
      </c>
      <c r="C187" s="3">
        <v>4.5999999999999996</v>
      </c>
      <c r="D187" s="3">
        <v>385</v>
      </c>
      <c r="E187" t="s">
        <v>337</v>
      </c>
      <c r="F187" s="3">
        <v>18.988186500000001</v>
      </c>
      <c r="G187">
        <v>72.824329599999999</v>
      </c>
      <c r="H187">
        <f t="shared" si="10"/>
        <v>1770.9999999999998</v>
      </c>
      <c r="I187" s="3">
        <f t="shared" si="11"/>
        <v>9625</v>
      </c>
      <c r="J187" s="1">
        <f t="shared" si="12"/>
        <v>450</v>
      </c>
      <c r="K187" s="1">
        <f t="shared" si="13"/>
        <v>4331250</v>
      </c>
      <c r="L187" s="2" t="str">
        <f t="shared" si="14"/>
        <v>Premium</v>
      </c>
    </row>
    <row r="188" spans="1:12" x14ac:dyDescent="0.3">
      <c r="A188" t="s">
        <v>327</v>
      </c>
      <c r="B188" t="s">
        <v>128</v>
      </c>
      <c r="C188" s="3">
        <v>4.3</v>
      </c>
      <c r="D188" s="3">
        <v>2352</v>
      </c>
      <c r="E188" t="s">
        <v>290</v>
      </c>
      <c r="F188" s="3">
        <v>19.012695999999998</v>
      </c>
      <c r="G188">
        <v>72.823788999999906</v>
      </c>
      <c r="H188">
        <f t="shared" si="10"/>
        <v>10113.6</v>
      </c>
      <c r="I188" s="3">
        <f t="shared" si="11"/>
        <v>58800</v>
      </c>
      <c r="J188" s="1">
        <f t="shared" si="12"/>
        <v>350</v>
      </c>
      <c r="K188" s="1">
        <f t="shared" si="13"/>
        <v>20580000</v>
      </c>
      <c r="L188" s="2" t="str">
        <f t="shared" si="14"/>
        <v>Popular</v>
      </c>
    </row>
    <row r="189" spans="1:12" x14ac:dyDescent="0.3">
      <c r="A189" t="s">
        <v>327</v>
      </c>
      <c r="B189" t="s">
        <v>338</v>
      </c>
      <c r="C189" s="3">
        <v>4.9000000000000004</v>
      </c>
      <c r="D189" s="3">
        <v>58</v>
      </c>
      <c r="E189" t="s">
        <v>339</v>
      </c>
      <c r="F189" s="3">
        <v>18.995413599999999</v>
      </c>
      <c r="G189">
        <v>72.822766599999994</v>
      </c>
      <c r="H189">
        <f t="shared" si="10"/>
        <v>284.20000000000005</v>
      </c>
      <c r="I189" s="3">
        <f t="shared" si="11"/>
        <v>1450</v>
      </c>
      <c r="J189" s="1">
        <f t="shared" si="12"/>
        <v>550</v>
      </c>
      <c r="K189" s="1">
        <f t="shared" si="13"/>
        <v>797500</v>
      </c>
      <c r="L189" s="2" t="str">
        <f t="shared" si="14"/>
        <v>Premium</v>
      </c>
    </row>
    <row r="190" spans="1:12" x14ac:dyDescent="0.3">
      <c r="A190" t="s">
        <v>327</v>
      </c>
      <c r="B190" t="s">
        <v>227</v>
      </c>
      <c r="C190" s="3">
        <v>4.3</v>
      </c>
      <c r="D190" s="3">
        <v>2687</v>
      </c>
      <c r="E190" t="s">
        <v>228</v>
      </c>
      <c r="F190" s="3">
        <v>19.006262400000001</v>
      </c>
      <c r="G190">
        <v>72.840791799999906</v>
      </c>
      <c r="H190">
        <f t="shared" si="10"/>
        <v>11554.1</v>
      </c>
      <c r="I190" s="3">
        <f t="shared" si="11"/>
        <v>67175</v>
      </c>
      <c r="J190" s="1">
        <f t="shared" si="12"/>
        <v>350</v>
      </c>
      <c r="K190" s="1">
        <f t="shared" si="13"/>
        <v>23511250</v>
      </c>
      <c r="L190" s="2" t="str">
        <f t="shared" si="14"/>
        <v>Popular</v>
      </c>
    </row>
    <row r="191" spans="1:12" x14ac:dyDescent="0.3">
      <c r="A191" t="s">
        <v>327</v>
      </c>
      <c r="B191" t="s">
        <v>265</v>
      </c>
      <c r="C191" s="3">
        <v>4.4000000000000004</v>
      </c>
      <c r="D191" s="3">
        <v>611</v>
      </c>
      <c r="E191" t="s">
        <v>266</v>
      </c>
      <c r="F191" s="3">
        <v>19.000219999999999</v>
      </c>
      <c r="G191">
        <v>72.830248999999995</v>
      </c>
      <c r="H191">
        <f t="shared" si="10"/>
        <v>2688.4</v>
      </c>
      <c r="I191" s="3">
        <f t="shared" si="11"/>
        <v>15275</v>
      </c>
      <c r="J191" s="1">
        <f t="shared" si="12"/>
        <v>450</v>
      </c>
      <c r="K191" s="1">
        <f t="shared" si="13"/>
        <v>6873750</v>
      </c>
      <c r="L191" s="2" t="str">
        <f t="shared" si="14"/>
        <v>Popular</v>
      </c>
    </row>
    <row r="192" spans="1:12" x14ac:dyDescent="0.3">
      <c r="A192" t="s">
        <v>327</v>
      </c>
      <c r="B192" t="s">
        <v>280</v>
      </c>
      <c r="C192" s="3">
        <v>4.4000000000000004</v>
      </c>
      <c r="D192" s="3">
        <v>258</v>
      </c>
      <c r="E192" t="s">
        <v>281</v>
      </c>
      <c r="F192" s="3">
        <v>19.0012553</v>
      </c>
      <c r="G192">
        <v>72.829367599999998</v>
      </c>
      <c r="H192">
        <f t="shared" si="10"/>
        <v>1135.2</v>
      </c>
      <c r="I192" s="3">
        <f t="shared" si="11"/>
        <v>6450</v>
      </c>
      <c r="J192" s="1">
        <f t="shared" si="12"/>
        <v>450</v>
      </c>
      <c r="K192" s="1">
        <f t="shared" si="13"/>
        <v>2902500</v>
      </c>
      <c r="L192" s="2" t="str">
        <f t="shared" si="14"/>
        <v>Popular</v>
      </c>
    </row>
    <row r="193" spans="1:12" x14ac:dyDescent="0.3">
      <c r="A193" t="s">
        <v>327</v>
      </c>
      <c r="B193" t="s">
        <v>340</v>
      </c>
      <c r="C193" s="3">
        <v>4.3</v>
      </c>
      <c r="D193" s="3">
        <v>190</v>
      </c>
      <c r="E193" t="s">
        <v>341</v>
      </c>
      <c r="F193" s="3">
        <v>19.006120200000002</v>
      </c>
      <c r="G193">
        <v>72.820299499999905</v>
      </c>
      <c r="H193">
        <f t="shared" si="10"/>
        <v>817</v>
      </c>
      <c r="I193" s="3">
        <f t="shared" si="11"/>
        <v>4750</v>
      </c>
      <c r="J193" s="1">
        <f t="shared" si="12"/>
        <v>350</v>
      </c>
      <c r="K193" s="1">
        <f t="shared" si="13"/>
        <v>1662500</v>
      </c>
      <c r="L193" s="2" t="str">
        <f t="shared" si="14"/>
        <v>Popular</v>
      </c>
    </row>
    <row r="194" spans="1:12" x14ac:dyDescent="0.3">
      <c r="A194" t="s">
        <v>327</v>
      </c>
      <c r="B194" t="s">
        <v>342</v>
      </c>
      <c r="C194" s="3">
        <v>4.3</v>
      </c>
      <c r="D194" s="3">
        <v>7569</v>
      </c>
      <c r="E194" t="s">
        <v>343</v>
      </c>
      <c r="F194" s="3">
        <v>19.006134100000001</v>
      </c>
      <c r="G194">
        <v>72.827433299999996</v>
      </c>
      <c r="H194">
        <f t="shared" ref="H194:H257" si="15">C194*D194</f>
        <v>32546.699999999997</v>
      </c>
      <c r="I194" s="3">
        <f t="shared" ref="I194:I257" si="16">D194*25</f>
        <v>189225</v>
      </c>
      <c r="J194" s="1">
        <f t="shared" ref="J194:J257" si="17">IF(C194&gt;=4.7,550,IF(C194&gt;=4.4,450,IF(C194&gt;=O196,350,250)))</f>
        <v>350</v>
      </c>
      <c r="K194" s="1">
        <f t="shared" ref="K194:K257" si="18">I194*J194</f>
        <v>66228750</v>
      </c>
      <c r="L194" s="2" t="str">
        <f t="shared" ref="L194:L257" si="19">IF(C194&gt;=4.5,"Premium",IF(C194&gt;=4,"Popular","Average"))</f>
        <v>Popular</v>
      </c>
    </row>
    <row r="195" spans="1:12" x14ac:dyDescent="0.3">
      <c r="A195" t="s">
        <v>327</v>
      </c>
      <c r="B195" t="s">
        <v>300</v>
      </c>
      <c r="C195" s="3">
        <v>4.5</v>
      </c>
      <c r="D195" s="3">
        <v>257</v>
      </c>
      <c r="E195" t="s">
        <v>301</v>
      </c>
      <c r="F195" s="3">
        <v>18.992530299999999</v>
      </c>
      <c r="G195">
        <v>72.831305799999996</v>
      </c>
      <c r="H195">
        <f t="shared" si="15"/>
        <v>1156.5</v>
      </c>
      <c r="I195" s="3">
        <f t="shared" si="16"/>
        <v>6425</v>
      </c>
      <c r="J195" s="1">
        <f t="shared" si="17"/>
        <v>450</v>
      </c>
      <c r="K195" s="1">
        <f t="shared" si="18"/>
        <v>2891250</v>
      </c>
      <c r="L195" s="2" t="str">
        <f t="shared" si="19"/>
        <v>Premium</v>
      </c>
    </row>
    <row r="196" spans="1:12" x14ac:dyDescent="0.3">
      <c r="A196" t="s">
        <v>327</v>
      </c>
      <c r="B196" t="s">
        <v>291</v>
      </c>
      <c r="C196" s="3">
        <v>4.5999999999999996</v>
      </c>
      <c r="D196" s="3">
        <v>287</v>
      </c>
      <c r="E196" t="s">
        <v>292</v>
      </c>
      <c r="F196" s="3">
        <v>19.0067083</v>
      </c>
      <c r="G196">
        <v>72.832725499999995</v>
      </c>
      <c r="H196">
        <f t="shared" si="15"/>
        <v>1320.1999999999998</v>
      </c>
      <c r="I196" s="3">
        <f t="shared" si="16"/>
        <v>7175</v>
      </c>
      <c r="J196" s="1">
        <f t="shared" si="17"/>
        <v>450</v>
      </c>
      <c r="K196" s="1">
        <f t="shared" si="18"/>
        <v>3228750</v>
      </c>
      <c r="L196" s="2" t="str">
        <f t="shared" si="19"/>
        <v>Premium</v>
      </c>
    </row>
    <row r="197" spans="1:12" x14ac:dyDescent="0.3">
      <c r="A197" t="s">
        <v>327</v>
      </c>
      <c r="B197" t="s">
        <v>344</v>
      </c>
      <c r="C197" s="3">
        <v>4.7</v>
      </c>
      <c r="D197" s="3">
        <v>6185</v>
      </c>
      <c r="E197" t="s">
        <v>345</v>
      </c>
      <c r="F197" s="3">
        <v>19.017247000000001</v>
      </c>
      <c r="G197">
        <v>72.817520999999999</v>
      </c>
      <c r="H197">
        <f t="shared" si="15"/>
        <v>29069.5</v>
      </c>
      <c r="I197" s="3">
        <f t="shared" si="16"/>
        <v>154625</v>
      </c>
      <c r="J197" s="1">
        <f t="shared" si="17"/>
        <v>550</v>
      </c>
      <c r="K197" s="1">
        <f t="shared" si="18"/>
        <v>85043750</v>
      </c>
      <c r="L197" s="2" t="str">
        <f t="shared" si="19"/>
        <v>Premium</v>
      </c>
    </row>
    <row r="198" spans="1:12" x14ac:dyDescent="0.3">
      <c r="A198" t="s">
        <v>327</v>
      </c>
      <c r="B198" t="s">
        <v>346</v>
      </c>
      <c r="C198" s="3">
        <v>4.4000000000000004</v>
      </c>
      <c r="D198" s="3">
        <v>2782</v>
      </c>
      <c r="E198" t="s">
        <v>347</v>
      </c>
      <c r="F198" s="3">
        <v>19.002952799999999</v>
      </c>
      <c r="G198">
        <v>72.828035</v>
      </c>
      <c r="H198">
        <f t="shared" si="15"/>
        <v>12240.800000000001</v>
      </c>
      <c r="I198" s="3">
        <f t="shared" si="16"/>
        <v>69550</v>
      </c>
      <c r="J198" s="1">
        <f t="shared" si="17"/>
        <v>450</v>
      </c>
      <c r="K198" s="1">
        <f t="shared" si="18"/>
        <v>31297500</v>
      </c>
      <c r="L198" s="2" t="str">
        <f t="shared" si="19"/>
        <v>Popular</v>
      </c>
    </row>
    <row r="199" spans="1:12" x14ac:dyDescent="0.3">
      <c r="A199" t="s">
        <v>327</v>
      </c>
      <c r="B199" t="s">
        <v>284</v>
      </c>
      <c r="C199" s="3">
        <v>4.4000000000000004</v>
      </c>
      <c r="D199" s="3">
        <v>176</v>
      </c>
      <c r="E199" t="s">
        <v>285</v>
      </c>
      <c r="F199" s="3">
        <v>19.0019192</v>
      </c>
      <c r="G199">
        <v>72.829302499999997</v>
      </c>
      <c r="H199">
        <f t="shared" si="15"/>
        <v>774.40000000000009</v>
      </c>
      <c r="I199" s="3">
        <f t="shared" si="16"/>
        <v>4400</v>
      </c>
      <c r="J199" s="1">
        <f t="shared" si="17"/>
        <v>450</v>
      </c>
      <c r="K199" s="1">
        <f t="shared" si="18"/>
        <v>1980000</v>
      </c>
      <c r="L199" s="2" t="str">
        <f t="shared" si="19"/>
        <v>Popular</v>
      </c>
    </row>
    <row r="200" spans="1:12" x14ac:dyDescent="0.3">
      <c r="A200" t="s">
        <v>327</v>
      </c>
      <c r="B200" t="s">
        <v>348</v>
      </c>
      <c r="C200" s="3">
        <v>4.4000000000000004</v>
      </c>
      <c r="D200" s="3">
        <v>162</v>
      </c>
      <c r="E200" t="s">
        <v>349</v>
      </c>
      <c r="F200" s="3">
        <v>18.990999800000001</v>
      </c>
      <c r="G200">
        <v>72.814403799999994</v>
      </c>
      <c r="H200">
        <f t="shared" si="15"/>
        <v>712.80000000000007</v>
      </c>
      <c r="I200" s="3">
        <f t="shared" si="16"/>
        <v>4050</v>
      </c>
      <c r="J200" s="1">
        <f t="shared" si="17"/>
        <v>450</v>
      </c>
      <c r="K200" s="1">
        <f t="shared" si="18"/>
        <v>1822500</v>
      </c>
      <c r="L200" s="2" t="str">
        <f t="shared" si="19"/>
        <v>Popular</v>
      </c>
    </row>
    <row r="201" spans="1:12" x14ac:dyDescent="0.3">
      <c r="A201" t="s">
        <v>327</v>
      </c>
      <c r="B201" t="s">
        <v>231</v>
      </c>
      <c r="C201" s="3">
        <v>4.8</v>
      </c>
      <c r="D201" s="3">
        <v>325</v>
      </c>
      <c r="E201" t="s">
        <v>232</v>
      </c>
      <c r="F201" s="3">
        <v>19.011390599999999</v>
      </c>
      <c r="G201">
        <v>72.835269199999999</v>
      </c>
      <c r="H201">
        <f t="shared" si="15"/>
        <v>1560</v>
      </c>
      <c r="I201" s="3">
        <f t="shared" si="16"/>
        <v>8125</v>
      </c>
      <c r="J201" s="1">
        <f t="shared" si="17"/>
        <v>550</v>
      </c>
      <c r="K201" s="1">
        <f t="shared" si="18"/>
        <v>4468750</v>
      </c>
      <c r="L201" s="2" t="str">
        <f t="shared" si="19"/>
        <v>Premium</v>
      </c>
    </row>
    <row r="202" spans="1:12" x14ac:dyDescent="0.3">
      <c r="A202" t="s">
        <v>327</v>
      </c>
      <c r="B202" t="s">
        <v>350</v>
      </c>
      <c r="C202" s="3">
        <v>4.7</v>
      </c>
      <c r="D202" s="3">
        <v>12</v>
      </c>
      <c r="E202" t="s">
        <v>351</v>
      </c>
      <c r="F202" s="3">
        <v>19.016840800000001</v>
      </c>
      <c r="G202">
        <v>72.820503700000003</v>
      </c>
      <c r="H202">
        <f t="shared" si="15"/>
        <v>56.400000000000006</v>
      </c>
      <c r="I202" s="3">
        <f t="shared" si="16"/>
        <v>300</v>
      </c>
      <c r="J202" s="1">
        <f t="shared" si="17"/>
        <v>550</v>
      </c>
      <c r="K202" s="1">
        <f t="shared" si="18"/>
        <v>165000</v>
      </c>
      <c r="L202" s="2" t="str">
        <f t="shared" si="19"/>
        <v>Premium</v>
      </c>
    </row>
    <row r="203" spans="1:12" x14ac:dyDescent="0.3">
      <c r="A203" t="s">
        <v>327</v>
      </c>
      <c r="B203" t="s">
        <v>352</v>
      </c>
      <c r="C203" s="3">
        <v>4.4000000000000004</v>
      </c>
      <c r="D203" s="3">
        <v>6031</v>
      </c>
      <c r="E203" t="s">
        <v>353</v>
      </c>
      <c r="F203" s="3">
        <v>19.005868199999998</v>
      </c>
      <c r="G203">
        <v>72.826654599999998</v>
      </c>
      <c r="H203">
        <f t="shared" si="15"/>
        <v>26536.400000000001</v>
      </c>
      <c r="I203" s="3">
        <f t="shared" si="16"/>
        <v>150775</v>
      </c>
      <c r="J203" s="1">
        <f t="shared" si="17"/>
        <v>450</v>
      </c>
      <c r="K203" s="1">
        <f t="shared" si="18"/>
        <v>67848750</v>
      </c>
      <c r="L203" s="2" t="str">
        <f t="shared" si="19"/>
        <v>Popular</v>
      </c>
    </row>
    <row r="204" spans="1:12" x14ac:dyDescent="0.3">
      <c r="A204" t="s">
        <v>327</v>
      </c>
      <c r="B204" t="s">
        <v>354</v>
      </c>
      <c r="C204" s="3">
        <v>4.3</v>
      </c>
      <c r="D204" s="3">
        <v>5072</v>
      </c>
      <c r="E204" t="s">
        <v>355</v>
      </c>
      <c r="F204" s="3">
        <v>18.994710300000001</v>
      </c>
      <c r="G204">
        <v>72.824474199999997</v>
      </c>
      <c r="H204">
        <f t="shared" si="15"/>
        <v>21809.599999999999</v>
      </c>
      <c r="I204" s="3">
        <f t="shared" si="16"/>
        <v>126800</v>
      </c>
      <c r="J204" s="1">
        <f t="shared" si="17"/>
        <v>350</v>
      </c>
      <c r="K204" s="1">
        <f t="shared" si="18"/>
        <v>44380000</v>
      </c>
      <c r="L204" s="2" t="str">
        <f t="shared" si="19"/>
        <v>Popular</v>
      </c>
    </row>
    <row r="205" spans="1:12" x14ac:dyDescent="0.3">
      <c r="A205" t="s">
        <v>327</v>
      </c>
      <c r="B205" t="s">
        <v>356</v>
      </c>
      <c r="C205" s="3">
        <v>3.8</v>
      </c>
      <c r="D205" s="3">
        <v>589</v>
      </c>
      <c r="E205" t="s">
        <v>357</v>
      </c>
      <c r="F205" s="3">
        <v>19.012530000000002</v>
      </c>
      <c r="G205">
        <v>72.822256099999905</v>
      </c>
      <c r="H205">
        <f t="shared" si="15"/>
        <v>2238.1999999999998</v>
      </c>
      <c r="I205" s="3">
        <f t="shared" si="16"/>
        <v>14725</v>
      </c>
      <c r="J205" s="1">
        <f t="shared" si="17"/>
        <v>350</v>
      </c>
      <c r="K205" s="1">
        <f t="shared" si="18"/>
        <v>5153750</v>
      </c>
      <c r="L205" s="2" t="str">
        <f t="shared" si="19"/>
        <v>Average</v>
      </c>
    </row>
    <row r="206" spans="1:12" x14ac:dyDescent="0.3">
      <c r="A206" t="s">
        <v>327</v>
      </c>
      <c r="B206" t="s">
        <v>128</v>
      </c>
      <c r="C206" s="3">
        <v>4.5</v>
      </c>
      <c r="D206" s="3">
        <v>1547</v>
      </c>
      <c r="E206" t="s">
        <v>358</v>
      </c>
      <c r="F206" s="3">
        <v>19.005454400000001</v>
      </c>
      <c r="G206">
        <v>72.826074199999994</v>
      </c>
      <c r="H206">
        <f t="shared" si="15"/>
        <v>6961.5</v>
      </c>
      <c r="I206" s="3">
        <f t="shared" si="16"/>
        <v>38675</v>
      </c>
      <c r="J206" s="1">
        <f t="shared" si="17"/>
        <v>450</v>
      </c>
      <c r="K206" s="1">
        <f t="shared" si="18"/>
        <v>17403750</v>
      </c>
      <c r="L206" s="2" t="str">
        <f t="shared" si="19"/>
        <v>Premium</v>
      </c>
    </row>
    <row r="207" spans="1:12" x14ac:dyDescent="0.3">
      <c r="A207" t="s">
        <v>327</v>
      </c>
      <c r="B207" t="s">
        <v>359</v>
      </c>
      <c r="C207" s="3">
        <v>4.4000000000000004</v>
      </c>
      <c r="D207" s="3">
        <v>637</v>
      </c>
      <c r="E207" t="s">
        <v>360</v>
      </c>
      <c r="F207" s="3">
        <v>18.998222999999999</v>
      </c>
      <c r="G207">
        <v>72.824360999999996</v>
      </c>
      <c r="H207">
        <f t="shared" si="15"/>
        <v>2802.8</v>
      </c>
      <c r="I207" s="3">
        <f t="shared" si="16"/>
        <v>15925</v>
      </c>
      <c r="J207" s="1">
        <f t="shared" si="17"/>
        <v>450</v>
      </c>
      <c r="K207" s="1">
        <f t="shared" si="18"/>
        <v>7166250</v>
      </c>
      <c r="L207" s="2" t="str">
        <f t="shared" si="19"/>
        <v>Popular</v>
      </c>
    </row>
    <row r="208" spans="1:12" x14ac:dyDescent="0.3">
      <c r="A208" t="s">
        <v>327</v>
      </c>
      <c r="B208" t="s">
        <v>361</v>
      </c>
      <c r="C208" s="3">
        <v>4.5999999999999996</v>
      </c>
      <c r="D208" s="3">
        <v>120</v>
      </c>
      <c r="E208" t="s">
        <v>362</v>
      </c>
      <c r="F208" s="3">
        <v>18.998154899999999</v>
      </c>
      <c r="G208">
        <v>72.825471300000004</v>
      </c>
      <c r="H208">
        <f t="shared" si="15"/>
        <v>552</v>
      </c>
      <c r="I208" s="3">
        <f t="shared" si="16"/>
        <v>3000</v>
      </c>
      <c r="J208" s="1">
        <f t="shared" si="17"/>
        <v>450</v>
      </c>
      <c r="K208" s="1">
        <f t="shared" si="18"/>
        <v>1350000</v>
      </c>
      <c r="L208" s="2" t="str">
        <f t="shared" si="19"/>
        <v>Premium</v>
      </c>
    </row>
    <row r="209" spans="1:12" x14ac:dyDescent="0.3">
      <c r="A209" t="s">
        <v>327</v>
      </c>
      <c r="B209" t="s">
        <v>219</v>
      </c>
      <c r="C209" s="3">
        <v>4.5999999999999996</v>
      </c>
      <c r="D209" s="3">
        <v>375</v>
      </c>
      <c r="E209" t="s">
        <v>220</v>
      </c>
      <c r="F209" s="3">
        <v>19.015682699999999</v>
      </c>
      <c r="G209">
        <v>72.837904899999998</v>
      </c>
      <c r="H209">
        <f t="shared" si="15"/>
        <v>1724.9999999999998</v>
      </c>
      <c r="I209" s="3">
        <f t="shared" si="16"/>
        <v>9375</v>
      </c>
      <c r="J209" s="1">
        <f t="shared" si="17"/>
        <v>450</v>
      </c>
      <c r="K209" s="1">
        <f t="shared" si="18"/>
        <v>4218750</v>
      </c>
      <c r="L209" s="2" t="str">
        <f t="shared" si="19"/>
        <v>Premium</v>
      </c>
    </row>
    <row r="210" spans="1:12" x14ac:dyDescent="0.3">
      <c r="A210" t="s">
        <v>327</v>
      </c>
      <c r="B210" t="s">
        <v>363</v>
      </c>
      <c r="C210" s="3">
        <v>4.3</v>
      </c>
      <c r="D210" s="3">
        <v>290</v>
      </c>
      <c r="E210" t="s">
        <v>364</v>
      </c>
      <c r="F210" s="3">
        <v>18.9947512</v>
      </c>
      <c r="G210">
        <v>72.824594099999999</v>
      </c>
      <c r="H210">
        <f t="shared" si="15"/>
        <v>1247</v>
      </c>
      <c r="I210" s="3">
        <f t="shared" si="16"/>
        <v>7250</v>
      </c>
      <c r="J210" s="1">
        <f t="shared" si="17"/>
        <v>350</v>
      </c>
      <c r="K210" s="1">
        <f t="shared" si="18"/>
        <v>2537500</v>
      </c>
      <c r="L210" s="2" t="str">
        <f t="shared" si="19"/>
        <v>Popular</v>
      </c>
    </row>
    <row r="211" spans="1:12" x14ac:dyDescent="0.3">
      <c r="A211" t="s">
        <v>327</v>
      </c>
      <c r="B211" t="s">
        <v>365</v>
      </c>
      <c r="C211" s="3">
        <v>4.2</v>
      </c>
      <c r="D211" s="3">
        <v>414</v>
      </c>
      <c r="E211" t="s">
        <v>366</v>
      </c>
      <c r="F211" s="3">
        <v>18.9927408</v>
      </c>
      <c r="G211">
        <v>72.822006199999905</v>
      </c>
      <c r="H211">
        <f t="shared" si="15"/>
        <v>1738.8000000000002</v>
      </c>
      <c r="I211" s="3">
        <f t="shared" si="16"/>
        <v>10350</v>
      </c>
      <c r="J211" s="1">
        <f t="shared" si="17"/>
        <v>350</v>
      </c>
      <c r="K211" s="1">
        <f t="shared" si="18"/>
        <v>3622500</v>
      </c>
      <c r="L211" s="2" t="str">
        <f t="shared" si="19"/>
        <v>Popular</v>
      </c>
    </row>
    <row r="212" spans="1:12" x14ac:dyDescent="0.3">
      <c r="A212" t="s">
        <v>327</v>
      </c>
      <c r="B212" t="s">
        <v>99</v>
      </c>
      <c r="C212" s="3">
        <v>4.4000000000000004</v>
      </c>
      <c r="D212" s="3">
        <v>507</v>
      </c>
      <c r="E212" t="s">
        <v>367</v>
      </c>
      <c r="F212" s="3">
        <v>18.9942125</v>
      </c>
      <c r="G212">
        <v>72.824110300000001</v>
      </c>
      <c r="H212">
        <f t="shared" si="15"/>
        <v>2230.8000000000002</v>
      </c>
      <c r="I212" s="3">
        <f t="shared" si="16"/>
        <v>12675</v>
      </c>
      <c r="J212" s="1">
        <f t="shared" si="17"/>
        <v>450</v>
      </c>
      <c r="K212" s="1">
        <f t="shared" si="18"/>
        <v>5703750</v>
      </c>
      <c r="L212" s="2" t="str">
        <f t="shared" si="19"/>
        <v>Popular</v>
      </c>
    </row>
    <row r="213" spans="1:12" x14ac:dyDescent="0.3">
      <c r="A213" t="s">
        <v>327</v>
      </c>
      <c r="B213" t="s">
        <v>213</v>
      </c>
      <c r="C213" s="3">
        <v>4.0999999999999996</v>
      </c>
      <c r="D213" s="3">
        <v>8457</v>
      </c>
      <c r="E213" t="s">
        <v>214</v>
      </c>
      <c r="F213" s="3">
        <v>19.0168049</v>
      </c>
      <c r="G213">
        <v>72.846186899999907</v>
      </c>
      <c r="H213">
        <f t="shared" si="15"/>
        <v>34673.699999999997</v>
      </c>
      <c r="I213" s="3">
        <f t="shared" si="16"/>
        <v>211425</v>
      </c>
      <c r="J213" s="1">
        <f t="shared" si="17"/>
        <v>350</v>
      </c>
      <c r="K213" s="1">
        <f t="shared" si="18"/>
        <v>73998750</v>
      </c>
      <c r="L213" s="2" t="str">
        <f t="shared" si="19"/>
        <v>Popular</v>
      </c>
    </row>
    <row r="214" spans="1:12" x14ac:dyDescent="0.3">
      <c r="A214" t="s">
        <v>327</v>
      </c>
      <c r="B214" t="s">
        <v>195</v>
      </c>
      <c r="C214" s="3">
        <v>4.4000000000000004</v>
      </c>
      <c r="D214" s="3">
        <v>1081</v>
      </c>
      <c r="E214" t="s">
        <v>368</v>
      </c>
      <c r="F214" s="3">
        <v>19.0041689</v>
      </c>
      <c r="G214">
        <v>72.8275589</v>
      </c>
      <c r="H214">
        <f t="shared" si="15"/>
        <v>4756.4000000000005</v>
      </c>
      <c r="I214" s="3">
        <f t="shared" si="16"/>
        <v>27025</v>
      </c>
      <c r="J214" s="1">
        <f t="shared" si="17"/>
        <v>450</v>
      </c>
      <c r="K214" s="1">
        <f t="shared" si="18"/>
        <v>12161250</v>
      </c>
      <c r="L214" s="2" t="str">
        <f t="shared" si="19"/>
        <v>Popular</v>
      </c>
    </row>
    <row r="215" spans="1:12" x14ac:dyDescent="0.3">
      <c r="A215" t="s">
        <v>327</v>
      </c>
      <c r="B215" t="s">
        <v>369</v>
      </c>
      <c r="C215" s="3">
        <v>4.0999999999999996</v>
      </c>
      <c r="D215" s="3">
        <v>3322</v>
      </c>
      <c r="E215" t="s">
        <v>370</v>
      </c>
      <c r="F215" s="3">
        <v>18.994436400000001</v>
      </c>
      <c r="G215">
        <v>72.824665999999993</v>
      </c>
      <c r="H215">
        <f t="shared" si="15"/>
        <v>13620.199999999999</v>
      </c>
      <c r="I215" s="3">
        <f t="shared" si="16"/>
        <v>83050</v>
      </c>
      <c r="J215" s="1">
        <f t="shared" si="17"/>
        <v>350</v>
      </c>
      <c r="K215" s="1">
        <f t="shared" si="18"/>
        <v>29067500</v>
      </c>
      <c r="L215" s="2" t="str">
        <f t="shared" si="19"/>
        <v>Popular</v>
      </c>
    </row>
    <row r="216" spans="1:12" x14ac:dyDescent="0.3">
      <c r="A216" t="s">
        <v>327</v>
      </c>
      <c r="B216" t="s">
        <v>371</v>
      </c>
      <c r="C216" s="3">
        <v>4.8</v>
      </c>
      <c r="D216" s="3">
        <v>46</v>
      </c>
      <c r="E216" t="s">
        <v>372</v>
      </c>
      <c r="F216" s="3">
        <v>19.006212999999999</v>
      </c>
      <c r="G216">
        <v>72.821799400000003</v>
      </c>
      <c r="H216">
        <f t="shared" si="15"/>
        <v>220.79999999999998</v>
      </c>
      <c r="I216" s="3">
        <f t="shared" si="16"/>
        <v>1150</v>
      </c>
      <c r="J216" s="1">
        <f t="shared" si="17"/>
        <v>550</v>
      </c>
      <c r="K216" s="1">
        <f t="shared" si="18"/>
        <v>632500</v>
      </c>
      <c r="L216" s="2" t="str">
        <f t="shared" si="19"/>
        <v>Premium</v>
      </c>
    </row>
    <row r="217" spans="1:12" x14ac:dyDescent="0.3">
      <c r="A217" t="s">
        <v>327</v>
      </c>
      <c r="B217" t="s">
        <v>373</v>
      </c>
      <c r="C217" s="3">
        <v>4.3</v>
      </c>
      <c r="D217" s="3">
        <v>6020</v>
      </c>
      <c r="E217" t="s">
        <v>374</v>
      </c>
      <c r="F217" s="3">
        <v>18.989159399999998</v>
      </c>
      <c r="G217">
        <v>72.814945699999996</v>
      </c>
      <c r="H217">
        <f t="shared" si="15"/>
        <v>25886</v>
      </c>
      <c r="I217" s="3">
        <f t="shared" si="16"/>
        <v>150500</v>
      </c>
      <c r="J217" s="1">
        <f t="shared" si="17"/>
        <v>350</v>
      </c>
      <c r="K217" s="1">
        <f t="shared" si="18"/>
        <v>52675000</v>
      </c>
      <c r="L217" s="2" t="str">
        <f t="shared" si="19"/>
        <v>Popular</v>
      </c>
    </row>
    <row r="218" spans="1:12" x14ac:dyDescent="0.3">
      <c r="A218" t="s">
        <v>327</v>
      </c>
      <c r="B218" t="s">
        <v>217</v>
      </c>
      <c r="C218" s="3">
        <v>4.2</v>
      </c>
      <c r="D218" s="3">
        <v>1898</v>
      </c>
      <c r="E218" t="s">
        <v>218</v>
      </c>
      <c r="F218" s="3">
        <v>19.028188100000001</v>
      </c>
      <c r="G218">
        <v>72.841099</v>
      </c>
      <c r="H218">
        <f t="shared" si="15"/>
        <v>7971.6</v>
      </c>
      <c r="I218" s="3">
        <f t="shared" si="16"/>
        <v>47450</v>
      </c>
      <c r="J218" s="1">
        <f t="shared" si="17"/>
        <v>350</v>
      </c>
      <c r="K218" s="1">
        <f t="shared" si="18"/>
        <v>16607500</v>
      </c>
      <c r="L218" s="2" t="str">
        <f t="shared" si="19"/>
        <v>Popular</v>
      </c>
    </row>
    <row r="219" spans="1:12" x14ac:dyDescent="0.3">
      <c r="A219" t="s">
        <v>327</v>
      </c>
      <c r="B219" t="s">
        <v>128</v>
      </c>
      <c r="C219" s="3">
        <v>4.3</v>
      </c>
      <c r="D219" s="3">
        <v>1526</v>
      </c>
      <c r="E219" t="s">
        <v>375</v>
      </c>
      <c r="F219" s="3">
        <v>18.991372800000001</v>
      </c>
      <c r="G219">
        <v>72.814237499999905</v>
      </c>
      <c r="H219">
        <f t="shared" si="15"/>
        <v>6561.8</v>
      </c>
      <c r="I219" s="3">
        <f t="shared" si="16"/>
        <v>38150</v>
      </c>
      <c r="J219" s="1">
        <f t="shared" si="17"/>
        <v>350</v>
      </c>
      <c r="K219" s="1">
        <f t="shared" si="18"/>
        <v>13352500</v>
      </c>
      <c r="L219" s="2" t="str">
        <f t="shared" si="19"/>
        <v>Popular</v>
      </c>
    </row>
    <row r="220" spans="1:12" x14ac:dyDescent="0.3">
      <c r="A220" t="s">
        <v>327</v>
      </c>
      <c r="B220" t="s">
        <v>255</v>
      </c>
      <c r="C220" s="3">
        <v>4.2</v>
      </c>
      <c r="D220" s="3">
        <v>4162</v>
      </c>
      <c r="E220" t="s">
        <v>256</v>
      </c>
      <c r="F220" s="3">
        <v>19.031528699999999</v>
      </c>
      <c r="G220">
        <v>72.838803900000002</v>
      </c>
      <c r="H220">
        <f t="shared" si="15"/>
        <v>17480.400000000001</v>
      </c>
      <c r="I220" s="3">
        <f t="shared" si="16"/>
        <v>104050</v>
      </c>
      <c r="J220" s="1">
        <f t="shared" si="17"/>
        <v>350</v>
      </c>
      <c r="K220" s="1">
        <f t="shared" si="18"/>
        <v>36417500</v>
      </c>
      <c r="L220" s="2" t="str">
        <f t="shared" si="19"/>
        <v>Popular</v>
      </c>
    </row>
    <row r="221" spans="1:12" x14ac:dyDescent="0.3">
      <c r="A221" t="s">
        <v>327</v>
      </c>
      <c r="B221" t="s">
        <v>376</v>
      </c>
      <c r="C221" s="3">
        <v>4.5</v>
      </c>
      <c r="D221" s="3">
        <v>121</v>
      </c>
      <c r="E221" t="s">
        <v>377</v>
      </c>
      <c r="F221" s="3">
        <v>18.9893839</v>
      </c>
      <c r="G221">
        <v>72.834759599999998</v>
      </c>
      <c r="H221">
        <f t="shared" si="15"/>
        <v>544.5</v>
      </c>
      <c r="I221" s="3">
        <f t="shared" si="16"/>
        <v>3025</v>
      </c>
      <c r="J221" s="1">
        <f t="shared" si="17"/>
        <v>450</v>
      </c>
      <c r="K221" s="1">
        <f t="shared" si="18"/>
        <v>1361250</v>
      </c>
      <c r="L221" s="2" t="str">
        <f t="shared" si="19"/>
        <v>Premium</v>
      </c>
    </row>
    <row r="222" spans="1:12" x14ac:dyDescent="0.3">
      <c r="A222" t="s">
        <v>327</v>
      </c>
      <c r="B222" t="s">
        <v>378</v>
      </c>
      <c r="C222" s="3">
        <v>4.5999999999999996</v>
      </c>
      <c r="D222" s="3">
        <v>48</v>
      </c>
      <c r="E222" t="s">
        <v>379</v>
      </c>
      <c r="F222" s="3">
        <v>19.003741300000002</v>
      </c>
      <c r="G222">
        <v>72.814806199999893</v>
      </c>
      <c r="H222">
        <f t="shared" si="15"/>
        <v>220.79999999999998</v>
      </c>
      <c r="I222" s="3">
        <f t="shared" si="16"/>
        <v>1200</v>
      </c>
      <c r="J222" s="1">
        <f t="shared" si="17"/>
        <v>450</v>
      </c>
      <c r="K222" s="1">
        <f t="shared" si="18"/>
        <v>540000</v>
      </c>
      <c r="L222" s="2" t="str">
        <f t="shared" si="19"/>
        <v>Premium</v>
      </c>
    </row>
    <row r="223" spans="1:12" x14ac:dyDescent="0.3">
      <c r="A223" t="s">
        <v>327</v>
      </c>
      <c r="B223" t="s">
        <v>380</v>
      </c>
      <c r="C223" s="3">
        <v>4.3</v>
      </c>
      <c r="D223" s="3">
        <v>17</v>
      </c>
      <c r="E223" t="s">
        <v>381</v>
      </c>
      <c r="F223" s="3">
        <v>18.988290500000002</v>
      </c>
      <c r="G223">
        <v>72.824456900000001</v>
      </c>
      <c r="H223">
        <f t="shared" si="15"/>
        <v>73.099999999999994</v>
      </c>
      <c r="I223" s="3">
        <f t="shared" si="16"/>
        <v>425</v>
      </c>
      <c r="J223" s="1">
        <f t="shared" si="17"/>
        <v>350</v>
      </c>
      <c r="K223" s="1">
        <f t="shared" si="18"/>
        <v>148750</v>
      </c>
      <c r="L223" s="2" t="str">
        <f t="shared" si="19"/>
        <v>Popular</v>
      </c>
    </row>
    <row r="224" spans="1:12" x14ac:dyDescent="0.3">
      <c r="A224" t="s">
        <v>327</v>
      </c>
      <c r="B224" t="s">
        <v>382</v>
      </c>
      <c r="C224" s="3">
        <v>4.2</v>
      </c>
      <c r="D224" s="3">
        <v>102</v>
      </c>
      <c r="E224" t="s">
        <v>383</v>
      </c>
      <c r="F224" s="3">
        <v>18.987947900000002</v>
      </c>
      <c r="G224">
        <v>72.828720199999907</v>
      </c>
      <c r="H224">
        <f t="shared" si="15"/>
        <v>428.40000000000003</v>
      </c>
      <c r="I224" s="3">
        <f t="shared" si="16"/>
        <v>2550</v>
      </c>
      <c r="J224" s="1">
        <f t="shared" si="17"/>
        <v>350</v>
      </c>
      <c r="K224" s="1">
        <f t="shared" si="18"/>
        <v>892500</v>
      </c>
      <c r="L224" s="2" t="str">
        <f t="shared" si="19"/>
        <v>Popular</v>
      </c>
    </row>
    <row r="225" spans="1:12" x14ac:dyDescent="0.3">
      <c r="A225" t="s">
        <v>327</v>
      </c>
      <c r="B225" t="s">
        <v>384</v>
      </c>
      <c r="C225" s="3">
        <v>4.4000000000000004</v>
      </c>
      <c r="D225" s="3">
        <v>582</v>
      </c>
      <c r="E225" t="s">
        <v>385</v>
      </c>
      <c r="F225" s="3">
        <v>19.0490016</v>
      </c>
      <c r="G225">
        <v>72.823651999999996</v>
      </c>
      <c r="H225">
        <f t="shared" si="15"/>
        <v>2560.8000000000002</v>
      </c>
      <c r="I225" s="3">
        <f t="shared" si="16"/>
        <v>14550</v>
      </c>
      <c r="J225" s="1">
        <f t="shared" si="17"/>
        <v>450</v>
      </c>
      <c r="K225" s="1">
        <f t="shared" si="18"/>
        <v>6547500</v>
      </c>
      <c r="L225" s="2" t="str">
        <f t="shared" si="19"/>
        <v>Popular</v>
      </c>
    </row>
    <row r="226" spans="1:12" x14ac:dyDescent="0.3">
      <c r="A226" t="s">
        <v>327</v>
      </c>
      <c r="B226" t="s">
        <v>386</v>
      </c>
      <c r="C226" s="3">
        <v>3.8</v>
      </c>
      <c r="D226" s="3">
        <v>5</v>
      </c>
      <c r="E226" t="s">
        <v>387</v>
      </c>
      <c r="F226" s="3">
        <v>18.9886649</v>
      </c>
      <c r="G226">
        <v>72.815400999999994</v>
      </c>
      <c r="H226">
        <f t="shared" si="15"/>
        <v>19</v>
      </c>
      <c r="I226" s="3">
        <f t="shared" si="16"/>
        <v>125</v>
      </c>
      <c r="J226" s="1">
        <f t="shared" si="17"/>
        <v>350</v>
      </c>
      <c r="K226" s="1">
        <f t="shared" si="18"/>
        <v>43750</v>
      </c>
      <c r="L226" s="2" t="str">
        <f t="shared" si="19"/>
        <v>Average</v>
      </c>
    </row>
    <row r="227" spans="1:12" x14ac:dyDescent="0.3">
      <c r="A227" t="s">
        <v>327</v>
      </c>
      <c r="B227" t="s">
        <v>388</v>
      </c>
      <c r="C227" s="3">
        <v>3.9</v>
      </c>
      <c r="D227" s="3">
        <v>975</v>
      </c>
      <c r="E227" t="s">
        <v>389</v>
      </c>
      <c r="F227" s="3">
        <v>19.013422899999998</v>
      </c>
      <c r="G227">
        <v>72.827512099999893</v>
      </c>
      <c r="H227">
        <f t="shared" si="15"/>
        <v>3802.5</v>
      </c>
      <c r="I227" s="3">
        <f t="shared" si="16"/>
        <v>24375</v>
      </c>
      <c r="J227" s="1">
        <f t="shared" si="17"/>
        <v>350</v>
      </c>
      <c r="K227" s="1">
        <f t="shared" si="18"/>
        <v>8531250</v>
      </c>
      <c r="L227" s="2" t="str">
        <f t="shared" si="19"/>
        <v>Average</v>
      </c>
    </row>
    <row r="228" spans="1:12" x14ac:dyDescent="0.3">
      <c r="A228" t="s">
        <v>327</v>
      </c>
      <c r="B228" t="s">
        <v>390</v>
      </c>
      <c r="C228" s="3">
        <v>4.3</v>
      </c>
      <c r="D228" s="3">
        <v>8397</v>
      </c>
      <c r="E228" t="s">
        <v>391</v>
      </c>
      <c r="F228" s="3">
        <v>18.9882861</v>
      </c>
      <c r="G228">
        <v>72.814170399999995</v>
      </c>
      <c r="H228">
        <f t="shared" si="15"/>
        <v>36107.1</v>
      </c>
      <c r="I228" s="3">
        <f t="shared" si="16"/>
        <v>209925</v>
      </c>
      <c r="J228" s="1">
        <f t="shared" si="17"/>
        <v>350</v>
      </c>
      <c r="K228" s="1">
        <f t="shared" si="18"/>
        <v>73473750</v>
      </c>
      <c r="L228" s="2" t="str">
        <f t="shared" si="19"/>
        <v>Popular</v>
      </c>
    </row>
    <row r="229" spans="1:12" x14ac:dyDescent="0.3">
      <c r="A229" t="s">
        <v>327</v>
      </c>
      <c r="B229" t="s">
        <v>392</v>
      </c>
      <c r="C229" s="3">
        <v>4.2</v>
      </c>
      <c r="D229" s="3">
        <v>11</v>
      </c>
      <c r="E229" t="s">
        <v>393</v>
      </c>
      <c r="F229" s="3">
        <v>18.985974299999999</v>
      </c>
      <c r="G229">
        <v>72.815636999999995</v>
      </c>
      <c r="H229">
        <f t="shared" si="15"/>
        <v>46.2</v>
      </c>
      <c r="I229" s="3">
        <f t="shared" si="16"/>
        <v>275</v>
      </c>
      <c r="J229" s="1">
        <f t="shared" si="17"/>
        <v>350</v>
      </c>
      <c r="K229" s="1">
        <f t="shared" si="18"/>
        <v>96250</v>
      </c>
      <c r="L229" s="2" t="str">
        <f t="shared" si="19"/>
        <v>Popular</v>
      </c>
    </row>
    <row r="230" spans="1:12" x14ac:dyDescent="0.3">
      <c r="A230" t="s">
        <v>327</v>
      </c>
      <c r="B230" t="s">
        <v>394</v>
      </c>
      <c r="C230" s="3">
        <v>4.5</v>
      </c>
      <c r="D230" s="3">
        <v>37</v>
      </c>
      <c r="E230" t="s">
        <v>395</v>
      </c>
      <c r="F230" s="3">
        <v>18.993870099999999</v>
      </c>
      <c r="G230">
        <v>72.8241522</v>
      </c>
      <c r="H230">
        <f t="shared" si="15"/>
        <v>166.5</v>
      </c>
      <c r="I230" s="3">
        <f t="shared" si="16"/>
        <v>925</v>
      </c>
      <c r="J230" s="1">
        <f t="shared" si="17"/>
        <v>450</v>
      </c>
      <c r="K230" s="1">
        <f t="shared" si="18"/>
        <v>416250</v>
      </c>
      <c r="L230" s="2" t="str">
        <f t="shared" si="19"/>
        <v>Premium</v>
      </c>
    </row>
    <row r="231" spans="1:12" x14ac:dyDescent="0.3">
      <c r="A231" t="s">
        <v>327</v>
      </c>
      <c r="B231" t="s">
        <v>396</v>
      </c>
      <c r="C231" s="3">
        <v>4.2</v>
      </c>
      <c r="D231" s="3">
        <v>5</v>
      </c>
      <c r="E231" t="s">
        <v>397</v>
      </c>
      <c r="F231" s="3">
        <v>18.9985103</v>
      </c>
      <c r="G231">
        <v>72.817853200000002</v>
      </c>
      <c r="H231">
        <f t="shared" si="15"/>
        <v>21</v>
      </c>
      <c r="I231" s="3">
        <f t="shared" si="16"/>
        <v>125</v>
      </c>
      <c r="J231" s="1">
        <f t="shared" si="17"/>
        <v>350</v>
      </c>
      <c r="K231" s="1">
        <f t="shared" si="18"/>
        <v>43750</v>
      </c>
      <c r="L231" s="2" t="str">
        <f t="shared" si="19"/>
        <v>Popular</v>
      </c>
    </row>
    <row r="232" spans="1:12" x14ac:dyDescent="0.3">
      <c r="A232" t="s">
        <v>327</v>
      </c>
      <c r="B232" t="s">
        <v>398</v>
      </c>
      <c r="C232" s="3">
        <v>4.4000000000000004</v>
      </c>
      <c r="D232" s="3">
        <v>2739</v>
      </c>
      <c r="E232" t="s">
        <v>399</v>
      </c>
      <c r="F232" s="3">
        <v>18.993742399999999</v>
      </c>
      <c r="G232">
        <v>72.8202742</v>
      </c>
      <c r="H232">
        <f t="shared" si="15"/>
        <v>12051.6</v>
      </c>
      <c r="I232" s="3">
        <f t="shared" si="16"/>
        <v>68475</v>
      </c>
      <c r="J232" s="1">
        <f t="shared" si="17"/>
        <v>450</v>
      </c>
      <c r="K232" s="1">
        <f t="shared" si="18"/>
        <v>30813750</v>
      </c>
      <c r="L232" s="2" t="str">
        <f t="shared" si="19"/>
        <v>Popular</v>
      </c>
    </row>
    <row r="233" spans="1:12" x14ac:dyDescent="0.3">
      <c r="A233" t="s">
        <v>327</v>
      </c>
      <c r="B233" t="s">
        <v>400</v>
      </c>
      <c r="C233" s="3">
        <v>4.5</v>
      </c>
      <c r="D233" s="3">
        <v>71</v>
      </c>
      <c r="E233" t="s">
        <v>401</v>
      </c>
      <c r="F233" s="3">
        <v>18.9987897</v>
      </c>
      <c r="G233">
        <v>72.839302599999996</v>
      </c>
      <c r="H233">
        <f t="shared" si="15"/>
        <v>319.5</v>
      </c>
      <c r="I233" s="3">
        <f t="shared" si="16"/>
        <v>1775</v>
      </c>
      <c r="J233" s="1">
        <f t="shared" si="17"/>
        <v>450</v>
      </c>
      <c r="K233" s="1">
        <f t="shared" si="18"/>
        <v>798750</v>
      </c>
      <c r="L233" s="2" t="str">
        <f t="shared" si="19"/>
        <v>Premium</v>
      </c>
    </row>
    <row r="234" spans="1:12" x14ac:dyDescent="0.3">
      <c r="A234" t="s">
        <v>327</v>
      </c>
      <c r="B234" t="s">
        <v>402</v>
      </c>
      <c r="C234" s="3">
        <v>4.2</v>
      </c>
      <c r="D234" s="3">
        <v>853</v>
      </c>
      <c r="E234" t="s">
        <v>403</v>
      </c>
      <c r="F234" s="3">
        <v>19.002875400000001</v>
      </c>
      <c r="G234">
        <v>72.828747300000003</v>
      </c>
      <c r="H234">
        <f t="shared" si="15"/>
        <v>3582.6000000000004</v>
      </c>
      <c r="I234" s="3">
        <f t="shared" si="16"/>
        <v>21325</v>
      </c>
      <c r="J234" s="1">
        <f t="shared" si="17"/>
        <v>350</v>
      </c>
      <c r="K234" s="1">
        <f t="shared" si="18"/>
        <v>7463750</v>
      </c>
      <c r="L234" s="2" t="str">
        <f t="shared" si="19"/>
        <v>Popular</v>
      </c>
    </row>
    <row r="235" spans="1:12" x14ac:dyDescent="0.3">
      <c r="A235" t="s">
        <v>327</v>
      </c>
      <c r="B235" t="s">
        <v>128</v>
      </c>
      <c r="C235" s="3">
        <v>4.4000000000000004</v>
      </c>
      <c r="D235" s="3">
        <v>789</v>
      </c>
      <c r="E235" t="s">
        <v>322</v>
      </c>
      <c r="F235" s="3">
        <v>19.010279499999999</v>
      </c>
      <c r="G235">
        <v>72.835153300000002</v>
      </c>
      <c r="H235">
        <f t="shared" si="15"/>
        <v>3471.6000000000004</v>
      </c>
      <c r="I235" s="3">
        <f t="shared" si="16"/>
        <v>19725</v>
      </c>
      <c r="J235" s="1">
        <f t="shared" si="17"/>
        <v>450</v>
      </c>
      <c r="K235" s="1">
        <f t="shared" si="18"/>
        <v>8876250</v>
      </c>
      <c r="L235" s="2" t="str">
        <f t="shared" si="19"/>
        <v>Popular</v>
      </c>
    </row>
    <row r="236" spans="1:12" x14ac:dyDescent="0.3">
      <c r="A236" t="s">
        <v>327</v>
      </c>
      <c r="B236" t="s">
        <v>404</v>
      </c>
      <c r="C236" s="3">
        <v>4.5</v>
      </c>
      <c r="D236" s="3">
        <v>6</v>
      </c>
      <c r="E236" t="s">
        <v>405</v>
      </c>
      <c r="F236" s="3">
        <v>19.002970900000001</v>
      </c>
      <c r="G236">
        <v>72.822246399999997</v>
      </c>
      <c r="H236">
        <f t="shared" si="15"/>
        <v>27</v>
      </c>
      <c r="I236" s="3">
        <f t="shared" si="16"/>
        <v>150</v>
      </c>
      <c r="J236" s="1">
        <f t="shared" si="17"/>
        <v>450</v>
      </c>
      <c r="K236" s="1">
        <f t="shared" si="18"/>
        <v>67500</v>
      </c>
      <c r="L236" s="2" t="str">
        <f t="shared" si="19"/>
        <v>Premium</v>
      </c>
    </row>
    <row r="237" spans="1:12" x14ac:dyDescent="0.3">
      <c r="A237" t="s">
        <v>327</v>
      </c>
      <c r="B237" t="s">
        <v>237</v>
      </c>
      <c r="C237" s="3">
        <v>4.5</v>
      </c>
      <c r="D237" s="3">
        <v>92</v>
      </c>
      <c r="E237" t="s">
        <v>238</v>
      </c>
      <c r="F237" s="3">
        <v>19.025475799999999</v>
      </c>
      <c r="G237">
        <v>72.835516999999996</v>
      </c>
      <c r="H237">
        <f t="shared" si="15"/>
        <v>414</v>
      </c>
      <c r="I237" s="3">
        <f t="shared" si="16"/>
        <v>2300</v>
      </c>
      <c r="J237" s="1">
        <f t="shared" si="17"/>
        <v>450</v>
      </c>
      <c r="K237" s="1">
        <f t="shared" si="18"/>
        <v>1035000</v>
      </c>
      <c r="L237" s="2" t="str">
        <f t="shared" si="19"/>
        <v>Premium</v>
      </c>
    </row>
    <row r="238" spans="1:12" x14ac:dyDescent="0.3">
      <c r="A238" t="s">
        <v>327</v>
      </c>
      <c r="B238" t="s">
        <v>406</v>
      </c>
      <c r="C238" s="3">
        <v>4.0999999999999996</v>
      </c>
      <c r="D238" s="3">
        <v>96</v>
      </c>
      <c r="E238" t="s">
        <v>407</v>
      </c>
      <c r="F238" s="3">
        <v>19.0103735</v>
      </c>
      <c r="G238">
        <v>72.822487699999996</v>
      </c>
      <c r="H238">
        <f t="shared" si="15"/>
        <v>393.59999999999997</v>
      </c>
      <c r="I238" s="3">
        <f t="shared" si="16"/>
        <v>2400</v>
      </c>
      <c r="J238" s="1">
        <f t="shared" si="17"/>
        <v>350</v>
      </c>
      <c r="K238" s="1">
        <f t="shared" si="18"/>
        <v>840000</v>
      </c>
      <c r="L238" s="2" t="str">
        <f t="shared" si="19"/>
        <v>Popular</v>
      </c>
    </row>
    <row r="239" spans="1:12" x14ac:dyDescent="0.3">
      <c r="A239" t="s">
        <v>327</v>
      </c>
      <c r="B239" t="s">
        <v>408</v>
      </c>
      <c r="C239" s="3">
        <v>4.4000000000000004</v>
      </c>
      <c r="D239" s="3">
        <v>58</v>
      </c>
      <c r="E239" t="s">
        <v>409</v>
      </c>
      <c r="F239" s="3">
        <v>19.005611300000002</v>
      </c>
      <c r="G239">
        <v>72.827450599999906</v>
      </c>
      <c r="H239">
        <f t="shared" si="15"/>
        <v>255.20000000000002</v>
      </c>
      <c r="I239" s="3">
        <f t="shared" si="16"/>
        <v>1450</v>
      </c>
      <c r="J239" s="1">
        <f t="shared" si="17"/>
        <v>450</v>
      </c>
      <c r="K239" s="1">
        <f t="shared" si="18"/>
        <v>652500</v>
      </c>
      <c r="L239" s="2" t="str">
        <f t="shared" si="19"/>
        <v>Popular</v>
      </c>
    </row>
    <row r="240" spans="1:12" x14ac:dyDescent="0.3">
      <c r="A240" t="s">
        <v>327</v>
      </c>
      <c r="B240" t="s">
        <v>410</v>
      </c>
      <c r="C240" s="3">
        <v>4.3</v>
      </c>
      <c r="D240" s="3">
        <v>3054</v>
      </c>
      <c r="E240" t="s">
        <v>411</v>
      </c>
      <c r="F240" s="3">
        <v>19.0025054</v>
      </c>
      <c r="G240">
        <v>72.8294298</v>
      </c>
      <c r="H240">
        <f t="shared" si="15"/>
        <v>13132.199999999999</v>
      </c>
      <c r="I240" s="3">
        <f t="shared" si="16"/>
        <v>76350</v>
      </c>
      <c r="J240" s="1">
        <f t="shared" si="17"/>
        <v>350</v>
      </c>
      <c r="K240" s="1">
        <f t="shared" si="18"/>
        <v>26722500</v>
      </c>
      <c r="L240" s="2" t="str">
        <f t="shared" si="19"/>
        <v>Popular</v>
      </c>
    </row>
    <row r="241" spans="1:12" x14ac:dyDescent="0.3">
      <c r="A241" t="s">
        <v>327</v>
      </c>
      <c r="B241" t="s">
        <v>412</v>
      </c>
      <c r="C241" s="3">
        <v>4.3</v>
      </c>
      <c r="D241" s="3">
        <v>298</v>
      </c>
      <c r="E241" t="s">
        <v>413</v>
      </c>
      <c r="F241" s="3">
        <v>18.994718299999999</v>
      </c>
      <c r="G241">
        <v>72.825195800000003</v>
      </c>
      <c r="H241">
        <f t="shared" si="15"/>
        <v>1281.3999999999999</v>
      </c>
      <c r="I241" s="3">
        <f t="shared" si="16"/>
        <v>7450</v>
      </c>
      <c r="J241" s="1">
        <f t="shared" si="17"/>
        <v>350</v>
      </c>
      <c r="K241" s="1">
        <f t="shared" si="18"/>
        <v>2607500</v>
      </c>
      <c r="L241" s="2" t="str">
        <f t="shared" si="19"/>
        <v>Popular</v>
      </c>
    </row>
    <row r="242" spans="1:12" x14ac:dyDescent="0.3">
      <c r="A242" t="s">
        <v>414</v>
      </c>
      <c r="B242" t="s">
        <v>415</v>
      </c>
      <c r="C242" s="3">
        <v>4.5</v>
      </c>
      <c r="D242" s="3">
        <v>3809</v>
      </c>
      <c r="E242" t="s">
        <v>416</v>
      </c>
      <c r="F242" s="3">
        <v>19.060597900000001</v>
      </c>
      <c r="G242">
        <v>72.824389999999994</v>
      </c>
      <c r="H242">
        <f t="shared" si="15"/>
        <v>17140.5</v>
      </c>
      <c r="I242" s="3">
        <f t="shared" si="16"/>
        <v>95225</v>
      </c>
      <c r="J242" s="1">
        <f t="shared" si="17"/>
        <v>450</v>
      </c>
      <c r="K242" s="1">
        <f t="shared" si="18"/>
        <v>42851250</v>
      </c>
      <c r="L242" s="2" t="str">
        <f t="shared" si="19"/>
        <v>Premium</v>
      </c>
    </row>
    <row r="243" spans="1:12" x14ac:dyDescent="0.3">
      <c r="A243" t="s">
        <v>414</v>
      </c>
      <c r="B243" t="s">
        <v>417</v>
      </c>
      <c r="C243" s="3">
        <v>4.4000000000000004</v>
      </c>
      <c r="D243" s="3">
        <v>2007</v>
      </c>
      <c r="E243" t="s">
        <v>418</v>
      </c>
      <c r="F243" s="3">
        <v>19.062201999999999</v>
      </c>
      <c r="G243">
        <v>72.829388799999904</v>
      </c>
      <c r="H243">
        <f t="shared" si="15"/>
        <v>8830.8000000000011</v>
      </c>
      <c r="I243" s="3">
        <f t="shared" si="16"/>
        <v>50175</v>
      </c>
      <c r="J243" s="1">
        <f t="shared" si="17"/>
        <v>450</v>
      </c>
      <c r="K243" s="1">
        <f t="shared" si="18"/>
        <v>22578750</v>
      </c>
      <c r="L243" s="2" t="str">
        <f t="shared" si="19"/>
        <v>Popular</v>
      </c>
    </row>
    <row r="244" spans="1:12" x14ac:dyDescent="0.3">
      <c r="A244" t="s">
        <v>414</v>
      </c>
      <c r="B244" t="s">
        <v>419</v>
      </c>
      <c r="C244" s="3">
        <v>4.3</v>
      </c>
      <c r="D244" s="3">
        <v>17088</v>
      </c>
      <c r="E244" t="s">
        <v>420</v>
      </c>
      <c r="F244" s="3">
        <v>19.061086599999999</v>
      </c>
      <c r="G244">
        <v>72.8266907</v>
      </c>
      <c r="H244">
        <f t="shared" si="15"/>
        <v>73478.399999999994</v>
      </c>
      <c r="I244" s="3">
        <f t="shared" si="16"/>
        <v>427200</v>
      </c>
      <c r="J244" s="1">
        <f t="shared" si="17"/>
        <v>350</v>
      </c>
      <c r="K244" s="1">
        <f t="shared" si="18"/>
        <v>149520000</v>
      </c>
      <c r="L244" s="2" t="str">
        <f t="shared" si="19"/>
        <v>Popular</v>
      </c>
    </row>
    <row r="245" spans="1:12" x14ac:dyDescent="0.3">
      <c r="A245" t="s">
        <v>414</v>
      </c>
      <c r="B245" t="s">
        <v>421</v>
      </c>
      <c r="C245" s="3">
        <v>4.4000000000000004</v>
      </c>
      <c r="D245" s="3">
        <v>1445</v>
      </c>
      <c r="E245" t="s">
        <v>422</v>
      </c>
      <c r="F245" s="3">
        <v>19.059071400000001</v>
      </c>
      <c r="G245">
        <v>72.834037999999893</v>
      </c>
      <c r="H245">
        <f t="shared" si="15"/>
        <v>6358.0000000000009</v>
      </c>
      <c r="I245" s="3">
        <f t="shared" si="16"/>
        <v>36125</v>
      </c>
      <c r="J245" s="1">
        <f t="shared" si="17"/>
        <v>450</v>
      </c>
      <c r="K245" s="1">
        <f t="shared" si="18"/>
        <v>16256250</v>
      </c>
      <c r="L245" s="2" t="str">
        <f t="shared" si="19"/>
        <v>Popular</v>
      </c>
    </row>
    <row r="246" spans="1:12" x14ac:dyDescent="0.3">
      <c r="A246" t="s">
        <v>414</v>
      </c>
      <c r="B246" t="s">
        <v>423</v>
      </c>
      <c r="C246" s="3">
        <v>4.2</v>
      </c>
      <c r="D246" s="3">
        <v>3019</v>
      </c>
      <c r="E246" t="s">
        <v>424</v>
      </c>
      <c r="F246" s="3">
        <v>19.0632296</v>
      </c>
      <c r="G246">
        <v>72.834758499999893</v>
      </c>
      <c r="H246">
        <f t="shared" si="15"/>
        <v>12679.800000000001</v>
      </c>
      <c r="I246" s="3">
        <f t="shared" si="16"/>
        <v>75475</v>
      </c>
      <c r="J246" s="1">
        <f t="shared" si="17"/>
        <v>350</v>
      </c>
      <c r="K246" s="1">
        <f t="shared" si="18"/>
        <v>26416250</v>
      </c>
      <c r="L246" s="2" t="str">
        <f t="shared" si="19"/>
        <v>Popular</v>
      </c>
    </row>
    <row r="247" spans="1:12" x14ac:dyDescent="0.3">
      <c r="A247" t="s">
        <v>414</v>
      </c>
      <c r="B247" t="s">
        <v>425</v>
      </c>
      <c r="C247" s="3">
        <v>4</v>
      </c>
      <c r="D247" s="3">
        <v>4246</v>
      </c>
      <c r="E247" t="s">
        <v>426</v>
      </c>
      <c r="F247" s="3">
        <v>19.055782199999999</v>
      </c>
      <c r="G247">
        <v>72.834012799999996</v>
      </c>
      <c r="H247">
        <f t="shared" si="15"/>
        <v>16984</v>
      </c>
      <c r="I247" s="3">
        <f t="shared" si="16"/>
        <v>106150</v>
      </c>
      <c r="J247" s="1">
        <f t="shared" si="17"/>
        <v>350</v>
      </c>
      <c r="K247" s="1">
        <f t="shared" si="18"/>
        <v>37152500</v>
      </c>
      <c r="L247" s="2" t="str">
        <f t="shared" si="19"/>
        <v>Popular</v>
      </c>
    </row>
    <row r="248" spans="1:12" x14ac:dyDescent="0.3">
      <c r="A248" t="s">
        <v>414</v>
      </c>
      <c r="B248" t="s">
        <v>427</v>
      </c>
      <c r="C248" s="3">
        <v>4.4000000000000004</v>
      </c>
      <c r="D248" s="3">
        <v>1420</v>
      </c>
      <c r="E248" t="s">
        <v>428</v>
      </c>
      <c r="F248" s="3">
        <v>19.060407699999999</v>
      </c>
      <c r="G248">
        <v>72.824325999999999</v>
      </c>
      <c r="H248">
        <f t="shared" si="15"/>
        <v>6248.0000000000009</v>
      </c>
      <c r="I248" s="3">
        <f t="shared" si="16"/>
        <v>35500</v>
      </c>
      <c r="J248" s="1">
        <f t="shared" si="17"/>
        <v>450</v>
      </c>
      <c r="K248" s="1">
        <f t="shared" si="18"/>
        <v>15975000</v>
      </c>
      <c r="L248" s="2" t="str">
        <f t="shared" si="19"/>
        <v>Popular</v>
      </c>
    </row>
    <row r="249" spans="1:12" x14ac:dyDescent="0.3">
      <c r="A249" t="s">
        <v>414</v>
      </c>
      <c r="B249" t="s">
        <v>429</v>
      </c>
      <c r="C249" s="3">
        <v>4.2</v>
      </c>
      <c r="D249" s="3">
        <v>967</v>
      </c>
      <c r="E249" t="s">
        <v>430</v>
      </c>
      <c r="F249" s="3">
        <v>19.062470900000001</v>
      </c>
      <c r="G249">
        <v>72.8310496</v>
      </c>
      <c r="H249">
        <f t="shared" si="15"/>
        <v>4061.4</v>
      </c>
      <c r="I249" s="3">
        <f t="shared" si="16"/>
        <v>24175</v>
      </c>
      <c r="J249" s="1">
        <f t="shared" si="17"/>
        <v>350</v>
      </c>
      <c r="K249" s="1">
        <f t="shared" si="18"/>
        <v>8461250</v>
      </c>
      <c r="L249" s="2" t="str">
        <f t="shared" si="19"/>
        <v>Popular</v>
      </c>
    </row>
    <row r="250" spans="1:12" x14ac:dyDescent="0.3">
      <c r="A250" t="s">
        <v>414</v>
      </c>
      <c r="B250" t="s">
        <v>431</v>
      </c>
      <c r="C250" s="3">
        <v>4.4000000000000004</v>
      </c>
      <c r="D250" s="3">
        <v>2390</v>
      </c>
      <c r="E250" t="s">
        <v>432</v>
      </c>
      <c r="F250" s="3">
        <v>19.0573519</v>
      </c>
      <c r="G250">
        <v>72.827677399999999</v>
      </c>
      <c r="H250">
        <f t="shared" si="15"/>
        <v>10516</v>
      </c>
      <c r="I250" s="3">
        <f t="shared" si="16"/>
        <v>59750</v>
      </c>
      <c r="J250" s="1">
        <f t="shared" si="17"/>
        <v>450</v>
      </c>
      <c r="K250" s="1">
        <f t="shared" si="18"/>
        <v>26887500</v>
      </c>
      <c r="L250" s="2" t="str">
        <f t="shared" si="19"/>
        <v>Popular</v>
      </c>
    </row>
    <row r="251" spans="1:12" x14ac:dyDescent="0.3">
      <c r="A251" t="s">
        <v>414</v>
      </c>
      <c r="B251" t="s">
        <v>433</v>
      </c>
      <c r="C251" s="3">
        <v>4.3</v>
      </c>
      <c r="D251" s="3">
        <v>1546</v>
      </c>
      <c r="E251" t="s">
        <v>434</v>
      </c>
      <c r="F251" s="3">
        <v>19.062742799999999</v>
      </c>
      <c r="G251">
        <v>72.834511699999993</v>
      </c>
      <c r="H251">
        <f t="shared" si="15"/>
        <v>6647.7999999999993</v>
      </c>
      <c r="I251" s="3">
        <f t="shared" si="16"/>
        <v>38650</v>
      </c>
      <c r="J251" s="1">
        <f t="shared" si="17"/>
        <v>350</v>
      </c>
      <c r="K251" s="1">
        <f t="shared" si="18"/>
        <v>13527500</v>
      </c>
      <c r="L251" s="2" t="str">
        <f t="shared" si="19"/>
        <v>Popular</v>
      </c>
    </row>
    <row r="252" spans="1:12" x14ac:dyDescent="0.3">
      <c r="A252" t="s">
        <v>414</v>
      </c>
      <c r="B252" t="s">
        <v>435</v>
      </c>
      <c r="C252" s="3">
        <v>4.4000000000000004</v>
      </c>
      <c r="D252" s="3">
        <v>2417</v>
      </c>
      <c r="E252" t="s">
        <v>436</v>
      </c>
      <c r="F252" s="3">
        <v>19.059307100000002</v>
      </c>
      <c r="G252">
        <v>72.828907399999906</v>
      </c>
      <c r="H252">
        <f t="shared" si="15"/>
        <v>10634.800000000001</v>
      </c>
      <c r="I252" s="3">
        <f t="shared" si="16"/>
        <v>60425</v>
      </c>
      <c r="J252" s="1">
        <f t="shared" si="17"/>
        <v>450</v>
      </c>
      <c r="K252" s="1">
        <f t="shared" si="18"/>
        <v>27191250</v>
      </c>
      <c r="L252" s="2" t="str">
        <f t="shared" si="19"/>
        <v>Popular</v>
      </c>
    </row>
    <row r="253" spans="1:12" x14ac:dyDescent="0.3">
      <c r="A253" t="s">
        <v>414</v>
      </c>
      <c r="B253" t="s">
        <v>437</v>
      </c>
      <c r="C253" s="3">
        <v>4.4000000000000004</v>
      </c>
      <c r="D253" s="3">
        <v>914</v>
      </c>
      <c r="E253" t="s">
        <v>438</v>
      </c>
      <c r="F253" s="3">
        <v>19.047786800000001</v>
      </c>
      <c r="G253">
        <v>72.820885799999999</v>
      </c>
      <c r="H253">
        <f t="shared" si="15"/>
        <v>4021.6000000000004</v>
      </c>
      <c r="I253" s="3">
        <f t="shared" si="16"/>
        <v>22850</v>
      </c>
      <c r="J253" s="1">
        <f t="shared" si="17"/>
        <v>450</v>
      </c>
      <c r="K253" s="1">
        <f t="shared" si="18"/>
        <v>10282500</v>
      </c>
      <c r="L253" s="2" t="str">
        <f t="shared" si="19"/>
        <v>Popular</v>
      </c>
    </row>
    <row r="254" spans="1:12" x14ac:dyDescent="0.3">
      <c r="A254" t="s">
        <v>414</v>
      </c>
      <c r="B254" t="s">
        <v>439</v>
      </c>
      <c r="C254" s="3">
        <v>4.5</v>
      </c>
      <c r="D254" s="3">
        <v>543</v>
      </c>
      <c r="E254" t="s">
        <v>440</v>
      </c>
      <c r="F254" s="3">
        <v>19.0524466</v>
      </c>
      <c r="G254">
        <v>72.828589800000003</v>
      </c>
      <c r="H254">
        <f t="shared" si="15"/>
        <v>2443.5</v>
      </c>
      <c r="I254" s="3">
        <f t="shared" si="16"/>
        <v>13575</v>
      </c>
      <c r="J254" s="1">
        <f t="shared" si="17"/>
        <v>450</v>
      </c>
      <c r="K254" s="1">
        <f t="shared" si="18"/>
        <v>6108750</v>
      </c>
      <c r="L254" s="2" t="str">
        <f t="shared" si="19"/>
        <v>Premium</v>
      </c>
    </row>
    <row r="255" spans="1:12" x14ac:dyDescent="0.3">
      <c r="A255" t="s">
        <v>414</v>
      </c>
      <c r="B255" t="s">
        <v>384</v>
      </c>
      <c r="C255" s="3">
        <v>4.4000000000000004</v>
      </c>
      <c r="D255" s="3">
        <v>582</v>
      </c>
      <c r="E255" t="s">
        <v>385</v>
      </c>
      <c r="F255" s="3">
        <v>19.0490016</v>
      </c>
      <c r="G255">
        <v>72.823651999999996</v>
      </c>
      <c r="H255">
        <f t="shared" si="15"/>
        <v>2560.8000000000002</v>
      </c>
      <c r="I255" s="3">
        <f t="shared" si="16"/>
        <v>14550</v>
      </c>
      <c r="J255" s="1">
        <f t="shared" si="17"/>
        <v>450</v>
      </c>
      <c r="K255" s="1">
        <f t="shared" si="18"/>
        <v>6547500</v>
      </c>
      <c r="L255" s="2" t="str">
        <f t="shared" si="19"/>
        <v>Popular</v>
      </c>
    </row>
    <row r="256" spans="1:12" x14ac:dyDescent="0.3">
      <c r="A256" t="s">
        <v>414</v>
      </c>
      <c r="B256" t="s">
        <v>441</v>
      </c>
      <c r="C256" s="3">
        <v>4</v>
      </c>
      <c r="D256" s="3">
        <v>641</v>
      </c>
      <c r="E256" t="s">
        <v>442</v>
      </c>
      <c r="F256" s="3">
        <v>19.050620599999998</v>
      </c>
      <c r="G256">
        <v>72.826599099999996</v>
      </c>
      <c r="H256">
        <f t="shared" si="15"/>
        <v>2564</v>
      </c>
      <c r="I256" s="3">
        <f t="shared" si="16"/>
        <v>16025</v>
      </c>
      <c r="J256" s="1">
        <f t="shared" si="17"/>
        <v>350</v>
      </c>
      <c r="K256" s="1">
        <f t="shared" si="18"/>
        <v>5608750</v>
      </c>
      <c r="L256" s="2" t="str">
        <f t="shared" si="19"/>
        <v>Popular</v>
      </c>
    </row>
    <row r="257" spans="1:12" x14ac:dyDescent="0.3">
      <c r="A257" t="s">
        <v>414</v>
      </c>
      <c r="B257" t="s">
        <v>443</v>
      </c>
      <c r="C257" s="3">
        <v>4.3</v>
      </c>
      <c r="D257" s="3">
        <v>605</v>
      </c>
      <c r="E257" t="s">
        <v>444</v>
      </c>
      <c r="F257" s="3">
        <v>19.054622299999998</v>
      </c>
      <c r="G257">
        <v>72.825842899999998</v>
      </c>
      <c r="H257">
        <f t="shared" si="15"/>
        <v>2601.5</v>
      </c>
      <c r="I257" s="3">
        <f t="shared" si="16"/>
        <v>15125</v>
      </c>
      <c r="J257" s="1">
        <f t="shared" si="17"/>
        <v>350</v>
      </c>
      <c r="K257" s="1">
        <f t="shared" si="18"/>
        <v>5293750</v>
      </c>
      <c r="L257" s="2" t="str">
        <f t="shared" si="19"/>
        <v>Popular</v>
      </c>
    </row>
    <row r="258" spans="1:12" x14ac:dyDescent="0.3">
      <c r="A258" t="s">
        <v>414</v>
      </c>
      <c r="B258" t="s">
        <v>445</v>
      </c>
      <c r="C258" s="3">
        <v>4.4000000000000004</v>
      </c>
      <c r="D258" s="3">
        <v>695</v>
      </c>
      <c r="E258" t="s">
        <v>446</v>
      </c>
      <c r="F258" s="3">
        <v>19.061212699999999</v>
      </c>
      <c r="G258">
        <v>72.826943200000002</v>
      </c>
      <c r="H258">
        <f t="shared" ref="H258:H321" si="20">C258*D258</f>
        <v>3058.0000000000005</v>
      </c>
      <c r="I258" s="3">
        <f t="shared" ref="I258:I321" si="21">D258*25</f>
        <v>17375</v>
      </c>
      <c r="J258" s="1">
        <f t="shared" ref="J258:J321" si="22">IF(C258&gt;=4.7,550,IF(C258&gt;=4.4,450,IF(C258&gt;=O260,350,250)))</f>
        <v>450</v>
      </c>
      <c r="K258" s="1">
        <f t="shared" ref="K258:K321" si="23">I258*J258</f>
        <v>7818750</v>
      </c>
      <c r="L258" s="2" t="str">
        <f t="shared" ref="L258:L321" si="24">IF(C258&gt;=4.5,"Premium",IF(C258&gt;=4,"Popular","Average"))</f>
        <v>Popular</v>
      </c>
    </row>
    <row r="259" spans="1:12" x14ac:dyDescent="0.3">
      <c r="A259" t="s">
        <v>414</v>
      </c>
      <c r="B259" t="s">
        <v>447</v>
      </c>
      <c r="C259" s="3">
        <v>4.2</v>
      </c>
      <c r="D259" s="3">
        <v>2437</v>
      </c>
      <c r="E259" t="s">
        <v>448</v>
      </c>
      <c r="F259" s="3">
        <v>19.063306999999998</v>
      </c>
      <c r="G259">
        <v>72.824928099999994</v>
      </c>
      <c r="H259">
        <f t="shared" si="20"/>
        <v>10235.4</v>
      </c>
      <c r="I259" s="3">
        <f t="shared" si="21"/>
        <v>60925</v>
      </c>
      <c r="J259" s="1">
        <f t="shared" si="22"/>
        <v>350</v>
      </c>
      <c r="K259" s="1">
        <f t="shared" si="23"/>
        <v>21323750</v>
      </c>
      <c r="L259" s="2" t="str">
        <f t="shared" si="24"/>
        <v>Popular</v>
      </c>
    </row>
    <row r="260" spans="1:12" x14ac:dyDescent="0.3">
      <c r="A260" t="s">
        <v>414</v>
      </c>
      <c r="B260" t="s">
        <v>449</v>
      </c>
      <c r="C260" s="3">
        <v>4.3</v>
      </c>
      <c r="D260" s="3">
        <v>2522</v>
      </c>
      <c r="E260" t="s">
        <v>450</v>
      </c>
      <c r="F260" s="3">
        <v>19.053175899999999</v>
      </c>
      <c r="G260">
        <v>72.830108899999999</v>
      </c>
      <c r="H260">
        <f t="shared" si="20"/>
        <v>10844.6</v>
      </c>
      <c r="I260" s="3">
        <f t="shared" si="21"/>
        <v>63050</v>
      </c>
      <c r="J260" s="1">
        <f t="shared" si="22"/>
        <v>350</v>
      </c>
      <c r="K260" s="1">
        <f t="shared" si="23"/>
        <v>22067500</v>
      </c>
      <c r="L260" s="2" t="str">
        <f t="shared" si="24"/>
        <v>Popular</v>
      </c>
    </row>
    <row r="261" spans="1:12" x14ac:dyDescent="0.3">
      <c r="A261" t="s">
        <v>414</v>
      </c>
      <c r="B261" t="s">
        <v>451</v>
      </c>
      <c r="C261" s="3">
        <v>4.8</v>
      </c>
      <c r="D261" s="3">
        <v>104</v>
      </c>
      <c r="E261" t="s">
        <v>452</v>
      </c>
      <c r="F261" s="3">
        <v>19.048618900000001</v>
      </c>
      <c r="G261">
        <v>72.825940500000002</v>
      </c>
      <c r="H261">
        <f t="shared" si="20"/>
        <v>499.2</v>
      </c>
      <c r="I261" s="3">
        <f t="shared" si="21"/>
        <v>2600</v>
      </c>
      <c r="J261" s="1">
        <f t="shared" si="22"/>
        <v>550</v>
      </c>
      <c r="K261" s="1">
        <f t="shared" si="23"/>
        <v>1430000</v>
      </c>
      <c r="L261" s="2" t="str">
        <f t="shared" si="24"/>
        <v>Premium</v>
      </c>
    </row>
    <row r="262" spans="1:12" x14ac:dyDescent="0.3">
      <c r="A262" t="s">
        <v>414</v>
      </c>
      <c r="B262" t="s">
        <v>453</v>
      </c>
      <c r="C262" s="3">
        <v>4.2</v>
      </c>
      <c r="D262" s="3">
        <v>143</v>
      </c>
      <c r="E262" t="s">
        <v>454</v>
      </c>
      <c r="F262" s="3">
        <v>19.0562814</v>
      </c>
      <c r="G262">
        <v>72.834321199999906</v>
      </c>
      <c r="H262">
        <f t="shared" si="20"/>
        <v>600.6</v>
      </c>
      <c r="I262" s="3">
        <f t="shared" si="21"/>
        <v>3575</v>
      </c>
      <c r="J262" s="1">
        <f t="shared" si="22"/>
        <v>350</v>
      </c>
      <c r="K262" s="1">
        <f t="shared" si="23"/>
        <v>1251250</v>
      </c>
      <c r="L262" s="2" t="str">
        <f t="shared" si="24"/>
        <v>Popular</v>
      </c>
    </row>
    <row r="263" spans="1:12" x14ac:dyDescent="0.3">
      <c r="A263" t="s">
        <v>414</v>
      </c>
      <c r="B263" t="s">
        <v>455</v>
      </c>
      <c r="C263" s="3">
        <v>4.2</v>
      </c>
      <c r="D263" s="3">
        <v>582</v>
      </c>
      <c r="E263" t="s">
        <v>456</v>
      </c>
      <c r="F263" s="3">
        <v>19.047501700000002</v>
      </c>
      <c r="G263">
        <v>72.8201562</v>
      </c>
      <c r="H263">
        <f t="shared" si="20"/>
        <v>2444.4</v>
      </c>
      <c r="I263" s="3">
        <f t="shared" si="21"/>
        <v>14550</v>
      </c>
      <c r="J263" s="1">
        <f t="shared" si="22"/>
        <v>350</v>
      </c>
      <c r="K263" s="1">
        <f t="shared" si="23"/>
        <v>5092500</v>
      </c>
      <c r="L263" s="2" t="str">
        <f t="shared" si="24"/>
        <v>Popular</v>
      </c>
    </row>
    <row r="264" spans="1:12" x14ac:dyDescent="0.3">
      <c r="A264" t="s">
        <v>414</v>
      </c>
      <c r="B264" t="s">
        <v>457</v>
      </c>
      <c r="C264" s="3">
        <v>4.5999999999999996</v>
      </c>
      <c r="D264" s="3">
        <v>140</v>
      </c>
      <c r="E264" t="s">
        <v>458</v>
      </c>
      <c r="F264" s="3">
        <v>19.050561200000001</v>
      </c>
      <c r="G264">
        <v>72.826788800000003</v>
      </c>
      <c r="H264">
        <f t="shared" si="20"/>
        <v>644</v>
      </c>
      <c r="I264" s="3">
        <f t="shared" si="21"/>
        <v>3500</v>
      </c>
      <c r="J264" s="1">
        <f t="shared" si="22"/>
        <v>450</v>
      </c>
      <c r="K264" s="1">
        <f t="shared" si="23"/>
        <v>1575000</v>
      </c>
      <c r="L264" s="2" t="str">
        <f t="shared" si="24"/>
        <v>Premium</v>
      </c>
    </row>
    <row r="265" spans="1:12" x14ac:dyDescent="0.3">
      <c r="A265" t="s">
        <v>414</v>
      </c>
      <c r="B265" t="s">
        <v>459</v>
      </c>
      <c r="C265" s="3">
        <v>4.3</v>
      </c>
      <c r="D265" s="3">
        <v>343</v>
      </c>
      <c r="E265" t="s">
        <v>460</v>
      </c>
      <c r="F265" s="3">
        <v>19.0649962</v>
      </c>
      <c r="G265">
        <v>72.831066399999997</v>
      </c>
      <c r="H265">
        <f t="shared" si="20"/>
        <v>1474.8999999999999</v>
      </c>
      <c r="I265" s="3">
        <f t="shared" si="21"/>
        <v>8575</v>
      </c>
      <c r="J265" s="1">
        <f t="shared" si="22"/>
        <v>350</v>
      </c>
      <c r="K265" s="1">
        <f t="shared" si="23"/>
        <v>3001250</v>
      </c>
      <c r="L265" s="2" t="str">
        <f t="shared" si="24"/>
        <v>Popular</v>
      </c>
    </row>
    <row r="266" spans="1:12" x14ac:dyDescent="0.3">
      <c r="A266" t="s">
        <v>414</v>
      </c>
      <c r="B266" t="s">
        <v>461</v>
      </c>
      <c r="C266" s="3">
        <v>4.0999999999999996</v>
      </c>
      <c r="D266" s="3">
        <v>349</v>
      </c>
      <c r="E266" t="s">
        <v>462</v>
      </c>
      <c r="F266" s="3">
        <v>19.070728899999999</v>
      </c>
      <c r="G266">
        <v>72.822468299999997</v>
      </c>
      <c r="H266">
        <f t="shared" si="20"/>
        <v>1430.8999999999999</v>
      </c>
      <c r="I266" s="3">
        <f t="shared" si="21"/>
        <v>8725</v>
      </c>
      <c r="J266" s="1">
        <f t="shared" si="22"/>
        <v>350</v>
      </c>
      <c r="K266" s="1">
        <f t="shared" si="23"/>
        <v>3053750</v>
      </c>
      <c r="L266" s="2" t="str">
        <f t="shared" si="24"/>
        <v>Popular</v>
      </c>
    </row>
    <row r="267" spans="1:12" x14ac:dyDescent="0.3">
      <c r="A267" t="s">
        <v>414</v>
      </c>
      <c r="B267" t="s">
        <v>463</v>
      </c>
      <c r="C267" s="3">
        <v>4.5</v>
      </c>
      <c r="D267" s="3">
        <v>3745</v>
      </c>
      <c r="E267" t="s">
        <v>464</v>
      </c>
      <c r="F267" s="3">
        <v>19.048597999999998</v>
      </c>
      <c r="G267">
        <v>72.825850399999993</v>
      </c>
      <c r="H267">
        <f t="shared" si="20"/>
        <v>16852.5</v>
      </c>
      <c r="I267" s="3">
        <f t="shared" si="21"/>
        <v>93625</v>
      </c>
      <c r="J267" s="1">
        <f t="shared" si="22"/>
        <v>450</v>
      </c>
      <c r="K267" s="1">
        <f t="shared" si="23"/>
        <v>42131250</v>
      </c>
      <c r="L267" s="2" t="str">
        <f t="shared" si="24"/>
        <v>Premium</v>
      </c>
    </row>
    <row r="268" spans="1:12" x14ac:dyDescent="0.3">
      <c r="A268" t="s">
        <v>414</v>
      </c>
      <c r="B268" t="s">
        <v>99</v>
      </c>
      <c r="C268" s="3">
        <v>4.4000000000000004</v>
      </c>
      <c r="D268" s="3">
        <v>2749</v>
      </c>
      <c r="E268" t="s">
        <v>465</v>
      </c>
      <c r="F268" s="3">
        <v>19.050127799999999</v>
      </c>
      <c r="G268">
        <v>72.826337199999998</v>
      </c>
      <c r="H268">
        <f t="shared" si="20"/>
        <v>12095.6</v>
      </c>
      <c r="I268" s="3">
        <f t="shared" si="21"/>
        <v>68725</v>
      </c>
      <c r="J268" s="1">
        <f t="shared" si="22"/>
        <v>450</v>
      </c>
      <c r="K268" s="1">
        <f t="shared" si="23"/>
        <v>30926250</v>
      </c>
      <c r="L268" s="2" t="str">
        <f t="shared" si="24"/>
        <v>Popular</v>
      </c>
    </row>
    <row r="269" spans="1:12" x14ac:dyDescent="0.3">
      <c r="A269" t="s">
        <v>414</v>
      </c>
      <c r="B269" t="s">
        <v>466</v>
      </c>
      <c r="C269" s="3">
        <v>4.4000000000000004</v>
      </c>
      <c r="D269" s="3">
        <v>841</v>
      </c>
      <c r="E269" t="s">
        <v>467</v>
      </c>
      <c r="F269" s="3">
        <v>19.062784300000001</v>
      </c>
      <c r="G269">
        <v>72.832786799999994</v>
      </c>
      <c r="H269">
        <f t="shared" si="20"/>
        <v>3700.4</v>
      </c>
      <c r="I269" s="3">
        <f t="shared" si="21"/>
        <v>21025</v>
      </c>
      <c r="J269" s="1">
        <f t="shared" si="22"/>
        <v>450</v>
      </c>
      <c r="K269" s="1">
        <f t="shared" si="23"/>
        <v>9461250</v>
      </c>
      <c r="L269" s="2" t="str">
        <f t="shared" si="24"/>
        <v>Popular</v>
      </c>
    </row>
    <row r="270" spans="1:12" x14ac:dyDescent="0.3">
      <c r="A270" t="s">
        <v>414</v>
      </c>
      <c r="B270" t="s">
        <v>468</v>
      </c>
      <c r="C270" s="3">
        <v>4.5</v>
      </c>
      <c r="D270" s="3">
        <v>717</v>
      </c>
      <c r="E270" t="s">
        <v>469</v>
      </c>
      <c r="F270" s="3">
        <v>19.063641199999999</v>
      </c>
      <c r="G270">
        <v>72.829390899999893</v>
      </c>
      <c r="H270">
        <f t="shared" si="20"/>
        <v>3226.5</v>
      </c>
      <c r="I270" s="3">
        <f t="shared" si="21"/>
        <v>17925</v>
      </c>
      <c r="J270" s="1">
        <f t="shared" si="22"/>
        <v>450</v>
      </c>
      <c r="K270" s="1">
        <f t="shared" si="23"/>
        <v>8066250</v>
      </c>
      <c r="L270" s="2" t="str">
        <f t="shared" si="24"/>
        <v>Premium</v>
      </c>
    </row>
    <row r="271" spans="1:12" x14ac:dyDescent="0.3">
      <c r="A271" t="s">
        <v>414</v>
      </c>
      <c r="B271" t="s">
        <v>259</v>
      </c>
      <c r="C271" s="3">
        <v>4.0999999999999996</v>
      </c>
      <c r="D271" s="3">
        <v>2070</v>
      </c>
      <c r="E271" t="s">
        <v>470</v>
      </c>
      <c r="F271" s="3">
        <v>19.047521199999998</v>
      </c>
      <c r="G271">
        <v>72.820126399999907</v>
      </c>
      <c r="H271">
        <f t="shared" si="20"/>
        <v>8487</v>
      </c>
      <c r="I271" s="3">
        <f t="shared" si="21"/>
        <v>51750</v>
      </c>
      <c r="J271" s="1">
        <f t="shared" si="22"/>
        <v>350</v>
      </c>
      <c r="K271" s="1">
        <f t="shared" si="23"/>
        <v>18112500</v>
      </c>
      <c r="L271" s="2" t="str">
        <f t="shared" si="24"/>
        <v>Popular</v>
      </c>
    </row>
    <row r="272" spans="1:12" x14ac:dyDescent="0.3">
      <c r="A272" t="s">
        <v>414</v>
      </c>
      <c r="B272" t="s">
        <v>471</v>
      </c>
      <c r="C272" s="3">
        <v>3.9</v>
      </c>
      <c r="D272" s="3">
        <v>2041</v>
      </c>
      <c r="E272" t="s">
        <v>472</v>
      </c>
      <c r="F272" s="3">
        <v>19.065242099999999</v>
      </c>
      <c r="G272">
        <v>72.8334823</v>
      </c>
      <c r="H272">
        <f t="shared" si="20"/>
        <v>7959.9</v>
      </c>
      <c r="I272" s="3">
        <f t="shared" si="21"/>
        <v>51025</v>
      </c>
      <c r="J272" s="1">
        <f t="shared" si="22"/>
        <v>350</v>
      </c>
      <c r="K272" s="1">
        <f t="shared" si="23"/>
        <v>17858750</v>
      </c>
      <c r="L272" s="2" t="str">
        <f t="shared" si="24"/>
        <v>Average</v>
      </c>
    </row>
    <row r="273" spans="1:12" x14ac:dyDescent="0.3">
      <c r="A273" t="s">
        <v>414</v>
      </c>
      <c r="B273" t="s">
        <v>473</v>
      </c>
      <c r="C273" s="3">
        <v>4.2</v>
      </c>
      <c r="D273" s="3">
        <v>3266</v>
      </c>
      <c r="E273" t="s">
        <v>474</v>
      </c>
      <c r="F273" s="3">
        <v>19.049568099999998</v>
      </c>
      <c r="G273">
        <v>72.829932999999997</v>
      </c>
      <c r="H273">
        <f t="shared" si="20"/>
        <v>13717.2</v>
      </c>
      <c r="I273" s="3">
        <f t="shared" si="21"/>
        <v>81650</v>
      </c>
      <c r="J273" s="1">
        <f t="shared" si="22"/>
        <v>350</v>
      </c>
      <c r="K273" s="1">
        <f t="shared" si="23"/>
        <v>28577500</v>
      </c>
      <c r="L273" s="2" t="str">
        <f t="shared" si="24"/>
        <v>Popular</v>
      </c>
    </row>
    <row r="274" spans="1:12" x14ac:dyDescent="0.3">
      <c r="A274" t="s">
        <v>414</v>
      </c>
      <c r="B274" t="s">
        <v>475</v>
      </c>
      <c r="C274" s="3">
        <v>4.0999999999999996</v>
      </c>
      <c r="D274" s="3">
        <v>968</v>
      </c>
      <c r="E274" t="s">
        <v>476</v>
      </c>
      <c r="F274" s="3">
        <v>19.070349199999999</v>
      </c>
      <c r="G274">
        <v>72.822748099999998</v>
      </c>
      <c r="H274">
        <f t="shared" si="20"/>
        <v>3968.7999999999997</v>
      </c>
      <c r="I274" s="3">
        <f t="shared" si="21"/>
        <v>24200</v>
      </c>
      <c r="J274" s="1">
        <f t="shared" si="22"/>
        <v>350</v>
      </c>
      <c r="K274" s="1">
        <f t="shared" si="23"/>
        <v>8470000</v>
      </c>
      <c r="L274" s="2" t="str">
        <f t="shared" si="24"/>
        <v>Popular</v>
      </c>
    </row>
    <row r="275" spans="1:12" x14ac:dyDescent="0.3">
      <c r="A275" t="s">
        <v>414</v>
      </c>
      <c r="B275" t="s">
        <v>477</v>
      </c>
      <c r="C275" s="3">
        <v>4.5</v>
      </c>
      <c r="D275" s="3">
        <v>518</v>
      </c>
      <c r="E275" t="s">
        <v>478</v>
      </c>
      <c r="F275" s="3">
        <v>19.0507025</v>
      </c>
      <c r="G275">
        <v>72.829990600000002</v>
      </c>
      <c r="H275">
        <f t="shared" si="20"/>
        <v>2331</v>
      </c>
      <c r="I275" s="3">
        <f t="shared" si="21"/>
        <v>12950</v>
      </c>
      <c r="J275" s="1">
        <f t="shared" si="22"/>
        <v>450</v>
      </c>
      <c r="K275" s="1">
        <f t="shared" si="23"/>
        <v>5827500</v>
      </c>
      <c r="L275" s="2" t="str">
        <f t="shared" si="24"/>
        <v>Premium</v>
      </c>
    </row>
    <row r="276" spans="1:12" x14ac:dyDescent="0.3">
      <c r="A276" t="s">
        <v>414</v>
      </c>
      <c r="B276" t="s">
        <v>479</v>
      </c>
      <c r="C276" s="3">
        <v>4.5</v>
      </c>
      <c r="D276" s="3">
        <v>690</v>
      </c>
      <c r="E276" t="s">
        <v>480</v>
      </c>
      <c r="F276" s="3">
        <v>19.073190700000001</v>
      </c>
      <c r="G276">
        <v>72.826379899999907</v>
      </c>
      <c r="H276">
        <f t="shared" si="20"/>
        <v>3105</v>
      </c>
      <c r="I276" s="3">
        <f t="shared" si="21"/>
        <v>17250</v>
      </c>
      <c r="J276" s="1">
        <f t="shared" si="22"/>
        <v>450</v>
      </c>
      <c r="K276" s="1">
        <f t="shared" si="23"/>
        <v>7762500</v>
      </c>
      <c r="L276" s="2" t="str">
        <f t="shared" si="24"/>
        <v>Premium</v>
      </c>
    </row>
    <row r="277" spans="1:12" x14ac:dyDescent="0.3">
      <c r="A277" t="s">
        <v>414</v>
      </c>
      <c r="B277" t="s">
        <v>481</v>
      </c>
      <c r="C277" s="3">
        <v>4.3</v>
      </c>
      <c r="D277" s="3">
        <v>4707</v>
      </c>
      <c r="E277" t="s">
        <v>482</v>
      </c>
      <c r="F277" s="3">
        <v>19.0603786</v>
      </c>
      <c r="G277">
        <v>72.829317399999994</v>
      </c>
      <c r="H277">
        <f t="shared" si="20"/>
        <v>20240.099999999999</v>
      </c>
      <c r="I277" s="3">
        <f t="shared" si="21"/>
        <v>117675</v>
      </c>
      <c r="J277" s="1">
        <f t="shared" si="22"/>
        <v>350</v>
      </c>
      <c r="K277" s="1">
        <f t="shared" si="23"/>
        <v>41186250</v>
      </c>
      <c r="L277" s="2" t="str">
        <f t="shared" si="24"/>
        <v>Popular</v>
      </c>
    </row>
    <row r="278" spans="1:12" x14ac:dyDescent="0.3">
      <c r="A278" t="s">
        <v>414</v>
      </c>
      <c r="B278" t="s">
        <v>483</v>
      </c>
      <c r="C278" s="3">
        <v>4.3</v>
      </c>
      <c r="D278" s="3">
        <v>75</v>
      </c>
      <c r="E278" t="s">
        <v>484</v>
      </c>
      <c r="F278" s="3">
        <v>19.060931100000001</v>
      </c>
      <c r="G278">
        <v>72.832459200000002</v>
      </c>
      <c r="H278">
        <f t="shared" si="20"/>
        <v>322.5</v>
      </c>
      <c r="I278" s="3">
        <f t="shared" si="21"/>
        <v>1875</v>
      </c>
      <c r="J278" s="1">
        <f t="shared" si="22"/>
        <v>350</v>
      </c>
      <c r="K278" s="1">
        <f t="shared" si="23"/>
        <v>656250</v>
      </c>
      <c r="L278" s="2" t="str">
        <f t="shared" si="24"/>
        <v>Popular</v>
      </c>
    </row>
    <row r="279" spans="1:12" x14ac:dyDescent="0.3">
      <c r="A279" t="s">
        <v>414</v>
      </c>
      <c r="B279" t="s">
        <v>485</v>
      </c>
      <c r="C279" s="3">
        <v>4.3</v>
      </c>
      <c r="D279" s="3">
        <v>4318</v>
      </c>
      <c r="E279" t="s">
        <v>486</v>
      </c>
      <c r="F279" s="3">
        <v>19.062415399999999</v>
      </c>
      <c r="G279">
        <v>72.832679599999906</v>
      </c>
      <c r="H279">
        <f t="shared" si="20"/>
        <v>18567.399999999998</v>
      </c>
      <c r="I279" s="3">
        <f t="shared" si="21"/>
        <v>107950</v>
      </c>
      <c r="J279" s="1">
        <f t="shared" si="22"/>
        <v>350</v>
      </c>
      <c r="K279" s="1">
        <f t="shared" si="23"/>
        <v>37782500</v>
      </c>
      <c r="L279" s="2" t="str">
        <f t="shared" si="24"/>
        <v>Popular</v>
      </c>
    </row>
    <row r="280" spans="1:12" x14ac:dyDescent="0.3">
      <c r="A280" t="s">
        <v>414</v>
      </c>
      <c r="B280" t="s">
        <v>487</v>
      </c>
      <c r="C280" s="3">
        <v>4.7</v>
      </c>
      <c r="D280" s="3">
        <v>261</v>
      </c>
      <c r="E280" t="s">
        <v>488</v>
      </c>
      <c r="F280" s="3">
        <v>19.0519426</v>
      </c>
      <c r="G280">
        <v>72.829369</v>
      </c>
      <c r="H280">
        <f t="shared" si="20"/>
        <v>1226.7</v>
      </c>
      <c r="I280" s="3">
        <f t="shared" si="21"/>
        <v>6525</v>
      </c>
      <c r="J280" s="1">
        <f t="shared" si="22"/>
        <v>550</v>
      </c>
      <c r="K280" s="1">
        <f t="shared" si="23"/>
        <v>3588750</v>
      </c>
      <c r="L280" s="2" t="str">
        <f t="shared" si="24"/>
        <v>Premium</v>
      </c>
    </row>
    <row r="281" spans="1:12" x14ac:dyDescent="0.3">
      <c r="A281" t="s">
        <v>414</v>
      </c>
      <c r="B281" t="s">
        <v>489</v>
      </c>
      <c r="C281" s="3">
        <v>4.5</v>
      </c>
      <c r="D281" s="3">
        <v>281</v>
      </c>
      <c r="E281" t="s">
        <v>490</v>
      </c>
      <c r="F281" s="3">
        <v>19.0669428</v>
      </c>
      <c r="G281">
        <v>72.831006599999995</v>
      </c>
      <c r="H281">
        <f t="shared" si="20"/>
        <v>1264.5</v>
      </c>
      <c r="I281" s="3">
        <f t="shared" si="21"/>
        <v>7025</v>
      </c>
      <c r="J281" s="1">
        <f t="shared" si="22"/>
        <v>450</v>
      </c>
      <c r="K281" s="1">
        <f t="shared" si="23"/>
        <v>3161250</v>
      </c>
      <c r="L281" s="2" t="str">
        <f t="shared" si="24"/>
        <v>Premium</v>
      </c>
    </row>
    <row r="282" spans="1:12" x14ac:dyDescent="0.3">
      <c r="A282" t="s">
        <v>414</v>
      </c>
      <c r="B282" t="s">
        <v>491</v>
      </c>
      <c r="C282" s="3">
        <v>4.5999999999999996</v>
      </c>
      <c r="D282" s="3">
        <v>189</v>
      </c>
      <c r="E282" t="s">
        <v>492</v>
      </c>
      <c r="F282" s="3">
        <v>19.065197900000001</v>
      </c>
      <c r="G282">
        <v>72.829634599999906</v>
      </c>
      <c r="H282">
        <f t="shared" si="20"/>
        <v>869.4</v>
      </c>
      <c r="I282" s="3">
        <f t="shared" si="21"/>
        <v>4725</v>
      </c>
      <c r="J282" s="1">
        <f t="shared" si="22"/>
        <v>450</v>
      </c>
      <c r="K282" s="1">
        <f t="shared" si="23"/>
        <v>2126250</v>
      </c>
      <c r="L282" s="2" t="str">
        <f t="shared" si="24"/>
        <v>Premium</v>
      </c>
    </row>
    <row r="283" spans="1:12" x14ac:dyDescent="0.3">
      <c r="A283" t="s">
        <v>414</v>
      </c>
      <c r="B283" t="s">
        <v>493</v>
      </c>
      <c r="C283" s="3">
        <v>3.9</v>
      </c>
      <c r="D283" s="3">
        <v>326</v>
      </c>
      <c r="E283" t="s">
        <v>494</v>
      </c>
      <c r="F283" s="3">
        <v>19.0671356</v>
      </c>
      <c r="G283">
        <v>72.824096699999998</v>
      </c>
      <c r="H283">
        <f t="shared" si="20"/>
        <v>1271.3999999999999</v>
      </c>
      <c r="I283" s="3">
        <f t="shared" si="21"/>
        <v>8150</v>
      </c>
      <c r="J283" s="1">
        <f t="shared" si="22"/>
        <v>350</v>
      </c>
      <c r="K283" s="1">
        <f t="shared" si="23"/>
        <v>2852500</v>
      </c>
      <c r="L283" s="2" t="str">
        <f t="shared" si="24"/>
        <v>Average</v>
      </c>
    </row>
    <row r="284" spans="1:12" x14ac:dyDescent="0.3">
      <c r="A284" t="s">
        <v>414</v>
      </c>
      <c r="B284" t="s">
        <v>495</v>
      </c>
      <c r="C284" s="3">
        <v>4.5999999999999996</v>
      </c>
      <c r="D284" s="3">
        <v>48</v>
      </c>
      <c r="E284" t="s">
        <v>496</v>
      </c>
      <c r="F284" s="3">
        <v>19.063201599999999</v>
      </c>
      <c r="G284">
        <v>72.830011999999996</v>
      </c>
      <c r="H284">
        <f t="shared" si="20"/>
        <v>220.79999999999998</v>
      </c>
      <c r="I284" s="3">
        <f t="shared" si="21"/>
        <v>1200</v>
      </c>
      <c r="J284" s="1">
        <f t="shared" si="22"/>
        <v>450</v>
      </c>
      <c r="K284" s="1">
        <f t="shared" si="23"/>
        <v>540000</v>
      </c>
      <c r="L284" s="2" t="str">
        <f t="shared" si="24"/>
        <v>Premium</v>
      </c>
    </row>
    <row r="285" spans="1:12" x14ac:dyDescent="0.3">
      <c r="A285" t="s">
        <v>414</v>
      </c>
      <c r="B285" t="s">
        <v>497</v>
      </c>
      <c r="C285" s="3">
        <v>4.4000000000000004</v>
      </c>
      <c r="D285" s="3">
        <v>783</v>
      </c>
      <c r="E285" t="s">
        <v>498</v>
      </c>
      <c r="F285" s="3">
        <v>19.072638900000001</v>
      </c>
      <c r="G285">
        <v>72.8343718</v>
      </c>
      <c r="H285">
        <f t="shared" si="20"/>
        <v>3445.2000000000003</v>
      </c>
      <c r="I285" s="3">
        <f t="shared" si="21"/>
        <v>19575</v>
      </c>
      <c r="J285" s="1">
        <f t="shared" si="22"/>
        <v>450</v>
      </c>
      <c r="K285" s="1">
        <f t="shared" si="23"/>
        <v>8808750</v>
      </c>
      <c r="L285" s="2" t="str">
        <f t="shared" si="24"/>
        <v>Popular</v>
      </c>
    </row>
    <row r="286" spans="1:12" x14ac:dyDescent="0.3">
      <c r="A286" t="s">
        <v>414</v>
      </c>
      <c r="B286" t="s">
        <v>499</v>
      </c>
      <c r="C286" s="3">
        <v>4.3</v>
      </c>
      <c r="D286" s="3">
        <v>7623</v>
      </c>
      <c r="E286" t="s">
        <v>500</v>
      </c>
      <c r="F286" s="3">
        <v>19.070534899999998</v>
      </c>
      <c r="G286">
        <v>72.822739200000001</v>
      </c>
      <c r="H286">
        <f t="shared" si="20"/>
        <v>32778.9</v>
      </c>
      <c r="I286" s="3">
        <f t="shared" si="21"/>
        <v>190575</v>
      </c>
      <c r="J286" s="1">
        <f t="shared" si="22"/>
        <v>350</v>
      </c>
      <c r="K286" s="1">
        <f t="shared" si="23"/>
        <v>66701250</v>
      </c>
      <c r="L286" s="2" t="str">
        <f t="shared" si="24"/>
        <v>Popular</v>
      </c>
    </row>
    <row r="287" spans="1:12" x14ac:dyDescent="0.3">
      <c r="A287" t="s">
        <v>414</v>
      </c>
      <c r="B287" t="s">
        <v>501</v>
      </c>
      <c r="C287" s="3">
        <v>4.3</v>
      </c>
      <c r="D287" s="3">
        <v>2417</v>
      </c>
      <c r="E287" t="s">
        <v>502</v>
      </c>
      <c r="F287" s="3">
        <v>19.065120100000001</v>
      </c>
      <c r="G287">
        <v>72.831064599999905</v>
      </c>
      <c r="H287">
        <f t="shared" si="20"/>
        <v>10393.1</v>
      </c>
      <c r="I287" s="3">
        <f t="shared" si="21"/>
        <v>60425</v>
      </c>
      <c r="J287" s="1">
        <f t="shared" si="22"/>
        <v>350</v>
      </c>
      <c r="K287" s="1">
        <f t="shared" si="23"/>
        <v>21148750</v>
      </c>
      <c r="L287" s="2" t="str">
        <f t="shared" si="24"/>
        <v>Popular</v>
      </c>
    </row>
    <row r="288" spans="1:12" x14ac:dyDescent="0.3">
      <c r="A288" t="s">
        <v>414</v>
      </c>
      <c r="B288" t="s">
        <v>503</v>
      </c>
      <c r="C288" s="3">
        <v>4.2</v>
      </c>
      <c r="D288" s="3">
        <v>101</v>
      </c>
      <c r="E288" t="s">
        <v>504</v>
      </c>
      <c r="F288" s="3">
        <v>19.074238300000001</v>
      </c>
      <c r="G288">
        <v>72.825031600000003</v>
      </c>
      <c r="H288">
        <f t="shared" si="20"/>
        <v>424.20000000000005</v>
      </c>
      <c r="I288" s="3">
        <f t="shared" si="21"/>
        <v>2525</v>
      </c>
      <c r="J288" s="1">
        <f t="shared" si="22"/>
        <v>350</v>
      </c>
      <c r="K288" s="1">
        <f t="shared" si="23"/>
        <v>883750</v>
      </c>
      <c r="L288" s="2" t="str">
        <f t="shared" si="24"/>
        <v>Popular</v>
      </c>
    </row>
    <row r="289" spans="1:12" x14ac:dyDescent="0.3">
      <c r="A289" t="s">
        <v>414</v>
      </c>
      <c r="B289" t="s">
        <v>505</v>
      </c>
      <c r="C289" s="3">
        <v>4.3</v>
      </c>
      <c r="D289" s="3">
        <v>1403</v>
      </c>
      <c r="E289" t="s">
        <v>506</v>
      </c>
      <c r="F289" s="3">
        <v>19.0550724</v>
      </c>
      <c r="G289">
        <v>72.828321099999997</v>
      </c>
      <c r="H289">
        <f t="shared" si="20"/>
        <v>6032.9</v>
      </c>
      <c r="I289" s="3">
        <f t="shared" si="21"/>
        <v>35075</v>
      </c>
      <c r="J289" s="1">
        <f t="shared" si="22"/>
        <v>350</v>
      </c>
      <c r="K289" s="1">
        <f t="shared" si="23"/>
        <v>12276250</v>
      </c>
      <c r="L289" s="2" t="str">
        <f t="shared" si="24"/>
        <v>Popular</v>
      </c>
    </row>
    <row r="290" spans="1:12" x14ac:dyDescent="0.3">
      <c r="A290" t="s">
        <v>414</v>
      </c>
      <c r="B290" t="s">
        <v>507</v>
      </c>
      <c r="C290" s="3">
        <v>4.3</v>
      </c>
      <c r="D290" s="3">
        <v>704</v>
      </c>
      <c r="E290" t="s">
        <v>508</v>
      </c>
      <c r="F290" s="3">
        <v>19.062465799999998</v>
      </c>
      <c r="G290">
        <v>72.823579100000003</v>
      </c>
      <c r="H290">
        <f t="shared" si="20"/>
        <v>3027.2</v>
      </c>
      <c r="I290" s="3">
        <f t="shared" si="21"/>
        <v>17600</v>
      </c>
      <c r="J290" s="1">
        <f t="shared" si="22"/>
        <v>350</v>
      </c>
      <c r="K290" s="1">
        <f t="shared" si="23"/>
        <v>6160000</v>
      </c>
      <c r="L290" s="2" t="str">
        <f t="shared" si="24"/>
        <v>Popular</v>
      </c>
    </row>
    <row r="291" spans="1:12" x14ac:dyDescent="0.3">
      <c r="A291" t="s">
        <v>414</v>
      </c>
      <c r="B291" t="s">
        <v>509</v>
      </c>
      <c r="C291" s="3">
        <v>4.2</v>
      </c>
      <c r="D291" s="3">
        <v>3653</v>
      </c>
      <c r="E291" t="s">
        <v>510</v>
      </c>
      <c r="F291" s="3">
        <v>19.0669696</v>
      </c>
      <c r="G291">
        <v>72.832881999999998</v>
      </c>
      <c r="H291">
        <f t="shared" si="20"/>
        <v>15342.6</v>
      </c>
      <c r="I291" s="3">
        <f t="shared" si="21"/>
        <v>91325</v>
      </c>
      <c r="J291" s="1">
        <f t="shared" si="22"/>
        <v>350</v>
      </c>
      <c r="K291" s="1">
        <f t="shared" si="23"/>
        <v>31963750</v>
      </c>
      <c r="L291" s="2" t="str">
        <f t="shared" si="24"/>
        <v>Popular</v>
      </c>
    </row>
    <row r="292" spans="1:12" x14ac:dyDescent="0.3">
      <c r="A292" t="s">
        <v>414</v>
      </c>
      <c r="B292" t="s">
        <v>511</v>
      </c>
      <c r="C292" s="3">
        <v>4</v>
      </c>
      <c r="D292" s="3">
        <v>2311</v>
      </c>
      <c r="E292" t="s">
        <v>512</v>
      </c>
      <c r="F292" s="3">
        <v>19.051028899999999</v>
      </c>
      <c r="G292">
        <v>72.827395199999998</v>
      </c>
      <c r="H292">
        <f t="shared" si="20"/>
        <v>9244</v>
      </c>
      <c r="I292" s="3">
        <f t="shared" si="21"/>
        <v>57775</v>
      </c>
      <c r="J292" s="1">
        <f t="shared" si="22"/>
        <v>350</v>
      </c>
      <c r="K292" s="1">
        <f t="shared" si="23"/>
        <v>20221250</v>
      </c>
      <c r="L292" s="2" t="str">
        <f t="shared" si="24"/>
        <v>Popular</v>
      </c>
    </row>
    <row r="293" spans="1:12" x14ac:dyDescent="0.3">
      <c r="A293" t="s">
        <v>414</v>
      </c>
      <c r="B293" t="s">
        <v>513</v>
      </c>
      <c r="C293" s="3">
        <v>4.5</v>
      </c>
      <c r="D293" s="3">
        <v>80</v>
      </c>
      <c r="E293" t="s">
        <v>514</v>
      </c>
      <c r="F293" s="3">
        <v>19.064805799999998</v>
      </c>
      <c r="G293">
        <v>72.829911299999907</v>
      </c>
      <c r="H293">
        <f t="shared" si="20"/>
        <v>360</v>
      </c>
      <c r="I293" s="3">
        <f t="shared" si="21"/>
        <v>2000</v>
      </c>
      <c r="J293" s="1">
        <f t="shared" si="22"/>
        <v>450</v>
      </c>
      <c r="K293" s="1">
        <f t="shared" si="23"/>
        <v>900000</v>
      </c>
      <c r="L293" s="2" t="str">
        <f t="shared" si="24"/>
        <v>Premium</v>
      </c>
    </row>
    <row r="294" spans="1:12" x14ac:dyDescent="0.3">
      <c r="A294" t="s">
        <v>414</v>
      </c>
      <c r="B294" t="s">
        <v>515</v>
      </c>
      <c r="C294" s="3">
        <v>4.0999999999999996</v>
      </c>
      <c r="D294" s="3">
        <v>380</v>
      </c>
      <c r="E294" t="s">
        <v>516</v>
      </c>
      <c r="F294" s="3">
        <v>19.106172999999998</v>
      </c>
      <c r="G294">
        <v>72.826383899999996</v>
      </c>
      <c r="H294">
        <f t="shared" si="20"/>
        <v>1557.9999999999998</v>
      </c>
      <c r="I294" s="3">
        <f t="shared" si="21"/>
        <v>9500</v>
      </c>
      <c r="J294" s="1">
        <f t="shared" si="22"/>
        <v>350</v>
      </c>
      <c r="K294" s="1">
        <f t="shared" si="23"/>
        <v>3325000</v>
      </c>
      <c r="L294" s="2" t="str">
        <f t="shared" si="24"/>
        <v>Popular</v>
      </c>
    </row>
    <row r="295" spans="1:12" x14ac:dyDescent="0.3">
      <c r="A295" t="s">
        <v>414</v>
      </c>
      <c r="B295" t="s">
        <v>128</v>
      </c>
      <c r="C295" s="3">
        <v>4.3</v>
      </c>
      <c r="D295" s="3">
        <v>2128</v>
      </c>
      <c r="E295" t="s">
        <v>517</v>
      </c>
      <c r="F295" s="3">
        <v>19.0506685</v>
      </c>
      <c r="G295">
        <v>72.827291199999905</v>
      </c>
      <c r="H295">
        <f t="shared" si="20"/>
        <v>9150.4</v>
      </c>
      <c r="I295" s="3">
        <f t="shared" si="21"/>
        <v>53200</v>
      </c>
      <c r="J295" s="1">
        <f t="shared" si="22"/>
        <v>350</v>
      </c>
      <c r="K295" s="1">
        <f t="shared" si="23"/>
        <v>18620000</v>
      </c>
      <c r="L295" s="2" t="str">
        <f t="shared" si="24"/>
        <v>Popular</v>
      </c>
    </row>
    <row r="296" spans="1:12" x14ac:dyDescent="0.3">
      <c r="A296" t="s">
        <v>414</v>
      </c>
      <c r="B296" t="s">
        <v>518</v>
      </c>
      <c r="C296" s="3">
        <v>4.3</v>
      </c>
      <c r="D296" s="3">
        <v>187</v>
      </c>
      <c r="E296" t="s">
        <v>519</v>
      </c>
      <c r="F296" s="3">
        <v>19.066475700000002</v>
      </c>
      <c r="G296">
        <v>72.823221700000005</v>
      </c>
      <c r="H296">
        <f t="shared" si="20"/>
        <v>804.1</v>
      </c>
      <c r="I296" s="3">
        <f t="shared" si="21"/>
        <v>4675</v>
      </c>
      <c r="J296" s="1">
        <f t="shared" si="22"/>
        <v>350</v>
      </c>
      <c r="K296" s="1">
        <f t="shared" si="23"/>
        <v>1636250</v>
      </c>
      <c r="L296" s="2" t="str">
        <f t="shared" si="24"/>
        <v>Popular</v>
      </c>
    </row>
    <row r="297" spans="1:12" x14ac:dyDescent="0.3">
      <c r="A297" t="s">
        <v>414</v>
      </c>
      <c r="B297" t="s">
        <v>520</v>
      </c>
      <c r="C297" s="3">
        <v>4.4000000000000004</v>
      </c>
      <c r="D297" s="3">
        <v>29</v>
      </c>
      <c r="E297" t="s">
        <v>521</v>
      </c>
      <c r="F297" s="3">
        <v>19.061571099999998</v>
      </c>
      <c r="G297">
        <v>72.8335747</v>
      </c>
      <c r="H297">
        <f t="shared" si="20"/>
        <v>127.60000000000001</v>
      </c>
      <c r="I297" s="3">
        <f t="shared" si="21"/>
        <v>725</v>
      </c>
      <c r="J297" s="1">
        <f t="shared" si="22"/>
        <v>450</v>
      </c>
      <c r="K297" s="1">
        <f t="shared" si="23"/>
        <v>326250</v>
      </c>
      <c r="L297" s="2" t="str">
        <f t="shared" si="24"/>
        <v>Popular</v>
      </c>
    </row>
    <row r="298" spans="1:12" x14ac:dyDescent="0.3">
      <c r="A298" t="s">
        <v>414</v>
      </c>
      <c r="B298" t="s">
        <v>522</v>
      </c>
      <c r="C298" s="3">
        <v>4.4000000000000004</v>
      </c>
      <c r="D298" s="3">
        <v>58</v>
      </c>
      <c r="E298" t="s">
        <v>523</v>
      </c>
      <c r="F298" s="3">
        <v>19.0667875</v>
      </c>
      <c r="G298">
        <v>72.830312599999999</v>
      </c>
      <c r="H298">
        <f t="shared" si="20"/>
        <v>255.20000000000002</v>
      </c>
      <c r="I298" s="3">
        <f t="shared" si="21"/>
        <v>1450</v>
      </c>
      <c r="J298" s="1">
        <f t="shared" si="22"/>
        <v>450</v>
      </c>
      <c r="K298" s="1">
        <f t="shared" si="23"/>
        <v>652500</v>
      </c>
      <c r="L298" s="2" t="str">
        <f t="shared" si="24"/>
        <v>Popular</v>
      </c>
    </row>
    <row r="299" spans="1:12" x14ac:dyDescent="0.3">
      <c r="A299" t="s">
        <v>414</v>
      </c>
      <c r="B299" t="s">
        <v>524</v>
      </c>
      <c r="C299" s="3">
        <v>4.3</v>
      </c>
      <c r="D299" s="3">
        <v>70</v>
      </c>
      <c r="E299" t="s">
        <v>525</v>
      </c>
      <c r="F299" s="3">
        <v>19.0627958</v>
      </c>
      <c r="G299">
        <v>72.832789199999993</v>
      </c>
      <c r="H299">
        <f t="shared" si="20"/>
        <v>301</v>
      </c>
      <c r="I299" s="3">
        <f t="shared" si="21"/>
        <v>1750</v>
      </c>
      <c r="J299" s="1">
        <f t="shared" si="22"/>
        <v>350</v>
      </c>
      <c r="K299" s="1">
        <f t="shared" si="23"/>
        <v>612500</v>
      </c>
      <c r="L299" s="2" t="str">
        <f t="shared" si="24"/>
        <v>Popular</v>
      </c>
    </row>
    <row r="300" spans="1:12" x14ac:dyDescent="0.3">
      <c r="A300" t="s">
        <v>414</v>
      </c>
      <c r="B300" t="s">
        <v>526</v>
      </c>
      <c r="C300" s="3">
        <v>4.9000000000000004</v>
      </c>
      <c r="D300" s="3">
        <v>291</v>
      </c>
      <c r="E300" t="s">
        <v>527</v>
      </c>
      <c r="F300" s="3">
        <v>19.054071199999999</v>
      </c>
      <c r="G300">
        <v>72.827199499999907</v>
      </c>
      <c r="H300">
        <f t="shared" si="20"/>
        <v>1425.9</v>
      </c>
      <c r="I300" s="3">
        <f t="shared" si="21"/>
        <v>7275</v>
      </c>
      <c r="J300" s="1">
        <f t="shared" si="22"/>
        <v>550</v>
      </c>
      <c r="K300" s="1">
        <f t="shared" si="23"/>
        <v>4001250</v>
      </c>
      <c r="L300" s="2" t="str">
        <f t="shared" si="24"/>
        <v>Premium</v>
      </c>
    </row>
    <row r="301" spans="1:12" x14ac:dyDescent="0.3">
      <c r="A301" t="s">
        <v>414</v>
      </c>
      <c r="B301" t="s">
        <v>528</v>
      </c>
      <c r="C301" s="3">
        <v>3.9</v>
      </c>
      <c r="D301" s="3">
        <v>3179</v>
      </c>
      <c r="E301" t="s">
        <v>529</v>
      </c>
      <c r="F301" s="3">
        <v>19.059938599999999</v>
      </c>
      <c r="G301">
        <v>72.833992199999997</v>
      </c>
      <c r="H301">
        <f t="shared" si="20"/>
        <v>12398.1</v>
      </c>
      <c r="I301" s="3">
        <f t="shared" si="21"/>
        <v>79475</v>
      </c>
      <c r="J301" s="1">
        <f t="shared" si="22"/>
        <v>350</v>
      </c>
      <c r="K301" s="1">
        <f t="shared" si="23"/>
        <v>27816250</v>
      </c>
      <c r="L301" s="2" t="str">
        <f t="shared" si="24"/>
        <v>Average</v>
      </c>
    </row>
    <row r="302" spans="1:12" x14ac:dyDescent="0.3">
      <c r="A302" t="s">
        <v>530</v>
      </c>
      <c r="B302" t="s">
        <v>531</v>
      </c>
      <c r="C302" s="3">
        <v>4.3</v>
      </c>
      <c r="D302" s="3">
        <v>2144</v>
      </c>
      <c r="E302" t="s">
        <v>532</v>
      </c>
      <c r="F302" s="3">
        <v>19.137402999999999</v>
      </c>
      <c r="G302">
        <v>72.827039399999904</v>
      </c>
      <c r="H302">
        <f t="shared" si="20"/>
        <v>9219.1999999999989</v>
      </c>
      <c r="I302" s="3">
        <f t="shared" si="21"/>
        <v>53600</v>
      </c>
      <c r="J302" s="1">
        <f t="shared" si="22"/>
        <v>350</v>
      </c>
      <c r="K302" s="1">
        <f t="shared" si="23"/>
        <v>18760000</v>
      </c>
      <c r="L302" s="2" t="str">
        <f t="shared" si="24"/>
        <v>Popular</v>
      </c>
    </row>
    <row r="303" spans="1:12" x14ac:dyDescent="0.3">
      <c r="A303" t="s">
        <v>530</v>
      </c>
      <c r="B303" t="s">
        <v>533</v>
      </c>
      <c r="C303" s="3">
        <v>4.2</v>
      </c>
      <c r="D303" s="3">
        <v>1373</v>
      </c>
      <c r="E303" t="s">
        <v>534</v>
      </c>
      <c r="F303" s="3">
        <v>19.148222100000002</v>
      </c>
      <c r="G303">
        <v>72.831577099999905</v>
      </c>
      <c r="H303">
        <f t="shared" si="20"/>
        <v>5766.6</v>
      </c>
      <c r="I303" s="3">
        <f t="shared" si="21"/>
        <v>34325</v>
      </c>
      <c r="J303" s="1">
        <f t="shared" si="22"/>
        <v>350</v>
      </c>
      <c r="K303" s="1">
        <f t="shared" si="23"/>
        <v>12013750</v>
      </c>
      <c r="L303" s="2" t="str">
        <f t="shared" si="24"/>
        <v>Popular</v>
      </c>
    </row>
    <row r="304" spans="1:12" x14ac:dyDescent="0.3">
      <c r="A304" t="s">
        <v>530</v>
      </c>
      <c r="B304" t="s">
        <v>535</v>
      </c>
      <c r="C304" s="3">
        <v>4.5999999999999996</v>
      </c>
      <c r="D304" s="3">
        <v>2125</v>
      </c>
      <c r="E304" t="s">
        <v>536</v>
      </c>
      <c r="F304" s="3">
        <v>19.1387888</v>
      </c>
      <c r="G304">
        <v>72.813389999999998</v>
      </c>
      <c r="H304">
        <f t="shared" si="20"/>
        <v>9775</v>
      </c>
      <c r="I304" s="3">
        <f t="shared" si="21"/>
        <v>53125</v>
      </c>
      <c r="J304" s="1">
        <f t="shared" si="22"/>
        <v>450</v>
      </c>
      <c r="K304" s="1">
        <f t="shared" si="23"/>
        <v>23906250</v>
      </c>
      <c r="L304" s="2" t="str">
        <f t="shared" si="24"/>
        <v>Premium</v>
      </c>
    </row>
    <row r="305" spans="1:12" x14ac:dyDescent="0.3">
      <c r="A305" t="s">
        <v>530</v>
      </c>
      <c r="B305" t="s">
        <v>537</v>
      </c>
      <c r="C305" s="3">
        <v>4.5999999999999996</v>
      </c>
      <c r="D305" s="3">
        <v>2589</v>
      </c>
      <c r="E305" t="s">
        <v>538</v>
      </c>
      <c r="F305" s="3">
        <v>19.109420400000001</v>
      </c>
      <c r="G305">
        <v>72.881181099999907</v>
      </c>
      <c r="H305">
        <f t="shared" si="20"/>
        <v>11909.4</v>
      </c>
      <c r="I305" s="3">
        <f t="shared" si="21"/>
        <v>64725</v>
      </c>
      <c r="J305" s="1">
        <f t="shared" si="22"/>
        <v>450</v>
      </c>
      <c r="K305" s="1">
        <f t="shared" si="23"/>
        <v>29126250</v>
      </c>
      <c r="L305" s="2" t="str">
        <f t="shared" si="24"/>
        <v>Premium</v>
      </c>
    </row>
    <row r="306" spans="1:12" x14ac:dyDescent="0.3">
      <c r="A306" t="s">
        <v>530</v>
      </c>
      <c r="B306" t="s">
        <v>539</v>
      </c>
      <c r="C306" s="3">
        <v>4.3</v>
      </c>
      <c r="D306" s="3">
        <v>1780</v>
      </c>
      <c r="E306" t="s">
        <v>540</v>
      </c>
      <c r="F306" s="3">
        <v>19.149543300000001</v>
      </c>
      <c r="G306">
        <v>72.831697499999905</v>
      </c>
      <c r="H306">
        <f t="shared" si="20"/>
        <v>7654</v>
      </c>
      <c r="I306" s="3">
        <f t="shared" si="21"/>
        <v>44500</v>
      </c>
      <c r="J306" s="1">
        <f t="shared" si="22"/>
        <v>350</v>
      </c>
      <c r="K306" s="1">
        <f t="shared" si="23"/>
        <v>15575000</v>
      </c>
      <c r="L306" s="2" t="str">
        <f t="shared" si="24"/>
        <v>Popular</v>
      </c>
    </row>
    <row r="307" spans="1:12" x14ac:dyDescent="0.3">
      <c r="A307" t="s">
        <v>530</v>
      </c>
      <c r="B307" t="s">
        <v>541</v>
      </c>
      <c r="C307" s="3">
        <v>4.2</v>
      </c>
      <c r="D307" s="3">
        <v>442</v>
      </c>
      <c r="E307" t="s">
        <v>542</v>
      </c>
      <c r="F307" s="3">
        <v>19.111668000000002</v>
      </c>
      <c r="G307">
        <v>72.871333000000007</v>
      </c>
      <c r="H307">
        <f t="shared" si="20"/>
        <v>1856.4</v>
      </c>
      <c r="I307" s="3">
        <f t="shared" si="21"/>
        <v>11050</v>
      </c>
      <c r="J307" s="1">
        <f t="shared" si="22"/>
        <v>350</v>
      </c>
      <c r="K307" s="1">
        <f t="shared" si="23"/>
        <v>3867500</v>
      </c>
      <c r="L307" s="2" t="str">
        <f t="shared" si="24"/>
        <v>Popular</v>
      </c>
    </row>
    <row r="308" spans="1:12" x14ac:dyDescent="0.3">
      <c r="A308" t="s">
        <v>530</v>
      </c>
      <c r="B308" t="s">
        <v>543</v>
      </c>
      <c r="C308" s="3">
        <v>4.3</v>
      </c>
      <c r="D308" s="3">
        <v>875</v>
      </c>
      <c r="E308" t="s">
        <v>544</v>
      </c>
      <c r="F308" s="3">
        <v>19.113821999999999</v>
      </c>
      <c r="G308">
        <v>72.864102199999905</v>
      </c>
      <c r="H308">
        <f t="shared" si="20"/>
        <v>3762.5</v>
      </c>
      <c r="I308" s="3">
        <f t="shared" si="21"/>
        <v>21875</v>
      </c>
      <c r="J308" s="1">
        <f t="shared" si="22"/>
        <v>350</v>
      </c>
      <c r="K308" s="1">
        <f t="shared" si="23"/>
        <v>7656250</v>
      </c>
      <c r="L308" s="2" t="str">
        <f t="shared" si="24"/>
        <v>Popular</v>
      </c>
    </row>
    <row r="309" spans="1:12" x14ac:dyDescent="0.3">
      <c r="A309" t="s">
        <v>530</v>
      </c>
      <c r="B309" t="s">
        <v>145</v>
      </c>
      <c r="C309" s="3">
        <v>3.9</v>
      </c>
      <c r="D309" s="3">
        <v>1248</v>
      </c>
      <c r="E309" t="s">
        <v>545</v>
      </c>
      <c r="F309" s="3">
        <v>19.106872500000001</v>
      </c>
      <c r="G309">
        <v>72.8638823</v>
      </c>
      <c r="H309">
        <f t="shared" si="20"/>
        <v>4867.2</v>
      </c>
      <c r="I309" s="3">
        <f t="shared" si="21"/>
        <v>31200</v>
      </c>
      <c r="J309" s="1">
        <f t="shared" si="22"/>
        <v>350</v>
      </c>
      <c r="K309" s="1">
        <f t="shared" si="23"/>
        <v>10920000</v>
      </c>
      <c r="L309" s="2" t="str">
        <f t="shared" si="24"/>
        <v>Average</v>
      </c>
    </row>
    <row r="310" spans="1:12" x14ac:dyDescent="0.3">
      <c r="A310" t="s">
        <v>530</v>
      </c>
      <c r="B310" t="s">
        <v>546</v>
      </c>
      <c r="C310" s="3">
        <v>4.3</v>
      </c>
      <c r="D310" s="3">
        <v>763</v>
      </c>
      <c r="E310" t="s">
        <v>547</v>
      </c>
      <c r="F310" s="3">
        <v>19.1265453</v>
      </c>
      <c r="G310">
        <v>72.820882100000006</v>
      </c>
      <c r="H310">
        <f t="shared" si="20"/>
        <v>3280.9</v>
      </c>
      <c r="I310" s="3">
        <f t="shared" si="21"/>
        <v>19075</v>
      </c>
      <c r="J310" s="1">
        <f t="shared" si="22"/>
        <v>350</v>
      </c>
      <c r="K310" s="1">
        <f t="shared" si="23"/>
        <v>6676250</v>
      </c>
      <c r="L310" s="2" t="str">
        <f t="shared" si="24"/>
        <v>Popular</v>
      </c>
    </row>
    <row r="311" spans="1:12" x14ac:dyDescent="0.3">
      <c r="A311" t="s">
        <v>530</v>
      </c>
      <c r="B311" t="s">
        <v>548</v>
      </c>
      <c r="C311" s="3">
        <v>4.3</v>
      </c>
      <c r="D311" s="3">
        <v>2392</v>
      </c>
      <c r="E311" t="s">
        <v>549</v>
      </c>
      <c r="F311" s="3">
        <v>19.139346700000001</v>
      </c>
      <c r="G311">
        <v>72.832314999999994</v>
      </c>
      <c r="H311">
        <f t="shared" si="20"/>
        <v>10285.6</v>
      </c>
      <c r="I311" s="3">
        <f t="shared" si="21"/>
        <v>59800</v>
      </c>
      <c r="J311" s="1">
        <f t="shared" si="22"/>
        <v>350</v>
      </c>
      <c r="K311" s="1">
        <f t="shared" si="23"/>
        <v>20930000</v>
      </c>
      <c r="L311" s="2" t="str">
        <f t="shared" si="24"/>
        <v>Popular</v>
      </c>
    </row>
    <row r="312" spans="1:12" x14ac:dyDescent="0.3">
      <c r="A312" t="s">
        <v>530</v>
      </c>
      <c r="B312" t="s">
        <v>550</v>
      </c>
      <c r="C312" s="3">
        <v>4.2</v>
      </c>
      <c r="D312" s="3">
        <v>3561</v>
      </c>
      <c r="E312" t="s">
        <v>551</v>
      </c>
      <c r="F312" s="3">
        <v>19.149571099999999</v>
      </c>
      <c r="G312">
        <v>72.828068999999999</v>
      </c>
      <c r="H312">
        <f t="shared" si="20"/>
        <v>14956.2</v>
      </c>
      <c r="I312" s="3">
        <f t="shared" si="21"/>
        <v>89025</v>
      </c>
      <c r="J312" s="1">
        <f t="shared" si="22"/>
        <v>350</v>
      </c>
      <c r="K312" s="1">
        <f t="shared" si="23"/>
        <v>31158750</v>
      </c>
      <c r="L312" s="2" t="str">
        <f t="shared" si="24"/>
        <v>Popular</v>
      </c>
    </row>
    <row r="313" spans="1:12" x14ac:dyDescent="0.3">
      <c r="A313" t="s">
        <v>530</v>
      </c>
      <c r="B313" t="s">
        <v>552</v>
      </c>
      <c r="C313" s="3">
        <v>4.3</v>
      </c>
      <c r="D313" s="3">
        <v>69</v>
      </c>
      <c r="E313" t="s">
        <v>553</v>
      </c>
      <c r="F313" s="3">
        <v>19.1400398</v>
      </c>
      <c r="G313">
        <v>72.834998499999998</v>
      </c>
      <c r="H313">
        <f t="shared" si="20"/>
        <v>296.7</v>
      </c>
      <c r="I313" s="3">
        <f t="shared" si="21"/>
        <v>1725</v>
      </c>
      <c r="J313" s="1">
        <f t="shared" si="22"/>
        <v>350</v>
      </c>
      <c r="K313" s="1">
        <f t="shared" si="23"/>
        <v>603750</v>
      </c>
      <c r="L313" s="2" t="str">
        <f t="shared" si="24"/>
        <v>Popular</v>
      </c>
    </row>
    <row r="314" spans="1:12" x14ac:dyDescent="0.3">
      <c r="A314" t="s">
        <v>530</v>
      </c>
      <c r="B314" t="s">
        <v>554</v>
      </c>
      <c r="C314" s="3">
        <v>4.3</v>
      </c>
      <c r="D314" s="3">
        <v>1315</v>
      </c>
      <c r="E314" t="s">
        <v>555</v>
      </c>
      <c r="F314" s="3">
        <v>19.132836999999999</v>
      </c>
      <c r="G314">
        <v>72.812349100000006</v>
      </c>
      <c r="H314">
        <f t="shared" si="20"/>
        <v>5654.5</v>
      </c>
      <c r="I314" s="3">
        <f t="shared" si="21"/>
        <v>32875</v>
      </c>
      <c r="J314" s="1">
        <f t="shared" si="22"/>
        <v>350</v>
      </c>
      <c r="K314" s="1">
        <f t="shared" si="23"/>
        <v>11506250</v>
      </c>
      <c r="L314" s="2" t="str">
        <f t="shared" si="24"/>
        <v>Popular</v>
      </c>
    </row>
    <row r="315" spans="1:12" x14ac:dyDescent="0.3">
      <c r="A315" t="s">
        <v>530</v>
      </c>
      <c r="B315" t="s">
        <v>556</v>
      </c>
      <c r="C315" s="3">
        <v>4.7</v>
      </c>
      <c r="D315" s="3">
        <v>187</v>
      </c>
      <c r="E315" t="s">
        <v>557</v>
      </c>
      <c r="F315" s="3">
        <v>19.128625499999998</v>
      </c>
      <c r="G315">
        <v>72.819467000000003</v>
      </c>
      <c r="H315">
        <f t="shared" si="20"/>
        <v>878.9</v>
      </c>
      <c r="I315" s="3">
        <f t="shared" si="21"/>
        <v>4675</v>
      </c>
      <c r="J315" s="1">
        <f t="shared" si="22"/>
        <v>550</v>
      </c>
      <c r="K315" s="1">
        <f t="shared" si="23"/>
        <v>2571250</v>
      </c>
      <c r="L315" s="2" t="str">
        <f t="shared" si="24"/>
        <v>Premium</v>
      </c>
    </row>
    <row r="316" spans="1:12" x14ac:dyDescent="0.3">
      <c r="A316" t="s">
        <v>530</v>
      </c>
      <c r="B316" t="s">
        <v>558</v>
      </c>
      <c r="C316" s="3">
        <v>4.5</v>
      </c>
      <c r="D316" s="3">
        <v>983</v>
      </c>
      <c r="E316" t="s">
        <v>559</v>
      </c>
      <c r="F316" s="3">
        <v>19.117584099999998</v>
      </c>
      <c r="G316">
        <v>72.864727799999997</v>
      </c>
      <c r="H316">
        <f t="shared" si="20"/>
        <v>4423.5</v>
      </c>
      <c r="I316" s="3">
        <f t="shared" si="21"/>
        <v>24575</v>
      </c>
      <c r="J316" s="1">
        <f t="shared" si="22"/>
        <v>450</v>
      </c>
      <c r="K316" s="1">
        <f t="shared" si="23"/>
        <v>11058750</v>
      </c>
      <c r="L316" s="2" t="str">
        <f t="shared" si="24"/>
        <v>Premium</v>
      </c>
    </row>
    <row r="317" spans="1:12" x14ac:dyDescent="0.3">
      <c r="A317" t="s">
        <v>530</v>
      </c>
      <c r="B317" t="s">
        <v>560</v>
      </c>
      <c r="C317" s="3">
        <v>4.7</v>
      </c>
      <c r="D317" s="3">
        <v>154</v>
      </c>
      <c r="E317" t="s">
        <v>561</v>
      </c>
      <c r="F317" s="3">
        <v>19.137415399999998</v>
      </c>
      <c r="G317">
        <v>72.827190299999998</v>
      </c>
      <c r="H317">
        <f t="shared" si="20"/>
        <v>723.80000000000007</v>
      </c>
      <c r="I317" s="3">
        <f t="shared" si="21"/>
        <v>3850</v>
      </c>
      <c r="J317" s="1">
        <f t="shared" si="22"/>
        <v>550</v>
      </c>
      <c r="K317" s="1">
        <f t="shared" si="23"/>
        <v>2117500</v>
      </c>
      <c r="L317" s="2" t="str">
        <f t="shared" si="24"/>
        <v>Premium</v>
      </c>
    </row>
    <row r="318" spans="1:12" x14ac:dyDescent="0.3">
      <c r="A318" t="s">
        <v>530</v>
      </c>
      <c r="B318" t="s">
        <v>562</v>
      </c>
      <c r="C318" s="3">
        <v>4.4000000000000004</v>
      </c>
      <c r="D318" s="3">
        <v>1732</v>
      </c>
      <c r="E318" t="s">
        <v>563</v>
      </c>
      <c r="F318" s="3">
        <v>19.1329998</v>
      </c>
      <c r="G318">
        <v>72.812262199999907</v>
      </c>
      <c r="H318">
        <f t="shared" si="20"/>
        <v>7620.8</v>
      </c>
      <c r="I318" s="3">
        <f t="shared" si="21"/>
        <v>43300</v>
      </c>
      <c r="J318" s="1">
        <f t="shared" si="22"/>
        <v>450</v>
      </c>
      <c r="K318" s="1">
        <f t="shared" si="23"/>
        <v>19485000</v>
      </c>
      <c r="L318" s="2" t="str">
        <f t="shared" si="24"/>
        <v>Popular</v>
      </c>
    </row>
    <row r="319" spans="1:12" x14ac:dyDescent="0.3">
      <c r="A319" t="s">
        <v>530</v>
      </c>
      <c r="B319" t="s">
        <v>564</v>
      </c>
      <c r="C319" s="3">
        <v>4.0999999999999996</v>
      </c>
      <c r="D319" s="3">
        <v>2877</v>
      </c>
      <c r="E319" t="s">
        <v>565</v>
      </c>
      <c r="F319" s="3">
        <v>19.133372000000001</v>
      </c>
      <c r="G319">
        <v>72.811536899999993</v>
      </c>
      <c r="H319">
        <f t="shared" si="20"/>
        <v>11795.699999999999</v>
      </c>
      <c r="I319" s="3">
        <f t="shared" si="21"/>
        <v>71925</v>
      </c>
      <c r="J319" s="1">
        <f t="shared" si="22"/>
        <v>350</v>
      </c>
      <c r="K319" s="1">
        <f t="shared" si="23"/>
        <v>25173750</v>
      </c>
      <c r="L319" s="2" t="str">
        <f t="shared" si="24"/>
        <v>Popular</v>
      </c>
    </row>
    <row r="320" spans="1:12" x14ac:dyDescent="0.3">
      <c r="A320" t="s">
        <v>530</v>
      </c>
      <c r="B320" t="s">
        <v>566</v>
      </c>
      <c r="C320" s="3">
        <v>4.2</v>
      </c>
      <c r="D320" s="3">
        <v>1740</v>
      </c>
      <c r="E320" t="s">
        <v>567</v>
      </c>
      <c r="F320" s="3">
        <v>19.146730600000001</v>
      </c>
      <c r="G320">
        <v>72.828678400000001</v>
      </c>
      <c r="H320">
        <f t="shared" si="20"/>
        <v>7308</v>
      </c>
      <c r="I320" s="3">
        <f t="shared" si="21"/>
        <v>43500</v>
      </c>
      <c r="J320" s="1">
        <f t="shared" si="22"/>
        <v>350</v>
      </c>
      <c r="K320" s="1">
        <f t="shared" si="23"/>
        <v>15225000</v>
      </c>
      <c r="L320" s="2" t="str">
        <f t="shared" si="24"/>
        <v>Popular</v>
      </c>
    </row>
    <row r="321" spans="1:12" x14ac:dyDescent="0.3">
      <c r="A321" t="s">
        <v>530</v>
      </c>
      <c r="B321" t="s">
        <v>53</v>
      </c>
      <c r="C321" s="3">
        <v>4.7</v>
      </c>
      <c r="D321" s="3">
        <v>778</v>
      </c>
      <c r="E321" t="s">
        <v>568</v>
      </c>
      <c r="F321" s="3">
        <v>19.1289871</v>
      </c>
      <c r="G321">
        <v>72.817658399999999</v>
      </c>
      <c r="H321">
        <f t="shared" si="20"/>
        <v>3656.6000000000004</v>
      </c>
      <c r="I321" s="3">
        <f t="shared" si="21"/>
        <v>19450</v>
      </c>
      <c r="J321" s="1">
        <f t="shared" si="22"/>
        <v>550</v>
      </c>
      <c r="K321" s="1">
        <f t="shared" si="23"/>
        <v>10697500</v>
      </c>
      <c r="L321" s="2" t="str">
        <f t="shared" si="24"/>
        <v>Premium</v>
      </c>
    </row>
    <row r="322" spans="1:12" x14ac:dyDescent="0.3">
      <c r="A322" t="s">
        <v>530</v>
      </c>
      <c r="B322" t="s">
        <v>569</v>
      </c>
      <c r="C322" s="3">
        <v>4.0999999999999996</v>
      </c>
      <c r="D322" s="3">
        <v>158</v>
      </c>
      <c r="E322" t="s">
        <v>570</v>
      </c>
      <c r="F322" s="3">
        <v>19.109677099999999</v>
      </c>
      <c r="G322">
        <v>72.875981600000003</v>
      </c>
      <c r="H322">
        <f t="shared" ref="H322:H385" si="25">C322*D322</f>
        <v>647.79999999999995</v>
      </c>
      <c r="I322" s="3">
        <f t="shared" ref="I322:I385" si="26">D322*25</f>
        <v>3950</v>
      </c>
      <c r="J322" s="1">
        <f t="shared" ref="J322:J385" si="27">IF(C322&gt;=4.7,550,IF(C322&gt;=4.4,450,IF(C322&gt;=O324,350,250)))</f>
        <v>350</v>
      </c>
      <c r="K322" s="1">
        <f t="shared" ref="K322:K385" si="28">I322*J322</f>
        <v>1382500</v>
      </c>
      <c r="L322" s="2" t="str">
        <f t="shared" ref="L322:L385" si="29">IF(C322&gt;=4.5,"Premium",IF(C322&gt;=4,"Popular","Average"))</f>
        <v>Popular</v>
      </c>
    </row>
    <row r="323" spans="1:12" x14ac:dyDescent="0.3">
      <c r="A323" t="s">
        <v>530</v>
      </c>
      <c r="B323" t="s">
        <v>128</v>
      </c>
      <c r="C323" s="3">
        <v>4.3</v>
      </c>
      <c r="D323" s="3">
        <v>2431</v>
      </c>
      <c r="E323" t="s">
        <v>571</v>
      </c>
      <c r="F323" s="3">
        <v>19.114759500000002</v>
      </c>
      <c r="G323">
        <v>72.861147099999997</v>
      </c>
      <c r="H323">
        <f t="shared" si="25"/>
        <v>10453.299999999999</v>
      </c>
      <c r="I323" s="3">
        <f t="shared" si="26"/>
        <v>60775</v>
      </c>
      <c r="J323" s="1">
        <f t="shared" si="27"/>
        <v>350</v>
      </c>
      <c r="K323" s="1">
        <f t="shared" si="28"/>
        <v>21271250</v>
      </c>
      <c r="L323" s="2" t="str">
        <f t="shared" si="29"/>
        <v>Popular</v>
      </c>
    </row>
    <row r="324" spans="1:12" x14ac:dyDescent="0.3">
      <c r="A324" t="s">
        <v>530</v>
      </c>
      <c r="B324" t="s">
        <v>53</v>
      </c>
      <c r="C324" s="3">
        <v>4.7</v>
      </c>
      <c r="D324" s="3">
        <v>1110</v>
      </c>
      <c r="E324" t="s">
        <v>572</v>
      </c>
      <c r="F324" s="3">
        <v>19.146611100000001</v>
      </c>
      <c r="G324">
        <v>72.828694999999996</v>
      </c>
      <c r="H324">
        <f t="shared" si="25"/>
        <v>5217</v>
      </c>
      <c r="I324" s="3">
        <f t="shared" si="26"/>
        <v>27750</v>
      </c>
      <c r="J324" s="1">
        <f t="shared" si="27"/>
        <v>550</v>
      </c>
      <c r="K324" s="1">
        <f t="shared" si="28"/>
        <v>15262500</v>
      </c>
      <c r="L324" s="2" t="str">
        <f t="shared" si="29"/>
        <v>Premium</v>
      </c>
    </row>
    <row r="325" spans="1:12" x14ac:dyDescent="0.3">
      <c r="A325" t="s">
        <v>530</v>
      </c>
      <c r="B325" t="s">
        <v>573</v>
      </c>
      <c r="C325" s="3">
        <v>4.0999999999999996</v>
      </c>
      <c r="D325" s="3">
        <v>958</v>
      </c>
      <c r="E325" t="s">
        <v>574</v>
      </c>
      <c r="F325" s="3">
        <v>19.152528199999999</v>
      </c>
      <c r="G325">
        <v>72.831272400000003</v>
      </c>
      <c r="H325">
        <f t="shared" si="25"/>
        <v>3927.7999999999997</v>
      </c>
      <c r="I325" s="3">
        <f t="shared" si="26"/>
        <v>23950</v>
      </c>
      <c r="J325" s="1">
        <f t="shared" si="27"/>
        <v>350</v>
      </c>
      <c r="K325" s="1">
        <f t="shared" si="28"/>
        <v>8382500</v>
      </c>
      <c r="L325" s="2" t="str">
        <f t="shared" si="29"/>
        <v>Popular</v>
      </c>
    </row>
    <row r="326" spans="1:12" x14ac:dyDescent="0.3">
      <c r="A326" t="s">
        <v>530</v>
      </c>
      <c r="B326" t="s">
        <v>575</v>
      </c>
      <c r="C326" s="3">
        <v>4.5999999999999996</v>
      </c>
      <c r="D326" s="3">
        <v>93</v>
      </c>
      <c r="E326" t="s">
        <v>576</v>
      </c>
      <c r="F326" s="3">
        <v>19.1131891</v>
      </c>
      <c r="G326">
        <v>72.882127699999998</v>
      </c>
      <c r="H326">
        <f t="shared" si="25"/>
        <v>427.79999999999995</v>
      </c>
      <c r="I326" s="3">
        <f t="shared" si="26"/>
        <v>2325</v>
      </c>
      <c r="J326" s="1">
        <f t="shared" si="27"/>
        <v>450</v>
      </c>
      <c r="K326" s="1">
        <f t="shared" si="28"/>
        <v>1046250</v>
      </c>
      <c r="L326" s="2" t="str">
        <f t="shared" si="29"/>
        <v>Premium</v>
      </c>
    </row>
    <row r="327" spans="1:12" x14ac:dyDescent="0.3">
      <c r="A327" t="s">
        <v>530</v>
      </c>
      <c r="B327" t="s">
        <v>577</v>
      </c>
      <c r="C327" s="3">
        <v>4.7</v>
      </c>
      <c r="D327" s="3">
        <v>91</v>
      </c>
      <c r="E327" t="s">
        <v>578</v>
      </c>
      <c r="F327" s="3">
        <v>19.136251999999999</v>
      </c>
      <c r="G327">
        <v>72.821344199999999</v>
      </c>
      <c r="H327">
        <f t="shared" si="25"/>
        <v>427.7</v>
      </c>
      <c r="I327" s="3">
        <f t="shared" si="26"/>
        <v>2275</v>
      </c>
      <c r="J327" s="1">
        <f t="shared" si="27"/>
        <v>550</v>
      </c>
      <c r="K327" s="1">
        <f t="shared" si="28"/>
        <v>1251250</v>
      </c>
      <c r="L327" s="2" t="str">
        <f t="shared" si="29"/>
        <v>Premium</v>
      </c>
    </row>
    <row r="328" spans="1:12" x14ac:dyDescent="0.3">
      <c r="A328" t="s">
        <v>530</v>
      </c>
      <c r="B328" t="s">
        <v>579</v>
      </c>
      <c r="C328" s="3">
        <v>4.5999999999999996</v>
      </c>
      <c r="D328" s="3">
        <v>3035</v>
      </c>
      <c r="E328" t="s">
        <v>580</v>
      </c>
      <c r="F328" s="3">
        <v>19.1497092</v>
      </c>
      <c r="G328">
        <v>72.8270208</v>
      </c>
      <c r="H328">
        <f t="shared" si="25"/>
        <v>13960.999999999998</v>
      </c>
      <c r="I328" s="3">
        <f t="shared" si="26"/>
        <v>75875</v>
      </c>
      <c r="J328" s="1">
        <f t="shared" si="27"/>
        <v>450</v>
      </c>
      <c r="K328" s="1">
        <f t="shared" si="28"/>
        <v>34143750</v>
      </c>
      <c r="L328" s="2" t="str">
        <f t="shared" si="29"/>
        <v>Premium</v>
      </c>
    </row>
    <row r="329" spans="1:12" x14ac:dyDescent="0.3">
      <c r="A329" t="s">
        <v>530</v>
      </c>
      <c r="B329" t="s">
        <v>581</v>
      </c>
      <c r="C329" s="3">
        <v>3.9</v>
      </c>
      <c r="D329" s="3">
        <v>2876</v>
      </c>
      <c r="E329" t="s">
        <v>582</v>
      </c>
      <c r="F329" s="3">
        <v>19.111430599999998</v>
      </c>
      <c r="G329">
        <v>72.878641099999996</v>
      </c>
      <c r="H329">
        <f t="shared" si="25"/>
        <v>11216.4</v>
      </c>
      <c r="I329" s="3">
        <f t="shared" si="26"/>
        <v>71900</v>
      </c>
      <c r="J329" s="1">
        <f t="shared" si="27"/>
        <v>350</v>
      </c>
      <c r="K329" s="1">
        <f t="shared" si="28"/>
        <v>25165000</v>
      </c>
      <c r="L329" s="2" t="str">
        <f t="shared" si="29"/>
        <v>Average</v>
      </c>
    </row>
    <row r="330" spans="1:12" x14ac:dyDescent="0.3">
      <c r="A330" t="s">
        <v>530</v>
      </c>
      <c r="B330" t="s">
        <v>583</v>
      </c>
      <c r="C330" s="3">
        <v>4.5999999999999996</v>
      </c>
      <c r="D330" s="3">
        <v>2453</v>
      </c>
      <c r="E330" t="s">
        <v>584</v>
      </c>
      <c r="F330" s="3">
        <v>19.103168</v>
      </c>
      <c r="G330">
        <v>72.877701999999999</v>
      </c>
      <c r="H330">
        <f t="shared" si="25"/>
        <v>11283.8</v>
      </c>
      <c r="I330" s="3">
        <f t="shared" si="26"/>
        <v>61325</v>
      </c>
      <c r="J330" s="1">
        <f t="shared" si="27"/>
        <v>450</v>
      </c>
      <c r="K330" s="1">
        <f t="shared" si="28"/>
        <v>27596250</v>
      </c>
      <c r="L330" s="2" t="str">
        <f t="shared" si="29"/>
        <v>Premium</v>
      </c>
    </row>
    <row r="331" spans="1:12" x14ac:dyDescent="0.3">
      <c r="A331" t="s">
        <v>530</v>
      </c>
      <c r="B331" t="s">
        <v>585</v>
      </c>
      <c r="C331" s="3">
        <v>4.7</v>
      </c>
      <c r="D331" s="3">
        <v>167</v>
      </c>
      <c r="E331" t="s">
        <v>586</v>
      </c>
      <c r="F331" s="3">
        <v>19.115672700000001</v>
      </c>
      <c r="G331">
        <v>72.856945400000001</v>
      </c>
      <c r="H331">
        <f t="shared" si="25"/>
        <v>784.9</v>
      </c>
      <c r="I331" s="3">
        <f t="shared" si="26"/>
        <v>4175</v>
      </c>
      <c r="J331" s="1">
        <f t="shared" si="27"/>
        <v>550</v>
      </c>
      <c r="K331" s="1">
        <f t="shared" si="28"/>
        <v>2296250</v>
      </c>
      <c r="L331" s="2" t="str">
        <f t="shared" si="29"/>
        <v>Premium</v>
      </c>
    </row>
    <row r="332" spans="1:12" x14ac:dyDescent="0.3">
      <c r="A332" t="s">
        <v>530</v>
      </c>
      <c r="B332" t="s">
        <v>587</v>
      </c>
      <c r="C332" s="3">
        <v>4.4000000000000004</v>
      </c>
      <c r="D332" s="3">
        <v>18396</v>
      </c>
      <c r="E332" t="s">
        <v>588</v>
      </c>
      <c r="F332" s="3">
        <v>19.106129200000002</v>
      </c>
      <c r="G332">
        <v>72.825709399999994</v>
      </c>
      <c r="H332">
        <f t="shared" si="25"/>
        <v>80942.400000000009</v>
      </c>
      <c r="I332" s="3">
        <f t="shared" si="26"/>
        <v>459900</v>
      </c>
      <c r="J332" s="1">
        <f t="shared" si="27"/>
        <v>450</v>
      </c>
      <c r="K332" s="1">
        <f t="shared" si="28"/>
        <v>206955000</v>
      </c>
      <c r="L332" s="2" t="str">
        <f t="shared" si="29"/>
        <v>Popular</v>
      </c>
    </row>
    <row r="333" spans="1:12" x14ac:dyDescent="0.3">
      <c r="A333" t="s">
        <v>530</v>
      </c>
      <c r="B333" t="s">
        <v>589</v>
      </c>
      <c r="C333" s="3">
        <v>4.0999999999999996</v>
      </c>
      <c r="D333" s="3">
        <v>431</v>
      </c>
      <c r="E333" t="s">
        <v>590</v>
      </c>
      <c r="F333" s="3">
        <v>19.1307759</v>
      </c>
      <c r="G333">
        <v>72.826207799999906</v>
      </c>
      <c r="H333">
        <f t="shared" si="25"/>
        <v>1767.1</v>
      </c>
      <c r="I333" s="3">
        <f t="shared" si="26"/>
        <v>10775</v>
      </c>
      <c r="J333" s="1">
        <f t="shared" si="27"/>
        <v>350</v>
      </c>
      <c r="K333" s="1">
        <f t="shared" si="28"/>
        <v>3771250</v>
      </c>
      <c r="L333" s="2" t="str">
        <f t="shared" si="29"/>
        <v>Popular</v>
      </c>
    </row>
    <row r="334" spans="1:12" x14ac:dyDescent="0.3">
      <c r="A334" t="s">
        <v>530</v>
      </c>
      <c r="B334" t="s">
        <v>591</v>
      </c>
      <c r="C334" s="3">
        <v>4.5</v>
      </c>
      <c r="D334" s="3">
        <v>518</v>
      </c>
      <c r="E334" t="s">
        <v>592</v>
      </c>
      <c r="F334" s="3">
        <v>19.141111500000001</v>
      </c>
      <c r="G334">
        <v>72.812974599999905</v>
      </c>
      <c r="H334">
        <f t="shared" si="25"/>
        <v>2331</v>
      </c>
      <c r="I334" s="3">
        <f t="shared" si="26"/>
        <v>12950</v>
      </c>
      <c r="J334" s="1">
        <f t="shared" si="27"/>
        <v>450</v>
      </c>
      <c r="K334" s="1">
        <f t="shared" si="28"/>
        <v>5827500</v>
      </c>
      <c r="L334" s="2" t="str">
        <f t="shared" si="29"/>
        <v>Premium</v>
      </c>
    </row>
    <row r="335" spans="1:12" x14ac:dyDescent="0.3">
      <c r="A335" t="s">
        <v>530</v>
      </c>
      <c r="B335" t="s">
        <v>593</v>
      </c>
      <c r="C335" s="3">
        <v>4.2</v>
      </c>
      <c r="D335" s="3">
        <v>415</v>
      </c>
      <c r="E335" t="s">
        <v>594</v>
      </c>
      <c r="F335" s="3">
        <v>19.127327699999999</v>
      </c>
      <c r="G335">
        <v>72.838376199999999</v>
      </c>
      <c r="H335">
        <f t="shared" si="25"/>
        <v>1743</v>
      </c>
      <c r="I335" s="3">
        <f t="shared" si="26"/>
        <v>10375</v>
      </c>
      <c r="J335" s="1">
        <f t="shared" si="27"/>
        <v>350</v>
      </c>
      <c r="K335" s="1">
        <f t="shared" si="28"/>
        <v>3631250</v>
      </c>
      <c r="L335" s="2" t="str">
        <f t="shared" si="29"/>
        <v>Popular</v>
      </c>
    </row>
    <row r="336" spans="1:12" x14ac:dyDescent="0.3">
      <c r="A336" t="s">
        <v>530</v>
      </c>
      <c r="B336" t="s">
        <v>595</v>
      </c>
      <c r="C336" s="3">
        <v>4.3</v>
      </c>
      <c r="D336" s="3">
        <v>156</v>
      </c>
      <c r="E336" t="s">
        <v>596</v>
      </c>
      <c r="F336" s="3">
        <v>19.136759999999999</v>
      </c>
      <c r="G336">
        <v>72.829373399999994</v>
      </c>
      <c r="H336">
        <f t="shared" si="25"/>
        <v>670.8</v>
      </c>
      <c r="I336" s="3">
        <f t="shared" si="26"/>
        <v>3900</v>
      </c>
      <c r="J336" s="1">
        <f t="shared" si="27"/>
        <v>350</v>
      </c>
      <c r="K336" s="1">
        <f t="shared" si="28"/>
        <v>1365000</v>
      </c>
      <c r="L336" s="2" t="str">
        <f t="shared" si="29"/>
        <v>Popular</v>
      </c>
    </row>
    <row r="337" spans="1:12" x14ac:dyDescent="0.3">
      <c r="A337" t="s">
        <v>530</v>
      </c>
      <c r="B337" t="s">
        <v>597</v>
      </c>
      <c r="C337" s="3">
        <v>4.0999999999999996</v>
      </c>
      <c r="D337" s="3">
        <v>459</v>
      </c>
      <c r="E337" t="s">
        <v>598</v>
      </c>
      <c r="F337" s="3">
        <v>19.147060700000001</v>
      </c>
      <c r="G337">
        <v>72.829269400000001</v>
      </c>
      <c r="H337">
        <f t="shared" si="25"/>
        <v>1881.8999999999999</v>
      </c>
      <c r="I337" s="3">
        <f t="shared" si="26"/>
        <v>11475</v>
      </c>
      <c r="J337" s="1">
        <f t="shared" si="27"/>
        <v>350</v>
      </c>
      <c r="K337" s="1">
        <f t="shared" si="28"/>
        <v>4016250</v>
      </c>
      <c r="L337" s="2" t="str">
        <f t="shared" si="29"/>
        <v>Popular</v>
      </c>
    </row>
    <row r="338" spans="1:12" x14ac:dyDescent="0.3">
      <c r="A338" t="s">
        <v>530</v>
      </c>
      <c r="B338" t="s">
        <v>599</v>
      </c>
      <c r="C338" s="3">
        <v>4.2</v>
      </c>
      <c r="D338" s="3">
        <v>1199</v>
      </c>
      <c r="E338" t="s">
        <v>600</v>
      </c>
      <c r="F338" s="3">
        <v>19.148246</v>
      </c>
      <c r="G338">
        <v>72.831577299999907</v>
      </c>
      <c r="H338">
        <f t="shared" si="25"/>
        <v>5035.8</v>
      </c>
      <c r="I338" s="3">
        <f t="shared" si="26"/>
        <v>29975</v>
      </c>
      <c r="J338" s="1">
        <f t="shared" si="27"/>
        <v>350</v>
      </c>
      <c r="K338" s="1">
        <f t="shared" si="28"/>
        <v>10491250</v>
      </c>
      <c r="L338" s="2" t="str">
        <f t="shared" si="29"/>
        <v>Popular</v>
      </c>
    </row>
    <row r="339" spans="1:12" x14ac:dyDescent="0.3">
      <c r="A339" t="s">
        <v>530</v>
      </c>
      <c r="B339" t="s">
        <v>601</v>
      </c>
      <c r="C339" s="3">
        <v>4.9000000000000004</v>
      </c>
      <c r="D339" s="3">
        <v>340</v>
      </c>
      <c r="E339" t="s">
        <v>602</v>
      </c>
      <c r="F339" s="3">
        <v>19.117372799999998</v>
      </c>
      <c r="G339">
        <v>72.850504200000003</v>
      </c>
      <c r="H339">
        <f t="shared" si="25"/>
        <v>1666.0000000000002</v>
      </c>
      <c r="I339" s="3">
        <f t="shared" si="26"/>
        <v>8500</v>
      </c>
      <c r="J339" s="1">
        <f t="shared" si="27"/>
        <v>550</v>
      </c>
      <c r="K339" s="1">
        <f t="shared" si="28"/>
        <v>4675000</v>
      </c>
      <c r="L339" s="2" t="str">
        <f t="shared" si="29"/>
        <v>Premium</v>
      </c>
    </row>
    <row r="340" spans="1:12" x14ac:dyDescent="0.3">
      <c r="A340" t="s">
        <v>530</v>
      </c>
      <c r="B340" t="s">
        <v>603</v>
      </c>
      <c r="C340" s="3">
        <v>4.5999999999999996</v>
      </c>
      <c r="D340" s="3">
        <v>805</v>
      </c>
      <c r="E340" t="s">
        <v>604</v>
      </c>
      <c r="F340" s="3">
        <v>19.108096499999998</v>
      </c>
      <c r="G340">
        <v>72.864653399999995</v>
      </c>
      <c r="H340">
        <f t="shared" si="25"/>
        <v>3702.9999999999995</v>
      </c>
      <c r="I340" s="3">
        <f t="shared" si="26"/>
        <v>20125</v>
      </c>
      <c r="J340" s="1">
        <f t="shared" si="27"/>
        <v>450</v>
      </c>
      <c r="K340" s="1">
        <f t="shared" si="28"/>
        <v>9056250</v>
      </c>
      <c r="L340" s="2" t="str">
        <f t="shared" si="29"/>
        <v>Premium</v>
      </c>
    </row>
    <row r="341" spans="1:12" x14ac:dyDescent="0.3">
      <c r="A341" t="s">
        <v>530</v>
      </c>
      <c r="B341" t="s">
        <v>128</v>
      </c>
      <c r="C341" s="3">
        <v>4.4000000000000004</v>
      </c>
      <c r="D341" s="3">
        <v>2721</v>
      </c>
      <c r="E341" t="s">
        <v>605</v>
      </c>
      <c r="F341" s="3">
        <v>19.141498200000001</v>
      </c>
      <c r="G341">
        <v>72.831446700000001</v>
      </c>
      <c r="H341">
        <f t="shared" si="25"/>
        <v>11972.400000000001</v>
      </c>
      <c r="I341" s="3">
        <f t="shared" si="26"/>
        <v>68025</v>
      </c>
      <c r="J341" s="1">
        <f t="shared" si="27"/>
        <v>450</v>
      </c>
      <c r="K341" s="1">
        <f t="shared" si="28"/>
        <v>30611250</v>
      </c>
      <c r="L341" s="2" t="str">
        <f t="shared" si="29"/>
        <v>Popular</v>
      </c>
    </row>
    <row r="342" spans="1:12" x14ac:dyDescent="0.3">
      <c r="A342" t="s">
        <v>530</v>
      </c>
      <c r="B342" t="s">
        <v>145</v>
      </c>
      <c r="C342" s="3">
        <v>3.9</v>
      </c>
      <c r="D342" s="3">
        <v>965</v>
      </c>
      <c r="E342" t="s">
        <v>606</v>
      </c>
      <c r="F342" s="3">
        <v>19.130531399999999</v>
      </c>
      <c r="G342">
        <v>72.837418099999994</v>
      </c>
      <c r="H342">
        <f t="shared" si="25"/>
        <v>3763.5</v>
      </c>
      <c r="I342" s="3">
        <f t="shared" si="26"/>
        <v>24125</v>
      </c>
      <c r="J342" s="1">
        <f t="shared" si="27"/>
        <v>350</v>
      </c>
      <c r="K342" s="1">
        <f t="shared" si="28"/>
        <v>8443750</v>
      </c>
      <c r="L342" s="2" t="str">
        <f t="shared" si="29"/>
        <v>Average</v>
      </c>
    </row>
    <row r="343" spans="1:12" x14ac:dyDescent="0.3">
      <c r="A343" t="s">
        <v>530</v>
      </c>
      <c r="B343" t="s">
        <v>607</v>
      </c>
      <c r="C343" s="3">
        <v>4.0999999999999996</v>
      </c>
      <c r="D343" s="3">
        <v>135</v>
      </c>
      <c r="E343" t="s">
        <v>608</v>
      </c>
      <c r="F343" s="3">
        <v>19.149786500000001</v>
      </c>
      <c r="G343">
        <v>72.831734799999893</v>
      </c>
      <c r="H343">
        <f t="shared" si="25"/>
        <v>553.5</v>
      </c>
      <c r="I343" s="3">
        <f t="shared" si="26"/>
        <v>3375</v>
      </c>
      <c r="J343" s="1">
        <f t="shared" si="27"/>
        <v>350</v>
      </c>
      <c r="K343" s="1">
        <f t="shared" si="28"/>
        <v>1181250</v>
      </c>
      <c r="L343" s="2" t="str">
        <f t="shared" si="29"/>
        <v>Popular</v>
      </c>
    </row>
    <row r="344" spans="1:12" x14ac:dyDescent="0.3">
      <c r="A344" t="s">
        <v>530</v>
      </c>
      <c r="B344" t="s">
        <v>259</v>
      </c>
      <c r="C344" s="3">
        <v>3.9</v>
      </c>
      <c r="D344" s="3">
        <v>1127</v>
      </c>
      <c r="E344" t="s">
        <v>609</v>
      </c>
      <c r="F344" s="3">
        <v>19.113774800000002</v>
      </c>
      <c r="G344">
        <v>72.841743899999997</v>
      </c>
      <c r="H344">
        <f t="shared" si="25"/>
        <v>4395.3</v>
      </c>
      <c r="I344" s="3">
        <f t="shared" si="26"/>
        <v>28175</v>
      </c>
      <c r="J344" s="1">
        <f t="shared" si="27"/>
        <v>350</v>
      </c>
      <c r="K344" s="1">
        <f t="shared" si="28"/>
        <v>9861250</v>
      </c>
      <c r="L344" s="2" t="str">
        <f t="shared" si="29"/>
        <v>Average</v>
      </c>
    </row>
    <row r="345" spans="1:12" x14ac:dyDescent="0.3">
      <c r="A345" t="s">
        <v>530</v>
      </c>
      <c r="B345" t="s">
        <v>610</v>
      </c>
      <c r="C345" s="3">
        <v>4.0999999999999996</v>
      </c>
      <c r="D345" s="3">
        <v>445</v>
      </c>
      <c r="E345" t="s">
        <v>611</v>
      </c>
      <c r="F345" s="3">
        <v>19.1310477</v>
      </c>
      <c r="G345">
        <v>72.813866599999997</v>
      </c>
      <c r="H345">
        <f t="shared" si="25"/>
        <v>1824.4999999999998</v>
      </c>
      <c r="I345" s="3">
        <f t="shared" si="26"/>
        <v>11125</v>
      </c>
      <c r="J345" s="1">
        <f t="shared" si="27"/>
        <v>350</v>
      </c>
      <c r="K345" s="1">
        <f t="shared" si="28"/>
        <v>3893750</v>
      </c>
      <c r="L345" s="2" t="str">
        <f t="shared" si="29"/>
        <v>Popular</v>
      </c>
    </row>
    <row r="346" spans="1:12" x14ac:dyDescent="0.3">
      <c r="A346" t="s">
        <v>530</v>
      </c>
      <c r="B346" t="s">
        <v>612</v>
      </c>
      <c r="C346" s="3">
        <v>4.3</v>
      </c>
      <c r="D346" s="3">
        <v>186</v>
      </c>
      <c r="E346" t="s">
        <v>613</v>
      </c>
      <c r="F346" s="3">
        <v>19.110417000000002</v>
      </c>
      <c r="G346">
        <v>72.874231999999907</v>
      </c>
      <c r="H346">
        <f t="shared" si="25"/>
        <v>799.8</v>
      </c>
      <c r="I346" s="3">
        <f t="shared" si="26"/>
        <v>4650</v>
      </c>
      <c r="J346" s="1">
        <f t="shared" si="27"/>
        <v>350</v>
      </c>
      <c r="K346" s="1">
        <f t="shared" si="28"/>
        <v>1627500</v>
      </c>
      <c r="L346" s="2" t="str">
        <f t="shared" si="29"/>
        <v>Popular</v>
      </c>
    </row>
    <row r="347" spans="1:12" x14ac:dyDescent="0.3">
      <c r="A347" t="s">
        <v>530</v>
      </c>
      <c r="B347" t="s">
        <v>614</v>
      </c>
      <c r="C347" s="3">
        <v>4.0999999999999996</v>
      </c>
      <c r="D347" s="3">
        <v>51</v>
      </c>
      <c r="E347" t="s">
        <v>615</v>
      </c>
      <c r="F347" s="3">
        <v>19.112267599999999</v>
      </c>
      <c r="G347">
        <v>72.8679877</v>
      </c>
      <c r="H347">
        <f t="shared" si="25"/>
        <v>209.1</v>
      </c>
      <c r="I347" s="3">
        <f t="shared" si="26"/>
        <v>1275</v>
      </c>
      <c r="J347" s="1">
        <f t="shared" si="27"/>
        <v>350</v>
      </c>
      <c r="K347" s="1">
        <f t="shared" si="28"/>
        <v>446250</v>
      </c>
      <c r="L347" s="2" t="str">
        <f t="shared" si="29"/>
        <v>Popular</v>
      </c>
    </row>
    <row r="348" spans="1:12" x14ac:dyDescent="0.3">
      <c r="A348" t="s">
        <v>530</v>
      </c>
      <c r="B348" t="s">
        <v>139</v>
      </c>
      <c r="C348" s="3">
        <v>3.9</v>
      </c>
      <c r="D348" s="3">
        <v>895</v>
      </c>
      <c r="E348" t="s">
        <v>616</v>
      </c>
      <c r="F348" s="3">
        <v>19.123038099999999</v>
      </c>
      <c r="G348">
        <v>72.846654099999995</v>
      </c>
      <c r="H348">
        <f t="shared" si="25"/>
        <v>3490.5</v>
      </c>
      <c r="I348" s="3">
        <f t="shared" si="26"/>
        <v>22375</v>
      </c>
      <c r="J348" s="1">
        <f t="shared" si="27"/>
        <v>350</v>
      </c>
      <c r="K348" s="1">
        <f t="shared" si="28"/>
        <v>7831250</v>
      </c>
      <c r="L348" s="2" t="str">
        <f t="shared" si="29"/>
        <v>Average</v>
      </c>
    </row>
    <row r="349" spans="1:12" x14ac:dyDescent="0.3">
      <c r="A349" t="s">
        <v>530</v>
      </c>
      <c r="B349" t="s">
        <v>617</v>
      </c>
      <c r="C349" s="3">
        <v>3.8</v>
      </c>
      <c r="D349" s="3">
        <v>251</v>
      </c>
      <c r="E349" t="s">
        <v>618</v>
      </c>
      <c r="F349" s="3">
        <v>19.128332199999999</v>
      </c>
      <c r="G349">
        <v>72.829192599999999</v>
      </c>
      <c r="H349">
        <f t="shared" si="25"/>
        <v>953.8</v>
      </c>
      <c r="I349" s="3">
        <f t="shared" si="26"/>
        <v>6275</v>
      </c>
      <c r="J349" s="1">
        <f t="shared" si="27"/>
        <v>350</v>
      </c>
      <c r="K349" s="1">
        <f t="shared" si="28"/>
        <v>2196250</v>
      </c>
      <c r="L349" s="2" t="str">
        <f t="shared" si="29"/>
        <v>Average</v>
      </c>
    </row>
    <row r="350" spans="1:12" x14ac:dyDescent="0.3">
      <c r="A350" t="s">
        <v>530</v>
      </c>
      <c r="B350" t="s">
        <v>619</v>
      </c>
      <c r="C350" s="3">
        <v>4</v>
      </c>
      <c r="D350" s="3">
        <v>1037</v>
      </c>
      <c r="E350" t="s">
        <v>620</v>
      </c>
      <c r="F350" s="3">
        <v>19.118502599999999</v>
      </c>
      <c r="G350">
        <v>72.844822899999997</v>
      </c>
      <c r="H350">
        <f t="shared" si="25"/>
        <v>4148</v>
      </c>
      <c r="I350" s="3">
        <f t="shared" si="26"/>
        <v>25925</v>
      </c>
      <c r="J350" s="1">
        <f t="shared" si="27"/>
        <v>350</v>
      </c>
      <c r="K350" s="1">
        <f t="shared" si="28"/>
        <v>9073750</v>
      </c>
      <c r="L350" s="2" t="str">
        <f t="shared" si="29"/>
        <v>Popular</v>
      </c>
    </row>
    <row r="351" spans="1:12" x14ac:dyDescent="0.3">
      <c r="A351" t="s">
        <v>530</v>
      </c>
      <c r="B351" t="s">
        <v>621</v>
      </c>
      <c r="C351" s="3">
        <v>3.8</v>
      </c>
      <c r="D351" s="3">
        <v>168</v>
      </c>
      <c r="E351" t="s">
        <v>622</v>
      </c>
      <c r="F351" s="3">
        <v>19.1130949</v>
      </c>
      <c r="G351">
        <v>72.844556999999995</v>
      </c>
      <c r="H351">
        <f t="shared" si="25"/>
        <v>638.4</v>
      </c>
      <c r="I351" s="3">
        <f t="shared" si="26"/>
        <v>4200</v>
      </c>
      <c r="J351" s="1">
        <f t="shared" si="27"/>
        <v>350</v>
      </c>
      <c r="K351" s="1">
        <f t="shared" si="28"/>
        <v>1470000</v>
      </c>
      <c r="L351" s="2" t="str">
        <f t="shared" si="29"/>
        <v>Average</v>
      </c>
    </row>
    <row r="352" spans="1:12" x14ac:dyDescent="0.3">
      <c r="A352" t="s">
        <v>530</v>
      </c>
      <c r="B352" t="s">
        <v>623</v>
      </c>
      <c r="C352" s="3">
        <v>4.3</v>
      </c>
      <c r="D352" s="3">
        <v>100</v>
      </c>
      <c r="E352" t="s">
        <v>624</v>
      </c>
      <c r="F352" s="3">
        <v>19.124683000000001</v>
      </c>
      <c r="G352">
        <v>72.864808199999999</v>
      </c>
      <c r="H352">
        <f t="shared" si="25"/>
        <v>430</v>
      </c>
      <c r="I352" s="3">
        <f t="shared" si="26"/>
        <v>2500</v>
      </c>
      <c r="J352" s="1">
        <f t="shared" si="27"/>
        <v>350</v>
      </c>
      <c r="K352" s="1">
        <f t="shared" si="28"/>
        <v>875000</v>
      </c>
      <c r="L352" s="2" t="str">
        <f t="shared" si="29"/>
        <v>Popular</v>
      </c>
    </row>
    <row r="353" spans="1:12" x14ac:dyDescent="0.3">
      <c r="A353" t="s">
        <v>530</v>
      </c>
      <c r="B353" t="s">
        <v>625</v>
      </c>
      <c r="C353" s="3">
        <v>3.9</v>
      </c>
      <c r="D353" s="3">
        <v>929</v>
      </c>
      <c r="E353" t="s">
        <v>626</v>
      </c>
      <c r="F353" s="3">
        <v>19.102402600000001</v>
      </c>
      <c r="G353">
        <v>72.888413200000002</v>
      </c>
      <c r="H353">
        <f t="shared" si="25"/>
        <v>3623.1</v>
      </c>
      <c r="I353" s="3">
        <f t="shared" si="26"/>
        <v>23225</v>
      </c>
      <c r="J353" s="1">
        <f t="shared" si="27"/>
        <v>350</v>
      </c>
      <c r="K353" s="1">
        <f t="shared" si="28"/>
        <v>8128750</v>
      </c>
      <c r="L353" s="2" t="str">
        <f t="shared" si="29"/>
        <v>Average</v>
      </c>
    </row>
    <row r="354" spans="1:12" x14ac:dyDescent="0.3">
      <c r="A354" t="s">
        <v>530</v>
      </c>
      <c r="B354" t="s">
        <v>627</v>
      </c>
      <c r="C354" s="3">
        <v>4</v>
      </c>
      <c r="D354" s="3">
        <v>3464</v>
      </c>
      <c r="E354" t="s">
        <v>628</v>
      </c>
      <c r="F354" s="3">
        <v>19.117787400000001</v>
      </c>
      <c r="G354">
        <v>72.848220499999996</v>
      </c>
      <c r="H354">
        <f t="shared" si="25"/>
        <v>13856</v>
      </c>
      <c r="I354" s="3">
        <f t="shared" si="26"/>
        <v>86600</v>
      </c>
      <c r="J354" s="1">
        <f t="shared" si="27"/>
        <v>350</v>
      </c>
      <c r="K354" s="1">
        <f t="shared" si="28"/>
        <v>30310000</v>
      </c>
      <c r="L354" s="2" t="str">
        <f t="shared" si="29"/>
        <v>Popular</v>
      </c>
    </row>
    <row r="355" spans="1:12" x14ac:dyDescent="0.3">
      <c r="A355" t="s">
        <v>530</v>
      </c>
      <c r="B355" t="s">
        <v>629</v>
      </c>
      <c r="C355" s="3">
        <v>4.7</v>
      </c>
      <c r="D355" s="3">
        <v>78</v>
      </c>
      <c r="E355" t="s">
        <v>630</v>
      </c>
      <c r="F355" s="3">
        <v>19.136799799999999</v>
      </c>
      <c r="G355">
        <v>72.829338100000001</v>
      </c>
      <c r="H355">
        <f t="shared" si="25"/>
        <v>366.6</v>
      </c>
      <c r="I355" s="3">
        <f t="shared" si="26"/>
        <v>1950</v>
      </c>
      <c r="J355" s="1">
        <f t="shared" si="27"/>
        <v>550</v>
      </c>
      <c r="K355" s="1">
        <f t="shared" si="28"/>
        <v>1072500</v>
      </c>
      <c r="L355" s="2" t="str">
        <f t="shared" si="29"/>
        <v>Premium</v>
      </c>
    </row>
    <row r="356" spans="1:12" x14ac:dyDescent="0.3">
      <c r="A356" t="s">
        <v>530</v>
      </c>
      <c r="B356" t="s">
        <v>631</v>
      </c>
      <c r="C356" s="3">
        <v>4.0999999999999996</v>
      </c>
      <c r="D356" s="3">
        <v>259</v>
      </c>
      <c r="E356" t="s">
        <v>632</v>
      </c>
      <c r="F356" s="3">
        <v>19.1033051</v>
      </c>
      <c r="G356">
        <v>72.886342099999993</v>
      </c>
      <c r="H356">
        <f t="shared" si="25"/>
        <v>1061.8999999999999</v>
      </c>
      <c r="I356" s="3">
        <f t="shared" si="26"/>
        <v>6475</v>
      </c>
      <c r="J356" s="1">
        <f t="shared" si="27"/>
        <v>350</v>
      </c>
      <c r="K356" s="1">
        <f t="shared" si="28"/>
        <v>2266250</v>
      </c>
      <c r="L356" s="2" t="str">
        <f t="shared" si="29"/>
        <v>Popular</v>
      </c>
    </row>
    <row r="357" spans="1:12" x14ac:dyDescent="0.3">
      <c r="A357" t="s">
        <v>530</v>
      </c>
      <c r="B357" t="s">
        <v>633</v>
      </c>
      <c r="C357" s="3">
        <v>4.5</v>
      </c>
      <c r="D357" s="3">
        <v>50</v>
      </c>
      <c r="E357" t="s">
        <v>634</v>
      </c>
      <c r="F357" s="3">
        <v>19.1359177</v>
      </c>
      <c r="G357">
        <v>72.832615399999995</v>
      </c>
      <c r="H357">
        <f t="shared" si="25"/>
        <v>225</v>
      </c>
      <c r="I357" s="3">
        <f t="shared" si="26"/>
        <v>1250</v>
      </c>
      <c r="J357" s="1">
        <f t="shared" si="27"/>
        <v>450</v>
      </c>
      <c r="K357" s="1">
        <f t="shared" si="28"/>
        <v>562500</v>
      </c>
      <c r="L357" s="2" t="str">
        <f t="shared" si="29"/>
        <v>Premium</v>
      </c>
    </row>
    <row r="358" spans="1:12" x14ac:dyDescent="0.3">
      <c r="A358" t="s">
        <v>530</v>
      </c>
      <c r="B358" t="s">
        <v>635</v>
      </c>
      <c r="C358" s="3">
        <v>4.9000000000000004</v>
      </c>
      <c r="D358" s="3">
        <v>49</v>
      </c>
      <c r="E358" t="s">
        <v>636</v>
      </c>
      <c r="F358" s="3">
        <v>19.148792400000001</v>
      </c>
      <c r="G358">
        <v>72.832024099999998</v>
      </c>
      <c r="H358">
        <f t="shared" si="25"/>
        <v>240.10000000000002</v>
      </c>
      <c r="I358" s="3">
        <f t="shared" si="26"/>
        <v>1225</v>
      </c>
      <c r="J358" s="1">
        <f t="shared" si="27"/>
        <v>550</v>
      </c>
      <c r="K358" s="1">
        <f t="shared" si="28"/>
        <v>673750</v>
      </c>
      <c r="L358" s="2" t="str">
        <f t="shared" si="29"/>
        <v>Premium</v>
      </c>
    </row>
    <row r="359" spans="1:12" x14ac:dyDescent="0.3">
      <c r="A359" t="s">
        <v>530</v>
      </c>
      <c r="B359" t="s">
        <v>637</v>
      </c>
      <c r="C359" s="3">
        <v>4</v>
      </c>
      <c r="D359" s="3">
        <v>796</v>
      </c>
      <c r="E359" t="s">
        <v>638</v>
      </c>
      <c r="F359" s="3">
        <v>19.139378600000001</v>
      </c>
      <c r="G359">
        <v>72.832043200000001</v>
      </c>
      <c r="H359">
        <f t="shared" si="25"/>
        <v>3184</v>
      </c>
      <c r="I359" s="3">
        <f t="shared" si="26"/>
        <v>19900</v>
      </c>
      <c r="J359" s="1">
        <f t="shared" si="27"/>
        <v>350</v>
      </c>
      <c r="K359" s="1">
        <f t="shared" si="28"/>
        <v>6965000</v>
      </c>
      <c r="L359" s="2" t="str">
        <f t="shared" si="29"/>
        <v>Popular</v>
      </c>
    </row>
    <row r="360" spans="1:12" x14ac:dyDescent="0.3">
      <c r="A360" t="s">
        <v>530</v>
      </c>
      <c r="B360" t="s">
        <v>639</v>
      </c>
      <c r="C360" s="3">
        <v>4.7</v>
      </c>
      <c r="D360" s="3">
        <v>242</v>
      </c>
      <c r="E360" t="s">
        <v>640</v>
      </c>
      <c r="F360" s="3">
        <v>19.1502813</v>
      </c>
      <c r="G360">
        <v>72.831805899999907</v>
      </c>
      <c r="H360">
        <f t="shared" si="25"/>
        <v>1137.4000000000001</v>
      </c>
      <c r="I360" s="3">
        <f t="shared" si="26"/>
        <v>6050</v>
      </c>
      <c r="J360" s="1">
        <f t="shared" si="27"/>
        <v>550</v>
      </c>
      <c r="K360" s="1">
        <f t="shared" si="28"/>
        <v>3327500</v>
      </c>
      <c r="L360" s="2" t="str">
        <f t="shared" si="29"/>
        <v>Premium</v>
      </c>
    </row>
    <row r="361" spans="1:12" x14ac:dyDescent="0.3">
      <c r="A361" t="s">
        <v>530</v>
      </c>
      <c r="B361" t="s">
        <v>641</v>
      </c>
      <c r="C361" s="3">
        <v>4.2</v>
      </c>
      <c r="D361" s="3">
        <v>69</v>
      </c>
      <c r="E361" t="s">
        <v>642</v>
      </c>
      <c r="F361" s="3">
        <v>19.1186027</v>
      </c>
      <c r="G361">
        <v>72.8522021</v>
      </c>
      <c r="H361">
        <f t="shared" si="25"/>
        <v>289.8</v>
      </c>
      <c r="I361" s="3">
        <f t="shared" si="26"/>
        <v>1725</v>
      </c>
      <c r="J361" s="1">
        <f t="shared" si="27"/>
        <v>350</v>
      </c>
      <c r="K361" s="1">
        <f t="shared" si="28"/>
        <v>603750</v>
      </c>
      <c r="L361" s="2" t="str">
        <f t="shared" si="29"/>
        <v>Popular</v>
      </c>
    </row>
    <row r="362" spans="1:12" x14ac:dyDescent="0.3">
      <c r="A362" t="s">
        <v>643</v>
      </c>
      <c r="B362" t="s">
        <v>644</v>
      </c>
      <c r="C362" s="3">
        <v>4.3</v>
      </c>
      <c r="D362" s="3">
        <v>492</v>
      </c>
      <c r="E362" t="s">
        <v>645</v>
      </c>
      <c r="F362" s="3">
        <v>19.157133300000002</v>
      </c>
      <c r="G362">
        <v>72.845750999999893</v>
      </c>
      <c r="H362">
        <f t="shared" si="25"/>
        <v>2115.6</v>
      </c>
      <c r="I362" s="3">
        <f t="shared" si="26"/>
        <v>12300</v>
      </c>
      <c r="J362" s="1">
        <f t="shared" si="27"/>
        <v>350</v>
      </c>
      <c r="K362" s="1">
        <f t="shared" si="28"/>
        <v>4305000</v>
      </c>
      <c r="L362" s="2" t="str">
        <f t="shared" si="29"/>
        <v>Popular</v>
      </c>
    </row>
    <row r="363" spans="1:12" x14ac:dyDescent="0.3">
      <c r="A363" t="s">
        <v>643</v>
      </c>
      <c r="B363" t="s">
        <v>646</v>
      </c>
      <c r="C363" s="3">
        <v>4.5999999999999996</v>
      </c>
      <c r="D363" s="3">
        <v>160</v>
      </c>
      <c r="E363" t="s">
        <v>647</v>
      </c>
      <c r="F363" s="3">
        <v>19.163674199999999</v>
      </c>
      <c r="G363">
        <v>72.847295500000001</v>
      </c>
      <c r="H363">
        <f t="shared" si="25"/>
        <v>736</v>
      </c>
      <c r="I363" s="3">
        <f t="shared" si="26"/>
        <v>4000</v>
      </c>
      <c r="J363" s="1">
        <f t="shared" si="27"/>
        <v>450</v>
      </c>
      <c r="K363" s="1">
        <f t="shared" si="28"/>
        <v>1800000</v>
      </c>
      <c r="L363" s="2" t="str">
        <f t="shared" si="29"/>
        <v>Premium</v>
      </c>
    </row>
    <row r="364" spans="1:12" x14ac:dyDescent="0.3">
      <c r="A364" t="s">
        <v>643</v>
      </c>
      <c r="B364" t="s">
        <v>648</v>
      </c>
      <c r="C364" s="3">
        <v>4.5999999999999996</v>
      </c>
      <c r="D364" s="3">
        <v>101</v>
      </c>
      <c r="E364" t="s">
        <v>649</v>
      </c>
      <c r="F364" s="3">
        <v>19.155877499999999</v>
      </c>
      <c r="G364">
        <v>72.886346899999893</v>
      </c>
      <c r="H364">
        <f t="shared" si="25"/>
        <v>464.59999999999997</v>
      </c>
      <c r="I364" s="3">
        <f t="shared" si="26"/>
        <v>2525</v>
      </c>
      <c r="J364" s="1">
        <f t="shared" si="27"/>
        <v>450</v>
      </c>
      <c r="K364" s="1">
        <f t="shared" si="28"/>
        <v>1136250</v>
      </c>
      <c r="L364" s="2" t="str">
        <f t="shared" si="29"/>
        <v>Premium</v>
      </c>
    </row>
    <row r="365" spans="1:12" x14ac:dyDescent="0.3">
      <c r="A365" t="s">
        <v>643</v>
      </c>
      <c r="B365" t="s">
        <v>650</v>
      </c>
      <c r="C365" s="3">
        <v>4.2</v>
      </c>
      <c r="D365" s="3">
        <v>94</v>
      </c>
      <c r="E365" t="s">
        <v>651</v>
      </c>
      <c r="F365" s="3">
        <v>19.1544177</v>
      </c>
      <c r="G365">
        <v>72.843415499999907</v>
      </c>
      <c r="H365">
        <f t="shared" si="25"/>
        <v>394.8</v>
      </c>
      <c r="I365" s="3">
        <f t="shared" si="26"/>
        <v>2350</v>
      </c>
      <c r="J365" s="1">
        <f t="shared" si="27"/>
        <v>350</v>
      </c>
      <c r="K365" s="1">
        <f t="shared" si="28"/>
        <v>822500</v>
      </c>
      <c r="L365" s="2" t="str">
        <f t="shared" si="29"/>
        <v>Popular</v>
      </c>
    </row>
    <row r="366" spans="1:12" x14ac:dyDescent="0.3">
      <c r="A366" t="s">
        <v>643</v>
      </c>
      <c r="B366" t="s">
        <v>369</v>
      </c>
      <c r="C366" s="3">
        <v>4.3</v>
      </c>
      <c r="D366" s="3">
        <v>3749</v>
      </c>
      <c r="E366" t="s">
        <v>652</v>
      </c>
      <c r="F366" s="3">
        <v>19.173725900000001</v>
      </c>
      <c r="G366">
        <v>72.860708000000002</v>
      </c>
      <c r="H366">
        <f t="shared" si="25"/>
        <v>16120.699999999999</v>
      </c>
      <c r="I366" s="3">
        <f t="shared" si="26"/>
        <v>93725</v>
      </c>
      <c r="J366" s="1">
        <f t="shared" si="27"/>
        <v>350</v>
      </c>
      <c r="K366" s="1">
        <f t="shared" si="28"/>
        <v>32803750</v>
      </c>
      <c r="L366" s="2" t="str">
        <f t="shared" si="29"/>
        <v>Popular</v>
      </c>
    </row>
    <row r="367" spans="1:12" x14ac:dyDescent="0.3">
      <c r="A367" t="s">
        <v>643</v>
      </c>
      <c r="B367" t="s">
        <v>653</v>
      </c>
      <c r="C367" s="3">
        <v>4.5999999999999996</v>
      </c>
      <c r="D367" s="3">
        <v>208</v>
      </c>
      <c r="E367" t="s">
        <v>654</v>
      </c>
      <c r="F367" s="3">
        <v>19.162067499999999</v>
      </c>
      <c r="G367">
        <v>72.836821499999999</v>
      </c>
      <c r="H367">
        <f t="shared" si="25"/>
        <v>956.8</v>
      </c>
      <c r="I367" s="3">
        <f t="shared" si="26"/>
        <v>5200</v>
      </c>
      <c r="J367" s="1">
        <f t="shared" si="27"/>
        <v>450</v>
      </c>
      <c r="K367" s="1">
        <f t="shared" si="28"/>
        <v>2340000</v>
      </c>
      <c r="L367" s="2" t="str">
        <f t="shared" si="29"/>
        <v>Premium</v>
      </c>
    </row>
    <row r="368" spans="1:12" x14ac:dyDescent="0.3">
      <c r="A368" t="s">
        <v>643</v>
      </c>
      <c r="B368" t="s">
        <v>53</v>
      </c>
      <c r="C368" s="3">
        <v>4.7</v>
      </c>
      <c r="D368" s="3">
        <v>648</v>
      </c>
      <c r="E368" t="s">
        <v>655</v>
      </c>
      <c r="F368" s="3">
        <v>19.1740101</v>
      </c>
      <c r="G368">
        <v>72.860992799999906</v>
      </c>
      <c r="H368">
        <f t="shared" si="25"/>
        <v>3045.6</v>
      </c>
      <c r="I368" s="3">
        <f t="shared" si="26"/>
        <v>16200</v>
      </c>
      <c r="J368" s="1">
        <f t="shared" si="27"/>
        <v>550</v>
      </c>
      <c r="K368" s="1">
        <f t="shared" si="28"/>
        <v>8910000</v>
      </c>
      <c r="L368" s="2" t="str">
        <f t="shared" si="29"/>
        <v>Premium</v>
      </c>
    </row>
    <row r="369" spans="1:12" x14ac:dyDescent="0.3">
      <c r="A369" t="s">
        <v>643</v>
      </c>
      <c r="B369" t="s">
        <v>656</v>
      </c>
      <c r="C369" s="3">
        <v>4.5</v>
      </c>
      <c r="D369" s="3">
        <v>30</v>
      </c>
      <c r="E369" t="s">
        <v>657</v>
      </c>
      <c r="F369" s="3">
        <v>19.1679253</v>
      </c>
      <c r="G369">
        <v>72.854330899999994</v>
      </c>
      <c r="H369">
        <f t="shared" si="25"/>
        <v>135</v>
      </c>
      <c r="I369" s="3">
        <f t="shared" si="26"/>
        <v>750</v>
      </c>
      <c r="J369" s="1">
        <f t="shared" si="27"/>
        <v>450</v>
      </c>
      <c r="K369" s="1">
        <f t="shared" si="28"/>
        <v>337500</v>
      </c>
      <c r="L369" s="2" t="str">
        <f t="shared" si="29"/>
        <v>Premium</v>
      </c>
    </row>
    <row r="370" spans="1:12" x14ac:dyDescent="0.3">
      <c r="A370" t="s">
        <v>643</v>
      </c>
      <c r="B370" t="s">
        <v>658</v>
      </c>
      <c r="C370" s="3">
        <v>4.7</v>
      </c>
      <c r="D370" s="3">
        <v>288</v>
      </c>
      <c r="E370" t="s">
        <v>659</v>
      </c>
      <c r="F370" s="3">
        <v>19.166500800000001</v>
      </c>
      <c r="G370">
        <v>72.847348999999994</v>
      </c>
      <c r="H370">
        <f t="shared" si="25"/>
        <v>1353.6000000000001</v>
      </c>
      <c r="I370" s="3">
        <f t="shared" si="26"/>
        <v>7200</v>
      </c>
      <c r="J370" s="1">
        <f t="shared" si="27"/>
        <v>550</v>
      </c>
      <c r="K370" s="1">
        <f t="shared" si="28"/>
        <v>3960000</v>
      </c>
      <c r="L370" s="2" t="str">
        <f t="shared" si="29"/>
        <v>Premium</v>
      </c>
    </row>
    <row r="371" spans="1:12" x14ac:dyDescent="0.3">
      <c r="A371" t="s">
        <v>643</v>
      </c>
      <c r="B371" t="s">
        <v>660</v>
      </c>
      <c r="C371" s="3">
        <v>3.8</v>
      </c>
      <c r="D371" s="3">
        <v>154</v>
      </c>
      <c r="E371" t="s">
        <v>661</v>
      </c>
      <c r="F371" s="3">
        <v>19.155766700000001</v>
      </c>
      <c r="G371">
        <v>72.853613499999994</v>
      </c>
      <c r="H371">
        <f t="shared" si="25"/>
        <v>585.19999999999993</v>
      </c>
      <c r="I371" s="3">
        <f t="shared" si="26"/>
        <v>3850</v>
      </c>
      <c r="J371" s="1">
        <f t="shared" si="27"/>
        <v>350</v>
      </c>
      <c r="K371" s="1">
        <f t="shared" si="28"/>
        <v>1347500</v>
      </c>
      <c r="L371" s="2" t="str">
        <f t="shared" si="29"/>
        <v>Average</v>
      </c>
    </row>
    <row r="372" spans="1:12" x14ac:dyDescent="0.3">
      <c r="A372" t="s">
        <v>643</v>
      </c>
      <c r="B372" t="s">
        <v>662</v>
      </c>
      <c r="C372" s="3">
        <v>4.8</v>
      </c>
      <c r="D372" s="3">
        <v>35</v>
      </c>
      <c r="E372" t="s">
        <v>663</v>
      </c>
      <c r="F372" s="3">
        <v>19.1546649</v>
      </c>
      <c r="G372">
        <v>72.886794899999998</v>
      </c>
      <c r="H372">
        <f t="shared" si="25"/>
        <v>168</v>
      </c>
      <c r="I372" s="3">
        <f t="shared" si="26"/>
        <v>875</v>
      </c>
      <c r="J372" s="1">
        <f t="shared" si="27"/>
        <v>550</v>
      </c>
      <c r="K372" s="1">
        <f t="shared" si="28"/>
        <v>481250</v>
      </c>
      <c r="L372" s="2" t="str">
        <f t="shared" si="29"/>
        <v>Premium</v>
      </c>
    </row>
    <row r="373" spans="1:12" x14ac:dyDescent="0.3">
      <c r="A373" t="s">
        <v>643</v>
      </c>
      <c r="B373" t="s">
        <v>128</v>
      </c>
      <c r="C373" s="3">
        <v>4.3</v>
      </c>
      <c r="D373" s="3">
        <v>2473</v>
      </c>
      <c r="E373" t="s">
        <v>664</v>
      </c>
      <c r="F373" s="3">
        <v>19.174045799999998</v>
      </c>
      <c r="G373">
        <v>72.860487499999905</v>
      </c>
      <c r="H373">
        <f t="shared" si="25"/>
        <v>10633.9</v>
      </c>
      <c r="I373" s="3">
        <f t="shared" si="26"/>
        <v>61825</v>
      </c>
      <c r="J373" s="1">
        <f t="shared" si="27"/>
        <v>350</v>
      </c>
      <c r="K373" s="1">
        <f t="shared" si="28"/>
        <v>21638750</v>
      </c>
      <c r="L373" s="2" t="str">
        <f t="shared" si="29"/>
        <v>Popular</v>
      </c>
    </row>
    <row r="374" spans="1:12" x14ac:dyDescent="0.3">
      <c r="A374" t="s">
        <v>643</v>
      </c>
      <c r="B374" t="s">
        <v>665</v>
      </c>
      <c r="C374" s="3">
        <v>4.0999999999999996</v>
      </c>
      <c r="D374" s="3">
        <v>2243</v>
      </c>
      <c r="E374" t="s">
        <v>666</v>
      </c>
      <c r="F374" s="3">
        <v>19.1741077</v>
      </c>
      <c r="G374">
        <v>72.860602599999893</v>
      </c>
      <c r="H374">
        <f t="shared" si="25"/>
        <v>9196.2999999999993</v>
      </c>
      <c r="I374" s="3">
        <f t="shared" si="26"/>
        <v>56075</v>
      </c>
      <c r="J374" s="1">
        <f t="shared" si="27"/>
        <v>350</v>
      </c>
      <c r="K374" s="1">
        <f t="shared" si="28"/>
        <v>19626250</v>
      </c>
      <c r="L374" s="2" t="str">
        <f t="shared" si="29"/>
        <v>Popular</v>
      </c>
    </row>
    <row r="375" spans="1:12" x14ac:dyDescent="0.3">
      <c r="A375" t="s">
        <v>643</v>
      </c>
      <c r="B375" t="s">
        <v>667</v>
      </c>
      <c r="C375" s="3">
        <v>4.2</v>
      </c>
      <c r="D375" s="3">
        <v>1581</v>
      </c>
      <c r="E375" t="s">
        <v>668</v>
      </c>
      <c r="F375" s="3">
        <v>19.1891593</v>
      </c>
      <c r="G375">
        <v>72.834676399999907</v>
      </c>
      <c r="H375">
        <f t="shared" si="25"/>
        <v>6640.2000000000007</v>
      </c>
      <c r="I375" s="3">
        <f t="shared" si="26"/>
        <v>39525</v>
      </c>
      <c r="J375" s="1">
        <f t="shared" si="27"/>
        <v>350</v>
      </c>
      <c r="K375" s="1">
        <f t="shared" si="28"/>
        <v>13833750</v>
      </c>
      <c r="L375" s="2" t="str">
        <f t="shared" si="29"/>
        <v>Popular</v>
      </c>
    </row>
    <row r="376" spans="1:12" x14ac:dyDescent="0.3">
      <c r="A376" t="s">
        <v>643</v>
      </c>
      <c r="B376" t="s">
        <v>195</v>
      </c>
      <c r="C376" s="3">
        <v>4.5</v>
      </c>
      <c r="D376" s="3">
        <v>117</v>
      </c>
      <c r="E376" t="s">
        <v>669</v>
      </c>
      <c r="F376" s="3">
        <v>19.173808000000001</v>
      </c>
      <c r="G376">
        <v>72.860594300000002</v>
      </c>
      <c r="H376">
        <f t="shared" si="25"/>
        <v>526.5</v>
      </c>
      <c r="I376" s="3">
        <f t="shared" si="26"/>
        <v>2925</v>
      </c>
      <c r="J376" s="1">
        <f t="shared" si="27"/>
        <v>450</v>
      </c>
      <c r="K376" s="1">
        <f t="shared" si="28"/>
        <v>1316250</v>
      </c>
      <c r="L376" s="2" t="str">
        <f t="shared" si="29"/>
        <v>Premium</v>
      </c>
    </row>
    <row r="377" spans="1:12" x14ac:dyDescent="0.3">
      <c r="A377" t="s">
        <v>643</v>
      </c>
      <c r="B377" t="s">
        <v>53</v>
      </c>
      <c r="C377" s="3">
        <v>5</v>
      </c>
      <c r="D377" s="3">
        <v>149</v>
      </c>
      <c r="E377" t="s">
        <v>670</v>
      </c>
      <c r="F377" s="3">
        <v>19.154374300000001</v>
      </c>
      <c r="G377">
        <v>72.843415800000002</v>
      </c>
      <c r="H377">
        <f t="shared" si="25"/>
        <v>745</v>
      </c>
      <c r="I377" s="3">
        <f t="shared" si="26"/>
        <v>3725</v>
      </c>
      <c r="J377" s="1">
        <f t="shared" si="27"/>
        <v>550</v>
      </c>
      <c r="K377" s="1">
        <f t="shared" si="28"/>
        <v>2048750</v>
      </c>
      <c r="L377" s="2" t="str">
        <f t="shared" si="29"/>
        <v>Premium</v>
      </c>
    </row>
    <row r="378" spans="1:12" x14ac:dyDescent="0.3">
      <c r="A378" t="s">
        <v>643</v>
      </c>
      <c r="B378" t="s">
        <v>671</v>
      </c>
      <c r="C378" s="3">
        <v>4</v>
      </c>
      <c r="D378" s="3">
        <v>75</v>
      </c>
      <c r="E378" t="s">
        <v>672</v>
      </c>
      <c r="F378" s="3">
        <v>19.161905999999998</v>
      </c>
      <c r="G378">
        <v>72.857401400000001</v>
      </c>
      <c r="H378">
        <f t="shared" si="25"/>
        <v>300</v>
      </c>
      <c r="I378" s="3">
        <f t="shared" si="26"/>
        <v>1875</v>
      </c>
      <c r="J378" s="1">
        <f t="shared" si="27"/>
        <v>350</v>
      </c>
      <c r="K378" s="1">
        <f t="shared" si="28"/>
        <v>656250</v>
      </c>
      <c r="L378" s="2" t="str">
        <f t="shared" si="29"/>
        <v>Popular</v>
      </c>
    </row>
    <row r="379" spans="1:12" x14ac:dyDescent="0.3">
      <c r="A379" t="s">
        <v>643</v>
      </c>
      <c r="B379" t="s">
        <v>128</v>
      </c>
      <c r="C379" s="3">
        <v>4.2</v>
      </c>
      <c r="D379" s="3">
        <v>877</v>
      </c>
      <c r="E379" t="s">
        <v>673</v>
      </c>
      <c r="F379" s="3">
        <v>19.1715971</v>
      </c>
      <c r="G379">
        <v>72.860323399999999</v>
      </c>
      <c r="H379">
        <f t="shared" si="25"/>
        <v>3683.4</v>
      </c>
      <c r="I379" s="3">
        <f t="shared" si="26"/>
        <v>21925</v>
      </c>
      <c r="J379" s="1">
        <f t="shared" si="27"/>
        <v>350</v>
      </c>
      <c r="K379" s="1">
        <f t="shared" si="28"/>
        <v>7673750</v>
      </c>
      <c r="L379" s="2" t="str">
        <f t="shared" si="29"/>
        <v>Popular</v>
      </c>
    </row>
    <row r="380" spans="1:12" x14ac:dyDescent="0.3">
      <c r="A380" t="s">
        <v>643</v>
      </c>
      <c r="B380" t="s">
        <v>674</v>
      </c>
      <c r="C380" s="3">
        <v>4.3</v>
      </c>
      <c r="D380" s="3">
        <v>397</v>
      </c>
      <c r="E380" t="s">
        <v>675</v>
      </c>
      <c r="F380" s="3">
        <v>19.169727200000001</v>
      </c>
      <c r="G380">
        <v>72.859232899999995</v>
      </c>
      <c r="H380">
        <f t="shared" si="25"/>
        <v>1707.1</v>
      </c>
      <c r="I380" s="3">
        <f t="shared" si="26"/>
        <v>9925</v>
      </c>
      <c r="J380" s="1">
        <f t="shared" si="27"/>
        <v>350</v>
      </c>
      <c r="K380" s="1">
        <f t="shared" si="28"/>
        <v>3473750</v>
      </c>
      <c r="L380" s="2" t="str">
        <f t="shared" si="29"/>
        <v>Popular</v>
      </c>
    </row>
    <row r="381" spans="1:12" x14ac:dyDescent="0.3">
      <c r="A381" t="s">
        <v>643</v>
      </c>
      <c r="B381" t="s">
        <v>676</v>
      </c>
      <c r="C381" s="3">
        <v>3.6</v>
      </c>
      <c r="D381" s="3">
        <v>38</v>
      </c>
      <c r="E381" t="s">
        <v>677</v>
      </c>
      <c r="F381" s="3">
        <v>19.1713342</v>
      </c>
      <c r="G381">
        <v>72.8572712</v>
      </c>
      <c r="H381">
        <f t="shared" si="25"/>
        <v>136.80000000000001</v>
      </c>
      <c r="I381" s="3">
        <f t="shared" si="26"/>
        <v>950</v>
      </c>
      <c r="J381" s="1">
        <f t="shared" si="27"/>
        <v>350</v>
      </c>
      <c r="K381" s="1">
        <f t="shared" si="28"/>
        <v>332500</v>
      </c>
      <c r="L381" s="2" t="str">
        <f t="shared" si="29"/>
        <v>Average</v>
      </c>
    </row>
    <row r="382" spans="1:12" x14ac:dyDescent="0.3">
      <c r="A382" t="s">
        <v>643</v>
      </c>
      <c r="B382" t="s">
        <v>145</v>
      </c>
      <c r="C382" s="3">
        <v>4.0999999999999996</v>
      </c>
      <c r="D382" s="3">
        <v>686</v>
      </c>
      <c r="E382" t="s">
        <v>678</v>
      </c>
      <c r="F382" s="3">
        <v>19.173141300000001</v>
      </c>
      <c r="G382">
        <v>72.8738393</v>
      </c>
      <c r="H382">
        <f t="shared" si="25"/>
        <v>2812.6</v>
      </c>
      <c r="I382" s="3">
        <f t="shared" si="26"/>
        <v>17150</v>
      </c>
      <c r="J382" s="1">
        <f t="shared" si="27"/>
        <v>350</v>
      </c>
      <c r="K382" s="1">
        <f t="shared" si="28"/>
        <v>6002500</v>
      </c>
      <c r="L382" s="2" t="str">
        <f t="shared" si="29"/>
        <v>Popular</v>
      </c>
    </row>
    <row r="383" spans="1:12" x14ac:dyDescent="0.3">
      <c r="A383" t="s">
        <v>643</v>
      </c>
      <c r="B383" t="s">
        <v>679</v>
      </c>
      <c r="C383" s="3">
        <v>4.0999999999999996</v>
      </c>
      <c r="D383" s="3">
        <v>4463</v>
      </c>
      <c r="E383" t="s">
        <v>680</v>
      </c>
      <c r="F383" s="3">
        <v>19.173808000000001</v>
      </c>
      <c r="G383">
        <v>72.860594300000002</v>
      </c>
      <c r="H383">
        <f t="shared" si="25"/>
        <v>18298.3</v>
      </c>
      <c r="I383" s="3">
        <f t="shared" si="26"/>
        <v>111575</v>
      </c>
      <c r="J383" s="1">
        <f t="shared" si="27"/>
        <v>350</v>
      </c>
      <c r="K383" s="1">
        <f t="shared" si="28"/>
        <v>39051250</v>
      </c>
      <c r="L383" s="2" t="str">
        <f t="shared" si="29"/>
        <v>Popular</v>
      </c>
    </row>
    <row r="384" spans="1:12" x14ac:dyDescent="0.3">
      <c r="A384" t="s">
        <v>643</v>
      </c>
      <c r="B384" t="s">
        <v>681</v>
      </c>
      <c r="C384" s="3">
        <v>4.0999999999999996</v>
      </c>
      <c r="D384" s="3">
        <v>639</v>
      </c>
      <c r="E384" t="s">
        <v>682</v>
      </c>
      <c r="F384" s="3">
        <v>19.1742706</v>
      </c>
      <c r="G384">
        <v>72.863319300000001</v>
      </c>
      <c r="H384">
        <f t="shared" si="25"/>
        <v>2619.8999999999996</v>
      </c>
      <c r="I384" s="3">
        <f t="shared" si="26"/>
        <v>15975</v>
      </c>
      <c r="J384" s="1">
        <f t="shared" si="27"/>
        <v>350</v>
      </c>
      <c r="K384" s="1">
        <f t="shared" si="28"/>
        <v>5591250</v>
      </c>
      <c r="L384" s="2" t="str">
        <f t="shared" si="29"/>
        <v>Popular</v>
      </c>
    </row>
    <row r="385" spans="1:12" x14ac:dyDescent="0.3">
      <c r="A385" t="s">
        <v>643</v>
      </c>
      <c r="B385" t="s">
        <v>539</v>
      </c>
      <c r="C385" s="3">
        <v>4.3</v>
      </c>
      <c r="D385" s="3">
        <v>1780</v>
      </c>
      <c r="E385" t="s">
        <v>540</v>
      </c>
      <c r="F385" s="3">
        <v>19.149543300000001</v>
      </c>
      <c r="G385">
        <v>72.831697499999905</v>
      </c>
      <c r="H385">
        <f t="shared" si="25"/>
        <v>7654</v>
      </c>
      <c r="I385" s="3">
        <f t="shared" si="26"/>
        <v>44500</v>
      </c>
      <c r="J385" s="1">
        <f t="shared" si="27"/>
        <v>350</v>
      </c>
      <c r="K385" s="1">
        <f t="shared" si="28"/>
        <v>15575000</v>
      </c>
      <c r="L385" s="2" t="str">
        <f t="shared" si="29"/>
        <v>Popular</v>
      </c>
    </row>
    <row r="386" spans="1:12" x14ac:dyDescent="0.3">
      <c r="A386" t="s">
        <v>643</v>
      </c>
      <c r="B386" t="s">
        <v>683</v>
      </c>
      <c r="C386" s="3">
        <v>4.7</v>
      </c>
      <c r="D386" s="3">
        <v>308</v>
      </c>
      <c r="E386" t="s">
        <v>684</v>
      </c>
      <c r="F386" s="3">
        <v>19.150974399999999</v>
      </c>
      <c r="G386">
        <v>72.8356675</v>
      </c>
      <c r="H386">
        <f t="shared" ref="H386:H449" si="30">C386*D386</f>
        <v>1447.6000000000001</v>
      </c>
      <c r="I386" s="3">
        <f t="shared" ref="I386:I449" si="31">D386*25</f>
        <v>7700</v>
      </c>
      <c r="J386" s="1">
        <f t="shared" ref="J386:J449" si="32">IF(C386&gt;=4.7,550,IF(C386&gt;=4.4,450,IF(C386&gt;=O388,350,250)))</f>
        <v>550</v>
      </c>
      <c r="K386" s="1">
        <f t="shared" ref="K386:K449" si="33">I386*J386</f>
        <v>4235000</v>
      </c>
      <c r="L386" s="2" t="str">
        <f t="shared" ref="L386:L449" si="34">IF(C386&gt;=4.5,"Premium",IF(C386&gt;=4,"Popular","Average"))</f>
        <v>Premium</v>
      </c>
    </row>
    <row r="387" spans="1:12" x14ac:dyDescent="0.3">
      <c r="A387" t="s">
        <v>643</v>
      </c>
      <c r="B387" t="s">
        <v>533</v>
      </c>
      <c r="C387" s="3">
        <v>4.2</v>
      </c>
      <c r="D387" s="3">
        <v>1373</v>
      </c>
      <c r="E387" t="s">
        <v>534</v>
      </c>
      <c r="F387" s="3">
        <v>19.148222100000002</v>
      </c>
      <c r="G387">
        <v>72.831577099999905</v>
      </c>
      <c r="H387">
        <f t="shared" si="30"/>
        <v>5766.6</v>
      </c>
      <c r="I387" s="3">
        <f t="shared" si="31"/>
        <v>34325</v>
      </c>
      <c r="J387" s="1">
        <f t="shared" si="32"/>
        <v>350</v>
      </c>
      <c r="K387" s="1">
        <f t="shared" si="33"/>
        <v>12013750</v>
      </c>
      <c r="L387" s="2" t="str">
        <f t="shared" si="34"/>
        <v>Popular</v>
      </c>
    </row>
    <row r="388" spans="1:12" x14ac:dyDescent="0.3">
      <c r="A388" t="s">
        <v>643</v>
      </c>
      <c r="B388" t="s">
        <v>685</v>
      </c>
      <c r="C388" s="3">
        <v>4.5999999999999996</v>
      </c>
      <c r="D388" s="3">
        <v>105</v>
      </c>
      <c r="E388" t="s">
        <v>686</v>
      </c>
      <c r="F388" s="3">
        <v>19.1622907</v>
      </c>
      <c r="G388">
        <v>72.857105399999995</v>
      </c>
      <c r="H388">
        <f t="shared" si="30"/>
        <v>482.99999999999994</v>
      </c>
      <c r="I388" s="3">
        <f t="shared" si="31"/>
        <v>2625</v>
      </c>
      <c r="J388" s="1">
        <f t="shared" si="32"/>
        <v>450</v>
      </c>
      <c r="K388" s="1">
        <f t="shared" si="33"/>
        <v>1181250</v>
      </c>
      <c r="L388" s="2" t="str">
        <f t="shared" si="34"/>
        <v>Premium</v>
      </c>
    </row>
    <row r="389" spans="1:12" x14ac:dyDescent="0.3">
      <c r="A389" t="s">
        <v>643</v>
      </c>
      <c r="B389" t="s">
        <v>687</v>
      </c>
      <c r="C389" s="3">
        <v>4.0999999999999996</v>
      </c>
      <c r="D389" s="3">
        <v>141</v>
      </c>
      <c r="E389" t="s">
        <v>688</v>
      </c>
      <c r="F389" s="3">
        <v>19.1597887</v>
      </c>
      <c r="G389">
        <v>72.834868</v>
      </c>
      <c r="H389">
        <f t="shared" si="30"/>
        <v>578.09999999999991</v>
      </c>
      <c r="I389" s="3">
        <f t="shared" si="31"/>
        <v>3525</v>
      </c>
      <c r="J389" s="1">
        <f t="shared" si="32"/>
        <v>350</v>
      </c>
      <c r="K389" s="1">
        <f t="shared" si="33"/>
        <v>1233750</v>
      </c>
      <c r="L389" s="2" t="str">
        <f t="shared" si="34"/>
        <v>Popular</v>
      </c>
    </row>
    <row r="390" spans="1:12" x14ac:dyDescent="0.3">
      <c r="A390" t="s">
        <v>643</v>
      </c>
      <c r="B390" t="s">
        <v>689</v>
      </c>
      <c r="C390" s="3">
        <v>4.0999999999999996</v>
      </c>
      <c r="D390" s="3">
        <v>1473</v>
      </c>
      <c r="E390" t="s">
        <v>690</v>
      </c>
      <c r="F390" s="3">
        <v>19.193973799999998</v>
      </c>
      <c r="G390">
        <v>72.837964099999994</v>
      </c>
      <c r="H390">
        <f t="shared" si="30"/>
        <v>6039.2999999999993</v>
      </c>
      <c r="I390" s="3">
        <f t="shared" si="31"/>
        <v>36825</v>
      </c>
      <c r="J390" s="1">
        <f t="shared" si="32"/>
        <v>350</v>
      </c>
      <c r="K390" s="1">
        <f t="shared" si="33"/>
        <v>12888750</v>
      </c>
      <c r="L390" s="2" t="str">
        <f t="shared" si="34"/>
        <v>Popular</v>
      </c>
    </row>
    <row r="391" spans="1:12" x14ac:dyDescent="0.3">
      <c r="A391" t="s">
        <v>643</v>
      </c>
      <c r="B391" t="s">
        <v>53</v>
      </c>
      <c r="C391" s="3">
        <v>4.7</v>
      </c>
      <c r="D391" s="3">
        <v>1110</v>
      </c>
      <c r="E391" t="s">
        <v>572</v>
      </c>
      <c r="F391" s="3">
        <v>19.146611100000001</v>
      </c>
      <c r="G391">
        <v>72.828694999999996</v>
      </c>
      <c r="H391">
        <f t="shared" si="30"/>
        <v>5217</v>
      </c>
      <c r="I391" s="3">
        <f t="shared" si="31"/>
        <v>27750</v>
      </c>
      <c r="J391" s="1">
        <f t="shared" si="32"/>
        <v>550</v>
      </c>
      <c r="K391" s="1">
        <f t="shared" si="33"/>
        <v>15262500</v>
      </c>
      <c r="L391" s="2" t="str">
        <f t="shared" si="34"/>
        <v>Premium</v>
      </c>
    </row>
    <row r="392" spans="1:12" x14ac:dyDescent="0.3">
      <c r="A392" t="s">
        <v>643</v>
      </c>
      <c r="B392" t="s">
        <v>691</v>
      </c>
      <c r="C392" s="3">
        <v>4.5999999999999996</v>
      </c>
      <c r="D392" s="3">
        <v>443</v>
      </c>
      <c r="E392" t="s">
        <v>680</v>
      </c>
      <c r="F392" s="3">
        <v>19.173820500000001</v>
      </c>
      <c r="G392">
        <v>72.861087699999999</v>
      </c>
      <c r="H392">
        <f t="shared" si="30"/>
        <v>2037.8</v>
      </c>
      <c r="I392" s="3">
        <f t="shared" si="31"/>
        <v>11075</v>
      </c>
      <c r="J392" s="1">
        <f t="shared" si="32"/>
        <v>450</v>
      </c>
      <c r="K392" s="1">
        <f t="shared" si="33"/>
        <v>4983750</v>
      </c>
      <c r="L392" s="2" t="str">
        <f t="shared" si="34"/>
        <v>Premium</v>
      </c>
    </row>
    <row r="393" spans="1:12" x14ac:dyDescent="0.3">
      <c r="A393" t="s">
        <v>643</v>
      </c>
      <c r="B393" t="s">
        <v>692</v>
      </c>
      <c r="C393" s="3">
        <v>4.5</v>
      </c>
      <c r="D393" s="3">
        <v>224</v>
      </c>
      <c r="E393" t="s">
        <v>693</v>
      </c>
      <c r="F393" s="3">
        <v>19.196663900000001</v>
      </c>
      <c r="G393">
        <v>72.827389499999995</v>
      </c>
      <c r="H393">
        <f t="shared" si="30"/>
        <v>1008</v>
      </c>
      <c r="I393" s="3">
        <f t="shared" si="31"/>
        <v>5600</v>
      </c>
      <c r="J393" s="1">
        <f t="shared" si="32"/>
        <v>450</v>
      </c>
      <c r="K393" s="1">
        <f t="shared" si="33"/>
        <v>2520000</v>
      </c>
      <c r="L393" s="2" t="str">
        <f t="shared" si="34"/>
        <v>Premium</v>
      </c>
    </row>
    <row r="394" spans="1:12" x14ac:dyDescent="0.3">
      <c r="A394" t="s">
        <v>643</v>
      </c>
      <c r="B394" t="s">
        <v>694</v>
      </c>
      <c r="C394" s="3">
        <v>4.0999999999999996</v>
      </c>
      <c r="D394" s="3">
        <v>2739</v>
      </c>
      <c r="E394" t="s">
        <v>695</v>
      </c>
      <c r="F394" s="3">
        <v>19.185884900000001</v>
      </c>
      <c r="G394">
        <v>72.830240000000003</v>
      </c>
      <c r="H394">
        <f t="shared" si="30"/>
        <v>11229.9</v>
      </c>
      <c r="I394" s="3">
        <f t="shared" si="31"/>
        <v>68475</v>
      </c>
      <c r="J394" s="1">
        <f t="shared" si="32"/>
        <v>350</v>
      </c>
      <c r="K394" s="1">
        <f t="shared" si="33"/>
        <v>23966250</v>
      </c>
      <c r="L394" s="2" t="str">
        <f t="shared" si="34"/>
        <v>Popular</v>
      </c>
    </row>
    <row r="395" spans="1:12" x14ac:dyDescent="0.3">
      <c r="A395" t="s">
        <v>643</v>
      </c>
      <c r="B395" t="s">
        <v>531</v>
      </c>
      <c r="C395" s="3">
        <v>4.3</v>
      </c>
      <c r="D395" s="3">
        <v>2144</v>
      </c>
      <c r="E395" t="s">
        <v>532</v>
      </c>
      <c r="F395" s="3">
        <v>19.137402999999999</v>
      </c>
      <c r="G395">
        <v>72.827039399999904</v>
      </c>
      <c r="H395">
        <f t="shared" si="30"/>
        <v>9219.1999999999989</v>
      </c>
      <c r="I395" s="3">
        <f t="shared" si="31"/>
        <v>53600</v>
      </c>
      <c r="J395" s="1">
        <f t="shared" si="32"/>
        <v>350</v>
      </c>
      <c r="K395" s="1">
        <f t="shared" si="33"/>
        <v>18760000</v>
      </c>
      <c r="L395" s="2" t="str">
        <f t="shared" si="34"/>
        <v>Popular</v>
      </c>
    </row>
    <row r="396" spans="1:12" x14ac:dyDescent="0.3">
      <c r="A396" t="s">
        <v>643</v>
      </c>
      <c r="B396" t="s">
        <v>696</v>
      </c>
      <c r="C396" s="3">
        <v>4.5999999999999996</v>
      </c>
      <c r="D396" s="3">
        <v>28</v>
      </c>
      <c r="E396" t="s">
        <v>697</v>
      </c>
      <c r="F396" s="3">
        <v>19.174382699999999</v>
      </c>
      <c r="G396">
        <v>72.863476199999994</v>
      </c>
      <c r="H396">
        <f t="shared" si="30"/>
        <v>128.79999999999998</v>
      </c>
      <c r="I396" s="3">
        <f t="shared" si="31"/>
        <v>700</v>
      </c>
      <c r="J396" s="1">
        <f t="shared" si="32"/>
        <v>450</v>
      </c>
      <c r="K396" s="1">
        <f t="shared" si="33"/>
        <v>315000</v>
      </c>
      <c r="L396" s="2" t="str">
        <f t="shared" si="34"/>
        <v>Premium</v>
      </c>
    </row>
    <row r="397" spans="1:12" x14ac:dyDescent="0.3">
      <c r="A397" t="s">
        <v>643</v>
      </c>
      <c r="B397" t="s">
        <v>698</v>
      </c>
      <c r="C397" s="3">
        <v>4.2</v>
      </c>
      <c r="D397" s="3">
        <v>400</v>
      </c>
      <c r="E397" t="s">
        <v>699</v>
      </c>
      <c r="F397" s="3">
        <v>19.1770958</v>
      </c>
      <c r="G397">
        <v>72.842085299999994</v>
      </c>
      <c r="H397">
        <f t="shared" si="30"/>
        <v>1680</v>
      </c>
      <c r="I397" s="3">
        <f t="shared" si="31"/>
        <v>10000</v>
      </c>
      <c r="J397" s="1">
        <f t="shared" si="32"/>
        <v>350</v>
      </c>
      <c r="K397" s="1">
        <f t="shared" si="33"/>
        <v>3500000</v>
      </c>
      <c r="L397" s="2" t="str">
        <f t="shared" si="34"/>
        <v>Popular</v>
      </c>
    </row>
    <row r="398" spans="1:12" x14ac:dyDescent="0.3">
      <c r="A398" t="s">
        <v>643</v>
      </c>
      <c r="B398" t="s">
        <v>700</v>
      </c>
      <c r="C398" s="3">
        <v>4.5</v>
      </c>
      <c r="D398" s="3">
        <v>2</v>
      </c>
      <c r="E398" t="s">
        <v>701</v>
      </c>
      <c r="F398" s="3">
        <v>19.1508748</v>
      </c>
      <c r="G398">
        <v>72.887380100000001</v>
      </c>
      <c r="H398">
        <f t="shared" si="30"/>
        <v>9</v>
      </c>
      <c r="I398" s="3">
        <f t="shared" si="31"/>
        <v>50</v>
      </c>
      <c r="J398" s="1">
        <f t="shared" si="32"/>
        <v>450</v>
      </c>
      <c r="K398" s="1">
        <f t="shared" si="33"/>
        <v>22500</v>
      </c>
      <c r="L398" s="2" t="str">
        <f t="shared" si="34"/>
        <v>Premium</v>
      </c>
    </row>
    <row r="399" spans="1:12" x14ac:dyDescent="0.3">
      <c r="A399" t="s">
        <v>643</v>
      </c>
      <c r="B399" t="s">
        <v>702</v>
      </c>
      <c r="C399" s="3">
        <v>4.2</v>
      </c>
      <c r="D399" s="3">
        <v>191</v>
      </c>
      <c r="E399" t="s">
        <v>703</v>
      </c>
      <c r="F399" s="3">
        <v>19.173808000000001</v>
      </c>
      <c r="G399">
        <v>72.860594300000002</v>
      </c>
      <c r="H399">
        <f t="shared" si="30"/>
        <v>802.2</v>
      </c>
      <c r="I399" s="3">
        <f t="shared" si="31"/>
        <v>4775</v>
      </c>
      <c r="J399" s="1">
        <f t="shared" si="32"/>
        <v>350</v>
      </c>
      <c r="K399" s="1">
        <f t="shared" si="33"/>
        <v>1671250</v>
      </c>
      <c r="L399" s="2" t="str">
        <f t="shared" si="34"/>
        <v>Popular</v>
      </c>
    </row>
    <row r="400" spans="1:12" x14ac:dyDescent="0.3">
      <c r="A400" t="s">
        <v>643</v>
      </c>
      <c r="B400" t="s">
        <v>704</v>
      </c>
      <c r="C400" s="3">
        <v>3.6</v>
      </c>
      <c r="D400" s="3">
        <v>242</v>
      </c>
      <c r="E400" t="s">
        <v>705</v>
      </c>
      <c r="F400" s="3">
        <v>19.1730397</v>
      </c>
      <c r="G400">
        <v>72.835895100000002</v>
      </c>
      <c r="H400">
        <f t="shared" si="30"/>
        <v>871.2</v>
      </c>
      <c r="I400" s="3">
        <f t="shared" si="31"/>
        <v>6050</v>
      </c>
      <c r="J400" s="1">
        <f t="shared" si="32"/>
        <v>350</v>
      </c>
      <c r="K400" s="1">
        <f t="shared" si="33"/>
        <v>2117500</v>
      </c>
      <c r="L400" s="2" t="str">
        <f t="shared" si="34"/>
        <v>Average</v>
      </c>
    </row>
    <row r="401" spans="1:12" x14ac:dyDescent="0.3">
      <c r="A401" t="s">
        <v>643</v>
      </c>
      <c r="B401" t="s">
        <v>706</v>
      </c>
      <c r="C401" s="3">
        <v>4.0999999999999996</v>
      </c>
      <c r="D401" s="3">
        <v>1190</v>
      </c>
      <c r="E401" t="s">
        <v>707</v>
      </c>
      <c r="F401" s="3">
        <v>19.1622156</v>
      </c>
      <c r="G401">
        <v>72.857138499999905</v>
      </c>
      <c r="H401">
        <f t="shared" si="30"/>
        <v>4879</v>
      </c>
      <c r="I401" s="3">
        <f t="shared" si="31"/>
        <v>29750</v>
      </c>
      <c r="J401" s="1">
        <f t="shared" si="32"/>
        <v>350</v>
      </c>
      <c r="K401" s="1">
        <f t="shared" si="33"/>
        <v>10412500</v>
      </c>
      <c r="L401" s="2" t="str">
        <f t="shared" si="34"/>
        <v>Popular</v>
      </c>
    </row>
    <row r="402" spans="1:12" x14ac:dyDescent="0.3">
      <c r="A402" t="s">
        <v>643</v>
      </c>
      <c r="B402" t="s">
        <v>53</v>
      </c>
      <c r="C402" s="3">
        <v>4.8</v>
      </c>
      <c r="D402" s="3">
        <v>1114</v>
      </c>
      <c r="E402" t="s">
        <v>708</v>
      </c>
      <c r="F402" s="3">
        <v>19.160822799999998</v>
      </c>
      <c r="G402">
        <v>72.945387199999999</v>
      </c>
      <c r="H402">
        <f t="shared" si="30"/>
        <v>5347.2</v>
      </c>
      <c r="I402" s="3">
        <f t="shared" si="31"/>
        <v>27850</v>
      </c>
      <c r="J402" s="1">
        <f t="shared" si="32"/>
        <v>550</v>
      </c>
      <c r="K402" s="1">
        <f t="shared" si="33"/>
        <v>15317500</v>
      </c>
      <c r="L402" s="2" t="str">
        <f t="shared" si="34"/>
        <v>Premium</v>
      </c>
    </row>
    <row r="403" spans="1:12" x14ac:dyDescent="0.3">
      <c r="A403" t="s">
        <v>643</v>
      </c>
      <c r="B403" t="s">
        <v>709</v>
      </c>
      <c r="C403" s="3">
        <v>5</v>
      </c>
      <c r="D403" s="3">
        <v>1</v>
      </c>
      <c r="E403" t="s">
        <v>710</v>
      </c>
      <c r="F403" s="3">
        <v>19.171024500000001</v>
      </c>
      <c r="G403">
        <v>72.869128000000003</v>
      </c>
      <c r="H403">
        <f t="shared" si="30"/>
        <v>5</v>
      </c>
      <c r="I403" s="3">
        <f t="shared" si="31"/>
        <v>25</v>
      </c>
      <c r="J403" s="1">
        <f t="shared" si="32"/>
        <v>550</v>
      </c>
      <c r="K403" s="1">
        <f t="shared" si="33"/>
        <v>13750</v>
      </c>
      <c r="L403" s="2" t="str">
        <f t="shared" si="34"/>
        <v>Premium</v>
      </c>
    </row>
    <row r="404" spans="1:12" x14ac:dyDescent="0.3">
      <c r="A404" t="s">
        <v>643</v>
      </c>
      <c r="B404" t="s">
        <v>128</v>
      </c>
      <c r="C404" s="3">
        <v>4</v>
      </c>
      <c r="D404" s="3">
        <v>294</v>
      </c>
      <c r="E404" t="s">
        <v>711</v>
      </c>
      <c r="F404" s="3">
        <v>19.1525918</v>
      </c>
      <c r="G404">
        <v>72.855930799999996</v>
      </c>
      <c r="H404">
        <f t="shared" si="30"/>
        <v>1176</v>
      </c>
      <c r="I404" s="3">
        <f t="shared" si="31"/>
        <v>7350</v>
      </c>
      <c r="J404" s="1">
        <f t="shared" si="32"/>
        <v>350</v>
      </c>
      <c r="K404" s="1">
        <f t="shared" si="33"/>
        <v>2572500</v>
      </c>
      <c r="L404" s="2" t="str">
        <f t="shared" si="34"/>
        <v>Popular</v>
      </c>
    </row>
    <row r="405" spans="1:12" x14ac:dyDescent="0.3">
      <c r="A405" t="s">
        <v>643</v>
      </c>
      <c r="B405" t="s">
        <v>712</v>
      </c>
      <c r="C405" s="3">
        <v>4.5</v>
      </c>
      <c r="D405" s="3">
        <v>39</v>
      </c>
      <c r="E405" t="s">
        <v>713</v>
      </c>
      <c r="F405" s="3">
        <v>19.2135535</v>
      </c>
      <c r="G405">
        <v>72.872632400000001</v>
      </c>
      <c r="H405">
        <f t="shared" si="30"/>
        <v>175.5</v>
      </c>
      <c r="I405" s="3">
        <f t="shared" si="31"/>
        <v>975</v>
      </c>
      <c r="J405" s="1">
        <f t="shared" si="32"/>
        <v>450</v>
      </c>
      <c r="K405" s="1">
        <f t="shared" si="33"/>
        <v>438750</v>
      </c>
      <c r="L405" s="2" t="str">
        <f t="shared" si="34"/>
        <v>Premium</v>
      </c>
    </row>
    <row r="406" spans="1:12" x14ac:dyDescent="0.3">
      <c r="A406" t="s">
        <v>643</v>
      </c>
      <c r="B406" t="s">
        <v>639</v>
      </c>
      <c r="C406" s="3">
        <v>4.7</v>
      </c>
      <c r="D406" s="3">
        <v>242</v>
      </c>
      <c r="E406" t="s">
        <v>640</v>
      </c>
      <c r="F406" s="3">
        <v>19.1502813</v>
      </c>
      <c r="G406">
        <v>72.831805899999907</v>
      </c>
      <c r="H406">
        <f t="shared" si="30"/>
        <v>1137.4000000000001</v>
      </c>
      <c r="I406" s="3">
        <f t="shared" si="31"/>
        <v>6050</v>
      </c>
      <c r="J406" s="1">
        <f t="shared" si="32"/>
        <v>550</v>
      </c>
      <c r="K406" s="1">
        <f t="shared" si="33"/>
        <v>3327500</v>
      </c>
      <c r="L406" s="2" t="str">
        <f t="shared" si="34"/>
        <v>Premium</v>
      </c>
    </row>
    <row r="407" spans="1:12" x14ac:dyDescent="0.3">
      <c r="A407" t="s">
        <v>643</v>
      </c>
      <c r="B407" t="s">
        <v>714</v>
      </c>
      <c r="C407" s="3">
        <v>4.8</v>
      </c>
      <c r="D407" s="3">
        <v>17</v>
      </c>
      <c r="E407" t="s">
        <v>715</v>
      </c>
      <c r="F407" s="3">
        <v>19.1721562</v>
      </c>
      <c r="G407">
        <v>72.873487099999906</v>
      </c>
      <c r="H407">
        <f t="shared" si="30"/>
        <v>81.599999999999994</v>
      </c>
      <c r="I407" s="3">
        <f t="shared" si="31"/>
        <v>425</v>
      </c>
      <c r="J407" s="1">
        <f t="shared" si="32"/>
        <v>550</v>
      </c>
      <c r="K407" s="1">
        <f t="shared" si="33"/>
        <v>233750</v>
      </c>
      <c r="L407" s="2" t="str">
        <f t="shared" si="34"/>
        <v>Premium</v>
      </c>
    </row>
    <row r="408" spans="1:12" x14ac:dyDescent="0.3">
      <c r="A408" t="s">
        <v>643</v>
      </c>
      <c r="B408" t="s">
        <v>716</v>
      </c>
      <c r="C408" s="3">
        <v>4.5</v>
      </c>
      <c r="D408" s="3">
        <v>319</v>
      </c>
      <c r="E408" t="s">
        <v>717</v>
      </c>
      <c r="F408" s="3">
        <v>19.1818302</v>
      </c>
      <c r="G408">
        <v>72.853336299999995</v>
      </c>
      <c r="H408">
        <f t="shared" si="30"/>
        <v>1435.5</v>
      </c>
      <c r="I408" s="3">
        <f t="shared" si="31"/>
        <v>7975</v>
      </c>
      <c r="J408" s="1">
        <f t="shared" si="32"/>
        <v>450</v>
      </c>
      <c r="K408" s="1">
        <f t="shared" si="33"/>
        <v>3588750</v>
      </c>
      <c r="L408" s="2" t="str">
        <f t="shared" si="34"/>
        <v>Premium</v>
      </c>
    </row>
    <row r="409" spans="1:12" x14ac:dyDescent="0.3">
      <c r="A409" t="s">
        <v>643</v>
      </c>
      <c r="B409" t="s">
        <v>718</v>
      </c>
      <c r="C409" s="3">
        <v>4.2</v>
      </c>
      <c r="D409" s="3">
        <v>103</v>
      </c>
      <c r="E409" t="s">
        <v>719</v>
      </c>
      <c r="F409" s="3">
        <v>19.147110699999999</v>
      </c>
      <c r="G409">
        <v>72.8310405</v>
      </c>
      <c r="H409">
        <f t="shared" si="30"/>
        <v>432.6</v>
      </c>
      <c r="I409" s="3">
        <f t="shared" si="31"/>
        <v>2575</v>
      </c>
      <c r="J409" s="1">
        <f t="shared" si="32"/>
        <v>350</v>
      </c>
      <c r="K409" s="1">
        <f t="shared" si="33"/>
        <v>901250</v>
      </c>
      <c r="L409" s="2" t="str">
        <f t="shared" si="34"/>
        <v>Popular</v>
      </c>
    </row>
    <row r="410" spans="1:12" x14ac:dyDescent="0.3">
      <c r="A410" t="s">
        <v>643</v>
      </c>
      <c r="B410" t="s">
        <v>479</v>
      </c>
      <c r="C410" s="3">
        <v>4.7</v>
      </c>
      <c r="D410" s="3">
        <v>21</v>
      </c>
      <c r="E410" t="s">
        <v>720</v>
      </c>
      <c r="F410" s="3">
        <v>19.152195899999999</v>
      </c>
      <c r="G410">
        <v>72.854581499999995</v>
      </c>
      <c r="H410">
        <f t="shared" si="30"/>
        <v>98.7</v>
      </c>
      <c r="I410" s="3">
        <f t="shared" si="31"/>
        <v>525</v>
      </c>
      <c r="J410" s="1">
        <f t="shared" si="32"/>
        <v>550</v>
      </c>
      <c r="K410" s="1">
        <f t="shared" si="33"/>
        <v>288750</v>
      </c>
      <c r="L410" s="2" t="str">
        <f t="shared" si="34"/>
        <v>Premium</v>
      </c>
    </row>
    <row r="411" spans="1:12" x14ac:dyDescent="0.3">
      <c r="A411" t="s">
        <v>643</v>
      </c>
      <c r="B411" t="s">
        <v>721</v>
      </c>
      <c r="C411" s="3">
        <v>4</v>
      </c>
      <c r="D411" s="3">
        <v>46</v>
      </c>
      <c r="E411" t="s">
        <v>722</v>
      </c>
      <c r="F411" s="3">
        <v>19.153015400000001</v>
      </c>
      <c r="G411">
        <v>72.884372999999997</v>
      </c>
      <c r="H411">
        <f t="shared" si="30"/>
        <v>184</v>
      </c>
      <c r="I411" s="3">
        <f t="shared" si="31"/>
        <v>1150</v>
      </c>
      <c r="J411" s="1">
        <f t="shared" si="32"/>
        <v>350</v>
      </c>
      <c r="K411" s="1">
        <f t="shared" si="33"/>
        <v>402500</v>
      </c>
      <c r="L411" s="2" t="str">
        <f t="shared" si="34"/>
        <v>Popular</v>
      </c>
    </row>
    <row r="412" spans="1:12" x14ac:dyDescent="0.3">
      <c r="A412" t="s">
        <v>643</v>
      </c>
      <c r="B412" t="s">
        <v>723</v>
      </c>
      <c r="C412" s="3">
        <v>4.3</v>
      </c>
      <c r="D412" s="3">
        <v>212</v>
      </c>
      <c r="E412" t="s">
        <v>724</v>
      </c>
      <c r="F412" s="3">
        <v>19.1494453</v>
      </c>
      <c r="G412">
        <v>72.831244799999993</v>
      </c>
      <c r="H412">
        <f t="shared" si="30"/>
        <v>911.59999999999991</v>
      </c>
      <c r="I412" s="3">
        <f t="shared" si="31"/>
        <v>5300</v>
      </c>
      <c r="J412" s="1">
        <f t="shared" si="32"/>
        <v>350</v>
      </c>
      <c r="K412" s="1">
        <f t="shared" si="33"/>
        <v>1855000</v>
      </c>
      <c r="L412" s="2" t="str">
        <f t="shared" si="34"/>
        <v>Popular</v>
      </c>
    </row>
    <row r="413" spans="1:12" x14ac:dyDescent="0.3">
      <c r="A413" t="s">
        <v>643</v>
      </c>
      <c r="B413" t="s">
        <v>725</v>
      </c>
      <c r="C413" s="3">
        <v>4.8</v>
      </c>
      <c r="D413" s="3">
        <v>122</v>
      </c>
      <c r="E413" t="s">
        <v>726</v>
      </c>
      <c r="F413" s="3">
        <v>19.16329</v>
      </c>
      <c r="G413">
        <v>72.841458099999997</v>
      </c>
      <c r="H413">
        <f t="shared" si="30"/>
        <v>585.6</v>
      </c>
      <c r="I413" s="3">
        <f t="shared" si="31"/>
        <v>3050</v>
      </c>
      <c r="J413" s="1">
        <f t="shared" si="32"/>
        <v>550</v>
      </c>
      <c r="K413" s="1">
        <f t="shared" si="33"/>
        <v>1677500</v>
      </c>
      <c r="L413" s="2" t="str">
        <f t="shared" si="34"/>
        <v>Premium</v>
      </c>
    </row>
    <row r="414" spans="1:12" x14ac:dyDescent="0.3">
      <c r="A414" t="s">
        <v>643</v>
      </c>
      <c r="B414" t="s">
        <v>573</v>
      </c>
      <c r="C414" s="3">
        <v>4.0999999999999996</v>
      </c>
      <c r="D414" s="3">
        <v>958</v>
      </c>
      <c r="E414" t="s">
        <v>574</v>
      </c>
      <c r="F414" s="3">
        <v>19.152528199999999</v>
      </c>
      <c r="G414">
        <v>72.831272400000003</v>
      </c>
      <c r="H414">
        <f t="shared" si="30"/>
        <v>3927.7999999999997</v>
      </c>
      <c r="I414" s="3">
        <f t="shared" si="31"/>
        <v>23950</v>
      </c>
      <c r="J414" s="1">
        <f t="shared" si="32"/>
        <v>350</v>
      </c>
      <c r="K414" s="1">
        <f t="shared" si="33"/>
        <v>8382500</v>
      </c>
      <c r="L414" s="2" t="str">
        <f t="shared" si="34"/>
        <v>Popular</v>
      </c>
    </row>
    <row r="415" spans="1:12" x14ac:dyDescent="0.3">
      <c r="A415" t="s">
        <v>643</v>
      </c>
      <c r="B415" t="s">
        <v>128</v>
      </c>
      <c r="C415" s="3">
        <v>4.3</v>
      </c>
      <c r="D415" s="3">
        <v>1794</v>
      </c>
      <c r="E415" t="s">
        <v>727</v>
      </c>
      <c r="F415" s="3">
        <v>19.172647000000001</v>
      </c>
      <c r="G415">
        <v>72.835402999999999</v>
      </c>
      <c r="H415">
        <f t="shared" si="30"/>
        <v>7714.2</v>
      </c>
      <c r="I415" s="3">
        <f t="shared" si="31"/>
        <v>44850</v>
      </c>
      <c r="J415" s="1">
        <f t="shared" si="32"/>
        <v>350</v>
      </c>
      <c r="K415" s="1">
        <f t="shared" si="33"/>
        <v>15697500</v>
      </c>
      <c r="L415" s="2" t="str">
        <f t="shared" si="34"/>
        <v>Popular</v>
      </c>
    </row>
    <row r="416" spans="1:12" x14ac:dyDescent="0.3">
      <c r="A416" t="s">
        <v>643</v>
      </c>
      <c r="B416" t="s">
        <v>204</v>
      </c>
      <c r="C416" s="3">
        <v>2.9</v>
      </c>
      <c r="D416" s="3">
        <v>19</v>
      </c>
      <c r="E416" t="s">
        <v>728</v>
      </c>
      <c r="F416" s="3">
        <v>19.152671000000002</v>
      </c>
      <c r="G416">
        <v>72.854801399999999</v>
      </c>
      <c r="H416">
        <f t="shared" si="30"/>
        <v>55.1</v>
      </c>
      <c r="I416" s="3">
        <f t="shared" si="31"/>
        <v>475</v>
      </c>
      <c r="J416" s="1">
        <f t="shared" si="32"/>
        <v>350</v>
      </c>
      <c r="K416" s="1">
        <f t="shared" si="33"/>
        <v>166250</v>
      </c>
      <c r="L416" s="2" t="str">
        <f t="shared" si="34"/>
        <v>Average</v>
      </c>
    </row>
    <row r="417" spans="1:12" x14ac:dyDescent="0.3">
      <c r="A417" t="s">
        <v>643</v>
      </c>
      <c r="B417" t="s">
        <v>599</v>
      </c>
      <c r="C417" s="3">
        <v>4.2</v>
      </c>
      <c r="D417" s="3">
        <v>1199</v>
      </c>
      <c r="E417" t="s">
        <v>600</v>
      </c>
      <c r="F417" s="3">
        <v>19.148246</v>
      </c>
      <c r="G417">
        <v>72.831577299999907</v>
      </c>
      <c r="H417">
        <f t="shared" si="30"/>
        <v>5035.8</v>
      </c>
      <c r="I417" s="3">
        <f t="shared" si="31"/>
        <v>29975</v>
      </c>
      <c r="J417" s="1">
        <f t="shared" si="32"/>
        <v>350</v>
      </c>
      <c r="K417" s="1">
        <f t="shared" si="33"/>
        <v>10491250</v>
      </c>
      <c r="L417" s="2" t="str">
        <f t="shared" si="34"/>
        <v>Popular</v>
      </c>
    </row>
    <row r="418" spans="1:12" x14ac:dyDescent="0.3">
      <c r="A418" t="s">
        <v>643</v>
      </c>
      <c r="B418" t="s">
        <v>729</v>
      </c>
      <c r="C418" s="3">
        <v>3.9</v>
      </c>
      <c r="D418" s="3">
        <v>1058</v>
      </c>
      <c r="E418" t="s">
        <v>730</v>
      </c>
      <c r="F418" s="3">
        <v>19.178987100000001</v>
      </c>
      <c r="G418">
        <v>72.835623799999993</v>
      </c>
      <c r="H418">
        <f t="shared" si="30"/>
        <v>4126.2</v>
      </c>
      <c r="I418" s="3">
        <f t="shared" si="31"/>
        <v>26450</v>
      </c>
      <c r="J418" s="1">
        <f t="shared" si="32"/>
        <v>350</v>
      </c>
      <c r="K418" s="1">
        <f t="shared" si="33"/>
        <v>9257500</v>
      </c>
      <c r="L418" s="2" t="str">
        <f t="shared" si="34"/>
        <v>Average</v>
      </c>
    </row>
    <row r="419" spans="1:12" x14ac:dyDescent="0.3">
      <c r="A419" t="s">
        <v>643</v>
      </c>
      <c r="B419" t="s">
        <v>635</v>
      </c>
      <c r="C419" s="3">
        <v>4.9000000000000004</v>
      </c>
      <c r="D419" s="3">
        <v>49</v>
      </c>
      <c r="E419" t="s">
        <v>636</v>
      </c>
      <c r="F419" s="3">
        <v>19.148792400000001</v>
      </c>
      <c r="G419">
        <v>72.832024099999998</v>
      </c>
      <c r="H419">
        <f t="shared" si="30"/>
        <v>240.10000000000002</v>
      </c>
      <c r="I419" s="3">
        <f t="shared" si="31"/>
        <v>1225</v>
      </c>
      <c r="J419" s="1">
        <f t="shared" si="32"/>
        <v>550</v>
      </c>
      <c r="K419" s="1">
        <f t="shared" si="33"/>
        <v>673750</v>
      </c>
      <c r="L419" s="2" t="str">
        <f t="shared" si="34"/>
        <v>Premium</v>
      </c>
    </row>
    <row r="420" spans="1:12" x14ac:dyDescent="0.3">
      <c r="A420" t="s">
        <v>643</v>
      </c>
      <c r="B420" t="s">
        <v>731</v>
      </c>
      <c r="C420" s="3">
        <v>4.4000000000000004</v>
      </c>
      <c r="D420" s="3">
        <v>188</v>
      </c>
      <c r="E420" t="s">
        <v>732</v>
      </c>
      <c r="F420" s="3">
        <v>19.189025000000001</v>
      </c>
      <c r="G420">
        <v>72.833950999999999</v>
      </c>
      <c r="H420">
        <f t="shared" si="30"/>
        <v>827.2</v>
      </c>
      <c r="I420" s="3">
        <f t="shared" si="31"/>
        <v>4700</v>
      </c>
      <c r="J420" s="1">
        <f t="shared" si="32"/>
        <v>450</v>
      </c>
      <c r="K420" s="1">
        <f t="shared" si="33"/>
        <v>2115000</v>
      </c>
      <c r="L420" s="2" t="str">
        <f t="shared" si="34"/>
        <v>Popular</v>
      </c>
    </row>
    <row r="421" spans="1:12" x14ac:dyDescent="0.3">
      <c r="A421" t="s">
        <v>643</v>
      </c>
      <c r="B421" t="s">
        <v>733</v>
      </c>
      <c r="C421" s="3">
        <v>4.4000000000000004</v>
      </c>
      <c r="D421" s="3">
        <v>7</v>
      </c>
      <c r="E421" t="s">
        <v>734</v>
      </c>
      <c r="F421" s="3">
        <v>19.166383100000001</v>
      </c>
      <c r="G421">
        <v>72.8529056</v>
      </c>
      <c r="H421">
        <f t="shared" si="30"/>
        <v>30.800000000000004</v>
      </c>
      <c r="I421" s="3">
        <f t="shared" si="31"/>
        <v>175</v>
      </c>
      <c r="J421" s="1">
        <f t="shared" si="32"/>
        <v>450</v>
      </c>
      <c r="K421" s="1">
        <f t="shared" si="33"/>
        <v>78750</v>
      </c>
      <c r="L421" s="2" t="str">
        <f t="shared" si="34"/>
        <v>Popular</v>
      </c>
    </row>
    <row r="422" spans="1:12" x14ac:dyDescent="0.3">
      <c r="A422" t="s">
        <v>735</v>
      </c>
      <c r="B422" t="s">
        <v>736</v>
      </c>
      <c r="C422" s="3">
        <v>4.2</v>
      </c>
      <c r="D422" s="3">
        <v>1948</v>
      </c>
      <c r="E422" t="s">
        <v>737</v>
      </c>
      <c r="F422" s="3">
        <v>19.223737100000001</v>
      </c>
      <c r="G422">
        <v>72.851815999999999</v>
      </c>
      <c r="H422">
        <f t="shared" si="30"/>
        <v>8181.6</v>
      </c>
      <c r="I422" s="3">
        <f t="shared" si="31"/>
        <v>48700</v>
      </c>
      <c r="J422" s="1">
        <f t="shared" si="32"/>
        <v>350</v>
      </c>
      <c r="K422" s="1">
        <f t="shared" si="33"/>
        <v>17045000</v>
      </c>
      <c r="L422" s="2" t="str">
        <f t="shared" si="34"/>
        <v>Popular</v>
      </c>
    </row>
    <row r="423" spans="1:12" x14ac:dyDescent="0.3">
      <c r="A423" t="s">
        <v>735</v>
      </c>
      <c r="B423" t="s">
        <v>53</v>
      </c>
      <c r="C423" s="3">
        <v>4.8</v>
      </c>
      <c r="D423" s="3">
        <v>1677</v>
      </c>
      <c r="E423" t="s">
        <v>738</v>
      </c>
      <c r="F423" s="3">
        <v>19.2321293</v>
      </c>
      <c r="G423">
        <v>72.852687099999997</v>
      </c>
      <c r="H423">
        <f t="shared" si="30"/>
        <v>8049.5999999999995</v>
      </c>
      <c r="I423" s="3">
        <f t="shared" si="31"/>
        <v>41925</v>
      </c>
      <c r="J423" s="1">
        <f t="shared" si="32"/>
        <v>550</v>
      </c>
      <c r="K423" s="1">
        <f t="shared" si="33"/>
        <v>23058750</v>
      </c>
      <c r="L423" s="2" t="str">
        <f t="shared" si="34"/>
        <v>Premium</v>
      </c>
    </row>
    <row r="424" spans="1:12" x14ac:dyDescent="0.3">
      <c r="A424" t="s">
        <v>735</v>
      </c>
      <c r="B424" t="s">
        <v>739</v>
      </c>
      <c r="C424" s="3">
        <v>4.3</v>
      </c>
      <c r="D424" s="3">
        <v>1001</v>
      </c>
      <c r="E424" t="s">
        <v>740</v>
      </c>
      <c r="F424" s="3">
        <v>19.2497644</v>
      </c>
      <c r="G424">
        <v>72.849020899999999</v>
      </c>
      <c r="H424">
        <f t="shared" si="30"/>
        <v>4304.3</v>
      </c>
      <c r="I424" s="3">
        <f t="shared" si="31"/>
        <v>25025</v>
      </c>
      <c r="J424" s="1">
        <f t="shared" si="32"/>
        <v>350</v>
      </c>
      <c r="K424" s="1">
        <f t="shared" si="33"/>
        <v>8758750</v>
      </c>
      <c r="L424" s="2" t="str">
        <f t="shared" si="34"/>
        <v>Popular</v>
      </c>
    </row>
    <row r="425" spans="1:12" x14ac:dyDescent="0.3">
      <c r="A425" t="s">
        <v>735</v>
      </c>
      <c r="B425" t="s">
        <v>741</v>
      </c>
      <c r="C425" s="3">
        <v>4.5999999999999996</v>
      </c>
      <c r="D425" s="3">
        <v>166</v>
      </c>
      <c r="E425" t="s">
        <v>742</v>
      </c>
      <c r="F425" s="3">
        <v>19.218458999999999</v>
      </c>
      <c r="G425">
        <v>72.838132000000002</v>
      </c>
      <c r="H425">
        <f t="shared" si="30"/>
        <v>763.59999999999991</v>
      </c>
      <c r="I425" s="3">
        <f t="shared" si="31"/>
        <v>4150</v>
      </c>
      <c r="J425" s="1">
        <f t="shared" si="32"/>
        <v>450</v>
      </c>
      <c r="K425" s="1">
        <f t="shared" si="33"/>
        <v>1867500</v>
      </c>
      <c r="L425" s="2" t="str">
        <f t="shared" si="34"/>
        <v>Premium</v>
      </c>
    </row>
    <row r="426" spans="1:12" x14ac:dyDescent="0.3">
      <c r="A426" t="s">
        <v>735</v>
      </c>
      <c r="B426" t="s">
        <v>743</v>
      </c>
      <c r="C426" s="3">
        <v>4</v>
      </c>
      <c r="D426" s="3">
        <v>305</v>
      </c>
      <c r="E426" t="s">
        <v>744</v>
      </c>
      <c r="F426" s="3">
        <v>19.236167399999999</v>
      </c>
      <c r="G426">
        <v>72.837495200000006</v>
      </c>
      <c r="H426">
        <f t="shared" si="30"/>
        <v>1220</v>
      </c>
      <c r="I426" s="3">
        <f t="shared" si="31"/>
        <v>7625</v>
      </c>
      <c r="J426" s="1">
        <f t="shared" si="32"/>
        <v>350</v>
      </c>
      <c r="K426" s="1">
        <f t="shared" si="33"/>
        <v>2668750</v>
      </c>
      <c r="L426" s="2" t="str">
        <f t="shared" si="34"/>
        <v>Popular</v>
      </c>
    </row>
    <row r="427" spans="1:12" x14ac:dyDescent="0.3">
      <c r="A427" t="s">
        <v>735</v>
      </c>
      <c r="B427" t="s">
        <v>53</v>
      </c>
      <c r="C427" s="3">
        <v>4.8</v>
      </c>
      <c r="D427" s="3">
        <v>673</v>
      </c>
      <c r="E427" t="s">
        <v>745</v>
      </c>
      <c r="F427" s="3">
        <v>19.220610400000002</v>
      </c>
      <c r="G427">
        <v>72.850012399999997</v>
      </c>
      <c r="H427">
        <f t="shared" si="30"/>
        <v>3230.4</v>
      </c>
      <c r="I427" s="3">
        <f t="shared" si="31"/>
        <v>16825</v>
      </c>
      <c r="J427" s="1">
        <f t="shared" si="32"/>
        <v>550</v>
      </c>
      <c r="K427" s="1">
        <f t="shared" si="33"/>
        <v>9253750</v>
      </c>
      <c r="L427" s="2" t="str">
        <f t="shared" si="34"/>
        <v>Premium</v>
      </c>
    </row>
    <row r="428" spans="1:12" x14ac:dyDescent="0.3">
      <c r="A428" t="s">
        <v>735</v>
      </c>
      <c r="B428" t="s">
        <v>746</v>
      </c>
      <c r="C428" s="3">
        <v>4.4000000000000004</v>
      </c>
      <c r="D428" s="3">
        <v>626</v>
      </c>
      <c r="E428" t="s">
        <v>747</v>
      </c>
      <c r="F428" s="3">
        <v>19.221572200000001</v>
      </c>
      <c r="G428">
        <v>72.847695299999998</v>
      </c>
      <c r="H428">
        <f t="shared" si="30"/>
        <v>2754.4</v>
      </c>
      <c r="I428" s="3">
        <f t="shared" si="31"/>
        <v>15650</v>
      </c>
      <c r="J428" s="1">
        <f t="shared" si="32"/>
        <v>450</v>
      </c>
      <c r="K428" s="1">
        <f t="shared" si="33"/>
        <v>7042500</v>
      </c>
      <c r="L428" s="2" t="str">
        <f t="shared" si="34"/>
        <v>Popular</v>
      </c>
    </row>
    <row r="429" spans="1:12" x14ac:dyDescent="0.3">
      <c r="A429" t="s">
        <v>735</v>
      </c>
      <c r="B429" t="s">
        <v>748</v>
      </c>
      <c r="C429" s="3">
        <v>4.2</v>
      </c>
      <c r="D429" s="3">
        <v>2009</v>
      </c>
      <c r="E429" t="s">
        <v>749</v>
      </c>
      <c r="F429" s="3">
        <v>19.239304799999999</v>
      </c>
      <c r="G429">
        <v>72.842684399999996</v>
      </c>
      <c r="H429">
        <f t="shared" si="30"/>
        <v>8437.8000000000011</v>
      </c>
      <c r="I429" s="3">
        <f t="shared" si="31"/>
        <v>50225</v>
      </c>
      <c r="J429" s="1">
        <f t="shared" si="32"/>
        <v>350</v>
      </c>
      <c r="K429" s="1">
        <f t="shared" si="33"/>
        <v>17578750</v>
      </c>
      <c r="L429" s="2" t="str">
        <f t="shared" si="34"/>
        <v>Popular</v>
      </c>
    </row>
    <row r="430" spans="1:12" x14ac:dyDescent="0.3">
      <c r="A430" t="s">
        <v>735</v>
      </c>
      <c r="B430" t="s">
        <v>750</v>
      </c>
      <c r="C430" s="3">
        <v>4.2</v>
      </c>
      <c r="D430" s="3">
        <v>1536</v>
      </c>
      <c r="E430" t="s">
        <v>751</v>
      </c>
      <c r="F430" s="3">
        <v>19.220670699999999</v>
      </c>
      <c r="G430">
        <v>72.850291900000002</v>
      </c>
      <c r="H430">
        <f t="shared" si="30"/>
        <v>6451.2000000000007</v>
      </c>
      <c r="I430" s="3">
        <f t="shared" si="31"/>
        <v>38400</v>
      </c>
      <c r="J430" s="1">
        <f t="shared" si="32"/>
        <v>350</v>
      </c>
      <c r="K430" s="1">
        <f t="shared" si="33"/>
        <v>13440000</v>
      </c>
      <c r="L430" s="2" t="str">
        <f t="shared" si="34"/>
        <v>Popular</v>
      </c>
    </row>
    <row r="431" spans="1:12" x14ac:dyDescent="0.3">
      <c r="A431" t="s">
        <v>735</v>
      </c>
      <c r="B431" t="s">
        <v>752</v>
      </c>
      <c r="C431" s="3">
        <v>4</v>
      </c>
      <c r="D431" s="3">
        <v>2072</v>
      </c>
      <c r="E431" t="s">
        <v>753</v>
      </c>
      <c r="F431" s="3">
        <v>19.220461199999999</v>
      </c>
      <c r="G431">
        <v>72.8477259</v>
      </c>
      <c r="H431">
        <f t="shared" si="30"/>
        <v>8288</v>
      </c>
      <c r="I431" s="3">
        <f t="shared" si="31"/>
        <v>51800</v>
      </c>
      <c r="J431" s="1">
        <f t="shared" si="32"/>
        <v>350</v>
      </c>
      <c r="K431" s="1">
        <f t="shared" si="33"/>
        <v>18130000</v>
      </c>
      <c r="L431" s="2" t="str">
        <f t="shared" si="34"/>
        <v>Popular</v>
      </c>
    </row>
    <row r="432" spans="1:12" x14ac:dyDescent="0.3">
      <c r="A432" t="s">
        <v>735</v>
      </c>
      <c r="B432" t="s">
        <v>754</v>
      </c>
      <c r="C432" s="3">
        <v>4</v>
      </c>
      <c r="D432" s="3">
        <v>1648</v>
      </c>
      <c r="E432" t="s">
        <v>755</v>
      </c>
      <c r="F432" s="3">
        <v>19.2284541</v>
      </c>
      <c r="G432">
        <v>72.852663100000001</v>
      </c>
      <c r="H432">
        <f t="shared" si="30"/>
        <v>6592</v>
      </c>
      <c r="I432" s="3">
        <f t="shared" si="31"/>
        <v>41200</v>
      </c>
      <c r="J432" s="1">
        <f t="shared" si="32"/>
        <v>350</v>
      </c>
      <c r="K432" s="1">
        <f t="shared" si="33"/>
        <v>14420000</v>
      </c>
      <c r="L432" s="2" t="str">
        <f t="shared" si="34"/>
        <v>Popular</v>
      </c>
    </row>
    <row r="433" spans="1:12" x14ac:dyDescent="0.3">
      <c r="A433" t="s">
        <v>735</v>
      </c>
      <c r="B433" t="s">
        <v>756</v>
      </c>
      <c r="C433" s="3">
        <v>4.4000000000000004</v>
      </c>
      <c r="D433" s="3">
        <v>501</v>
      </c>
      <c r="E433" t="s">
        <v>757</v>
      </c>
      <c r="F433" s="3">
        <v>19.221299500000001</v>
      </c>
      <c r="G433">
        <v>72.847728799999999</v>
      </c>
      <c r="H433">
        <f t="shared" si="30"/>
        <v>2204.4</v>
      </c>
      <c r="I433" s="3">
        <f t="shared" si="31"/>
        <v>12525</v>
      </c>
      <c r="J433" s="1">
        <f t="shared" si="32"/>
        <v>450</v>
      </c>
      <c r="K433" s="1">
        <f t="shared" si="33"/>
        <v>5636250</v>
      </c>
      <c r="L433" s="2" t="str">
        <f t="shared" si="34"/>
        <v>Popular</v>
      </c>
    </row>
    <row r="434" spans="1:12" x14ac:dyDescent="0.3">
      <c r="A434" t="s">
        <v>735</v>
      </c>
      <c r="B434" t="s">
        <v>758</v>
      </c>
      <c r="C434" s="3">
        <v>4.2</v>
      </c>
      <c r="D434" s="3">
        <v>2721</v>
      </c>
      <c r="E434" t="s">
        <v>759</v>
      </c>
      <c r="F434" s="3">
        <v>19.220981200000001</v>
      </c>
      <c r="G434">
        <v>72.862117400000002</v>
      </c>
      <c r="H434">
        <f t="shared" si="30"/>
        <v>11428.2</v>
      </c>
      <c r="I434" s="3">
        <f t="shared" si="31"/>
        <v>68025</v>
      </c>
      <c r="J434" s="1">
        <f t="shared" si="32"/>
        <v>350</v>
      </c>
      <c r="K434" s="1">
        <f t="shared" si="33"/>
        <v>23808750</v>
      </c>
      <c r="L434" s="2" t="str">
        <f t="shared" si="34"/>
        <v>Popular</v>
      </c>
    </row>
    <row r="435" spans="1:12" x14ac:dyDescent="0.3">
      <c r="A435" t="s">
        <v>735</v>
      </c>
      <c r="B435" t="s">
        <v>760</v>
      </c>
      <c r="C435" s="3">
        <v>4</v>
      </c>
      <c r="D435" s="3">
        <v>2993</v>
      </c>
      <c r="E435" t="s">
        <v>761</v>
      </c>
      <c r="F435" s="3">
        <v>19.220029499999999</v>
      </c>
      <c r="G435">
        <v>72.848031699999893</v>
      </c>
      <c r="H435">
        <f t="shared" si="30"/>
        <v>11972</v>
      </c>
      <c r="I435" s="3">
        <f t="shared" si="31"/>
        <v>74825</v>
      </c>
      <c r="J435" s="1">
        <f t="shared" si="32"/>
        <v>350</v>
      </c>
      <c r="K435" s="1">
        <f t="shared" si="33"/>
        <v>26188750</v>
      </c>
      <c r="L435" s="2" t="str">
        <f t="shared" si="34"/>
        <v>Popular</v>
      </c>
    </row>
    <row r="436" spans="1:12" x14ac:dyDescent="0.3">
      <c r="A436" t="s">
        <v>735</v>
      </c>
      <c r="B436" t="s">
        <v>128</v>
      </c>
      <c r="C436" s="3">
        <v>4.4000000000000004</v>
      </c>
      <c r="D436" s="3">
        <v>3062</v>
      </c>
      <c r="E436" t="s">
        <v>762</v>
      </c>
      <c r="F436" s="3">
        <v>19.241682999999998</v>
      </c>
      <c r="G436">
        <v>72.844860999999995</v>
      </c>
      <c r="H436">
        <f t="shared" si="30"/>
        <v>13472.800000000001</v>
      </c>
      <c r="I436" s="3">
        <f t="shared" si="31"/>
        <v>76550</v>
      </c>
      <c r="J436" s="1">
        <f t="shared" si="32"/>
        <v>450</v>
      </c>
      <c r="K436" s="1">
        <f t="shared" si="33"/>
        <v>34447500</v>
      </c>
      <c r="L436" s="2" t="str">
        <f t="shared" si="34"/>
        <v>Popular</v>
      </c>
    </row>
    <row r="437" spans="1:12" x14ac:dyDescent="0.3">
      <c r="A437" t="s">
        <v>735</v>
      </c>
      <c r="B437" t="s">
        <v>763</v>
      </c>
      <c r="C437" s="3">
        <v>4.7</v>
      </c>
      <c r="D437" s="3">
        <v>361</v>
      </c>
      <c r="E437" t="s">
        <v>764</v>
      </c>
      <c r="F437" s="3">
        <v>19.246457199999998</v>
      </c>
      <c r="G437">
        <v>72.851136699999998</v>
      </c>
      <c r="H437">
        <f t="shared" si="30"/>
        <v>1696.7</v>
      </c>
      <c r="I437" s="3">
        <f t="shared" si="31"/>
        <v>9025</v>
      </c>
      <c r="J437" s="1">
        <f t="shared" si="32"/>
        <v>550</v>
      </c>
      <c r="K437" s="1">
        <f t="shared" si="33"/>
        <v>4963750</v>
      </c>
      <c r="L437" s="2" t="str">
        <f t="shared" si="34"/>
        <v>Premium</v>
      </c>
    </row>
    <row r="438" spans="1:12" x14ac:dyDescent="0.3">
      <c r="A438" t="s">
        <v>735</v>
      </c>
      <c r="B438" t="s">
        <v>765</v>
      </c>
      <c r="C438" s="3">
        <v>4.0999999999999996</v>
      </c>
      <c r="D438" s="3">
        <v>1323</v>
      </c>
      <c r="E438" t="s">
        <v>766</v>
      </c>
      <c r="F438" s="3">
        <v>19.229567400000001</v>
      </c>
      <c r="G438">
        <v>72.852605299999993</v>
      </c>
      <c r="H438">
        <f t="shared" si="30"/>
        <v>5424.2999999999993</v>
      </c>
      <c r="I438" s="3">
        <f t="shared" si="31"/>
        <v>33075</v>
      </c>
      <c r="J438" s="1">
        <f t="shared" si="32"/>
        <v>350</v>
      </c>
      <c r="K438" s="1">
        <f t="shared" si="33"/>
        <v>11576250</v>
      </c>
      <c r="L438" s="2" t="str">
        <f t="shared" si="34"/>
        <v>Popular</v>
      </c>
    </row>
    <row r="439" spans="1:12" x14ac:dyDescent="0.3">
      <c r="A439" t="s">
        <v>735</v>
      </c>
      <c r="B439" t="s">
        <v>767</v>
      </c>
      <c r="C439" s="3">
        <v>4.2</v>
      </c>
      <c r="D439" s="3">
        <v>235</v>
      </c>
      <c r="E439" t="s">
        <v>768</v>
      </c>
      <c r="F439" s="3">
        <v>19.2427311</v>
      </c>
      <c r="G439">
        <v>72.844791499999999</v>
      </c>
      <c r="H439">
        <f t="shared" si="30"/>
        <v>987</v>
      </c>
      <c r="I439" s="3">
        <f t="shared" si="31"/>
        <v>5875</v>
      </c>
      <c r="J439" s="1">
        <f t="shared" si="32"/>
        <v>350</v>
      </c>
      <c r="K439" s="1">
        <f t="shared" si="33"/>
        <v>2056250</v>
      </c>
      <c r="L439" s="2" t="str">
        <f t="shared" si="34"/>
        <v>Popular</v>
      </c>
    </row>
    <row r="440" spans="1:12" x14ac:dyDescent="0.3">
      <c r="A440" t="s">
        <v>735</v>
      </c>
      <c r="B440" t="s">
        <v>769</v>
      </c>
      <c r="C440" s="3">
        <v>4.4000000000000004</v>
      </c>
      <c r="D440" s="3">
        <v>115</v>
      </c>
      <c r="E440" t="s">
        <v>770</v>
      </c>
      <c r="F440" s="3">
        <v>19.248138000000001</v>
      </c>
      <c r="G440">
        <v>72.853431999999998</v>
      </c>
      <c r="H440">
        <f t="shared" si="30"/>
        <v>506.00000000000006</v>
      </c>
      <c r="I440" s="3">
        <f t="shared" si="31"/>
        <v>2875</v>
      </c>
      <c r="J440" s="1">
        <f t="shared" si="32"/>
        <v>450</v>
      </c>
      <c r="K440" s="1">
        <f t="shared" si="33"/>
        <v>1293750</v>
      </c>
      <c r="L440" s="2" t="str">
        <f t="shared" si="34"/>
        <v>Popular</v>
      </c>
    </row>
    <row r="441" spans="1:12" x14ac:dyDescent="0.3">
      <c r="A441" t="s">
        <v>735</v>
      </c>
      <c r="B441" t="s">
        <v>771</v>
      </c>
      <c r="C441" s="3">
        <v>4.4000000000000004</v>
      </c>
      <c r="D441" s="3">
        <v>6031</v>
      </c>
      <c r="E441" t="s">
        <v>772</v>
      </c>
      <c r="F441" s="3">
        <v>19.254640200000001</v>
      </c>
      <c r="G441">
        <v>72.8490824</v>
      </c>
      <c r="H441">
        <f t="shared" si="30"/>
        <v>26536.400000000001</v>
      </c>
      <c r="I441" s="3">
        <f t="shared" si="31"/>
        <v>150775</v>
      </c>
      <c r="J441" s="1">
        <f t="shared" si="32"/>
        <v>450</v>
      </c>
      <c r="K441" s="1">
        <f t="shared" si="33"/>
        <v>67848750</v>
      </c>
      <c r="L441" s="2" t="str">
        <f t="shared" si="34"/>
        <v>Popular</v>
      </c>
    </row>
    <row r="442" spans="1:12" x14ac:dyDescent="0.3">
      <c r="A442" t="s">
        <v>735</v>
      </c>
      <c r="B442" t="s">
        <v>773</v>
      </c>
      <c r="C442" s="3">
        <v>4.8</v>
      </c>
      <c r="D442" s="3">
        <v>2029</v>
      </c>
      <c r="E442" t="s">
        <v>774</v>
      </c>
      <c r="F442" s="3">
        <v>19.220757899999999</v>
      </c>
      <c r="G442">
        <v>72.850186299999905</v>
      </c>
      <c r="H442">
        <f t="shared" si="30"/>
        <v>9739.1999999999989</v>
      </c>
      <c r="I442" s="3">
        <f t="shared" si="31"/>
        <v>50725</v>
      </c>
      <c r="J442" s="1">
        <f t="shared" si="32"/>
        <v>550</v>
      </c>
      <c r="K442" s="1">
        <f t="shared" si="33"/>
        <v>27898750</v>
      </c>
      <c r="L442" s="2" t="str">
        <f t="shared" si="34"/>
        <v>Premium</v>
      </c>
    </row>
    <row r="443" spans="1:12" x14ac:dyDescent="0.3">
      <c r="A443" t="s">
        <v>735</v>
      </c>
      <c r="B443" t="s">
        <v>775</v>
      </c>
      <c r="C443" s="3">
        <v>4.2</v>
      </c>
      <c r="D443" s="3">
        <v>1622</v>
      </c>
      <c r="E443" t="s">
        <v>776</v>
      </c>
      <c r="F443" s="3">
        <v>19.242041400000002</v>
      </c>
      <c r="G443">
        <v>72.845063499999995</v>
      </c>
      <c r="H443">
        <f t="shared" si="30"/>
        <v>6812.4000000000005</v>
      </c>
      <c r="I443" s="3">
        <f t="shared" si="31"/>
        <v>40550</v>
      </c>
      <c r="J443" s="1">
        <f t="shared" si="32"/>
        <v>350</v>
      </c>
      <c r="K443" s="1">
        <f t="shared" si="33"/>
        <v>14192500</v>
      </c>
      <c r="L443" s="2" t="str">
        <f t="shared" si="34"/>
        <v>Popular</v>
      </c>
    </row>
    <row r="444" spans="1:12" x14ac:dyDescent="0.3">
      <c r="A444" t="s">
        <v>735</v>
      </c>
      <c r="B444" t="s">
        <v>777</v>
      </c>
      <c r="C444" s="3">
        <v>4.0999999999999996</v>
      </c>
      <c r="D444" s="3">
        <v>1216</v>
      </c>
      <c r="E444" t="s">
        <v>778</v>
      </c>
      <c r="F444" s="3">
        <v>19.250579099999999</v>
      </c>
      <c r="G444">
        <v>72.846293000000003</v>
      </c>
      <c r="H444">
        <f t="shared" si="30"/>
        <v>4985.5999999999995</v>
      </c>
      <c r="I444" s="3">
        <f t="shared" si="31"/>
        <v>30400</v>
      </c>
      <c r="J444" s="1">
        <f t="shared" si="32"/>
        <v>350</v>
      </c>
      <c r="K444" s="1">
        <f t="shared" si="33"/>
        <v>10640000</v>
      </c>
      <c r="L444" s="2" t="str">
        <f t="shared" si="34"/>
        <v>Popular</v>
      </c>
    </row>
    <row r="445" spans="1:12" x14ac:dyDescent="0.3">
      <c r="A445" t="s">
        <v>735</v>
      </c>
      <c r="B445" t="s">
        <v>729</v>
      </c>
      <c r="C445" s="3">
        <v>4.3</v>
      </c>
      <c r="D445" s="3">
        <v>235</v>
      </c>
      <c r="E445" t="s">
        <v>779</v>
      </c>
      <c r="F445" s="3">
        <v>19.250822500000002</v>
      </c>
      <c r="G445">
        <v>72.846233299999994</v>
      </c>
      <c r="H445">
        <f t="shared" si="30"/>
        <v>1010.5</v>
      </c>
      <c r="I445" s="3">
        <f t="shared" si="31"/>
        <v>5875</v>
      </c>
      <c r="J445" s="1">
        <f t="shared" si="32"/>
        <v>350</v>
      </c>
      <c r="K445" s="1">
        <f t="shared" si="33"/>
        <v>2056250</v>
      </c>
      <c r="L445" s="2" t="str">
        <f t="shared" si="34"/>
        <v>Popular</v>
      </c>
    </row>
    <row r="446" spans="1:12" x14ac:dyDescent="0.3">
      <c r="A446" t="s">
        <v>735</v>
      </c>
      <c r="B446" t="s">
        <v>780</v>
      </c>
      <c r="C446" s="3">
        <v>4.9000000000000004</v>
      </c>
      <c r="D446" s="3">
        <v>156</v>
      </c>
      <c r="E446" t="s">
        <v>781</v>
      </c>
      <c r="F446" s="3">
        <v>19.2280981</v>
      </c>
      <c r="G446">
        <v>72.858189799999906</v>
      </c>
      <c r="H446">
        <f t="shared" si="30"/>
        <v>764.40000000000009</v>
      </c>
      <c r="I446" s="3">
        <f t="shared" si="31"/>
        <v>3900</v>
      </c>
      <c r="J446" s="1">
        <f t="shared" si="32"/>
        <v>550</v>
      </c>
      <c r="K446" s="1">
        <f t="shared" si="33"/>
        <v>2145000</v>
      </c>
      <c r="L446" s="2" t="str">
        <f t="shared" si="34"/>
        <v>Premium</v>
      </c>
    </row>
    <row r="447" spans="1:12" x14ac:dyDescent="0.3">
      <c r="A447" t="s">
        <v>735</v>
      </c>
      <c r="B447" t="s">
        <v>53</v>
      </c>
      <c r="C447" s="3">
        <v>4.7</v>
      </c>
      <c r="D447" s="3">
        <v>1380</v>
      </c>
      <c r="E447" t="s">
        <v>782</v>
      </c>
      <c r="F447" s="3">
        <v>19.213317400000001</v>
      </c>
      <c r="G447">
        <v>72.842260899999999</v>
      </c>
      <c r="H447">
        <f t="shared" si="30"/>
        <v>6486</v>
      </c>
      <c r="I447" s="3">
        <f t="shared" si="31"/>
        <v>34500</v>
      </c>
      <c r="J447" s="1">
        <f t="shared" si="32"/>
        <v>550</v>
      </c>
      <c r="K447" s="1">
        <f t="shared" si="33"/>
        <v>18975000</v>
      </c>
      <c r="L447" s="2" t="str">
        <f t="shared" si="34"/>
        <v>Premium</v>
      </c>
    </row>
    <row r="448" spans="1:12" x14ac:dyDescent="0.3">
      <c r="A448" t="s">
        <v>735</v>
      </c>
      <c r="B448" t="s">
        <v>783</v>
      </c>
      <c r="C448" s="3">
        <v>4.0999999999999996</v>
      </c>
      <c r="D448" s="3">
        <v>4966</v>
      </c>
      <c r="E448" t="s">
        <v>784</v>
      </c>
      <c r="F448" s="3">
        <v>19.223655900000001</v>
      </c>
      <c r="G448">
        <v>72.841161900000003</v>
      </c>
      <c r="H448">
        <f t="shared" si="30"/>
        <v>20360.599999999999</v>
      </c>
      <c r="I448" s="3">
        <f t="shared" si="31"/>
        <v>124150</v>
      </c>
      <c r="J448" s="1">
        <f t="shared" si="32"/>
        <v>350</v>
      </c>
      <c r="K448" s="1">
        <f t="shared" si="33"/>
        <v>43452500</v>
      </c>
      <c r="L448" s="2" t="str">
        <f t="shared" si="34"/>
        <v>Popular</v>
      </c>
    </row>
    <row r="449" spans="1:12" x14ac:dyDescent="0.3">
      <c r="A449" t="s">
        <v>735</v>
      </c>
      <c r="B449" t="s">
        <v>785</v>
      </c>
      <c r="C449" s="3">
        <v>4.5</v>
      </c>
      <c r="D449" s="3">
        <v>483</v>
      </c>
      <c r="E449" t="s">
        <v>786</v>
      </c>
      <c r="F449" s="3">
        <v>19.2427654</v>
      </c>
      <c r="G449">
        <v>72.845858699999994</v>
      </c>
      <c r="H449">
        <f t="shared" si="30"/>
        <v>2173.5</v>
      </c>
      <c r="I449" s="3">
        <f t="shared" si="31"/>
        <v>12075</v>
      </c>
      <c r="J449" s="1">
        <f t="shared" si="32"/>
        <v>450</v>
      </c>
      <c r="K449" s="1">
        <f t="shared" si="33"/>
        <v>5433750</v>
      </c>
      <c r="L449" s="2" t="str">
        <f t="shared" si="34"/>
        <v>Premium</v>
      </c>
    </row>
    <row r="450" spans="1:12" x14ac:dyDescent="0.3">
      <c r="A450" t="s">
        <v>735</v>
      </c>
      <c r="B450" t="s">
        <v>787</v>
      </c>
      <c r="C450" s="3">
        <v>4.5999999999999996</v>
      </c>
      <c r="D450" s="3">
        <v>619</v>
      </c>
      <c r="E450" t="s">
        <v>788</v>
      </c>
      <c r="F450" s="3">
        <v>19.2548934</v>
      </c>
      <c r="G450">
        <v>72.848951599999907</v>
      </c>
      <c r="H450">
        <f t="shared" ref="H450:H513" si="35">C450*D450</f>
        <v>2847.3999999999996</v>
      </c>
      <c r="I450" s="3">
        <f t="shared" ref="I450:I513" si="36">D450*25</f>
        <v>15475</v>
      </c>
      <c r="J450" s="1">
        <f t="shared" ref="J450:J513" si="37">IF(C450&gt;=4.7,550,IF(C450&gt;=4.4,450,IF(C450&gt;=O452,350,250)))</f>
        <v>450</v>
      </c>
      <c r="K450" s="1">
        <f t="shared" ref="K450:K513" si="38">I450*J450</f>
        <v>6963750</v>
      </c>
      <c r="L450" s="2" t="str">
        <f t="shared" ref="L450:L513" si="39">IF(C450&gt;=4.5,"Premium",IF(C450&gt;=4,"Popular","Average"))</f>
        <v>Premium</v>
      </c>
    </row>
    <row r="451" spans="1:12" x14ac:dyDescent="0.3">
      <c r="A451" t="s">
        <v>735</v>
      </c>
      <c r="B451" t="s">
        <v>789</v>
      </c>
      <c r="C451" s="3">
        <v>4.0999999999999996</v>
      </c>
      <c r="D451" s="3">
        <v>540</v>
      </c>
      <c r="E451" t="s">
        <v>790</v>
      </c>
      <c r="F451" s="3">
        <v>19.228558799999998</v>
      </c>
      <c r="G451">
        <v>72.854664599999893</v>
      </c>
      <c r="H451">
        <f t="shared" si="35"/>
        <v>2214</v>
      </c>
      <c r="I451" s="3">
        <f t="shared" si="36"/>
        <v>13500</v>
      </c>
      <c r="J451" s="1">
        <f t="shared" si="37"/>
        <v>350</v>
      </c>
      <c r="K451" s="1">
        <f t="shared" si="38"/>
        <v>4725000</v>
      </c>
      <c r="L451" s="2" t="str">
        <f t="shared" si="39"/>
        <v>Popular</v>
      </c>
    </row>
    <row r="452" spans="1:12" x14ac:dyDescent="0.3">
      <c r="A452" t="s">
        <v>735</v>
      </c>
      <c r="B452" t="s">
        <v>791</v>
      </c>
      <c r="C452" s="3">
        <v>4.5</v>
      </c>
      <c r="D452" s="3">
        <v>67</v>
      </c>
      <c r="E452" t="s">
        <v>792</v>
      </c>
      <c r="F452" s="3">
        <v>19.218018600000001</v>
      </c>
      <c r="G452">
        <v>72.842161099999998</v>
      </c>
      <c r="H452">
        <f t="shared" si="35"/>
        <v>301.5</v>
      </c>
      <c r="I452" s="3">
        <f t="shared" si="36"/>
        <v>1675</v>
      </c>
      <c r="J452" s="1">
        <f t="shared" si="37"/>
        <v>450</v>
      </c>
      <c r="K452" s="1">
        <f t="shared" si="38"/>
        <v>753750</v>
      </c>
      <c r="L452" s="2" t="str">
        <f t="shared" si="39"/>
        <v>Premium</v>
      </c>
    </row>
    <row r="453" spans="1:12" x14ac:dyDescent="0.3">
      <c r="A453" t="s">
        <v>735</v>
      </c>
      <c r="B453" t="s">
        <v>793</v>
      </c>
      <c r="C453" s="3">
        <v>4.8</v>
      </c>
      <c r="D453" s="3">
        <v>101</v>
      </c>
      <c r="E453" t="s">
        <v>794</v>
      </c>
      <c r="F453" s="3">
        <v>19.218133300000002</v>
      </c>
      <c r="G453">
        <v>72.838131399999995</v>
      </c>
      <c r="H453">
        <f t="shared" si="35"/>
        <v>484.79999999999995</v>
      </c>
      <c r="I453" s="3">
        <f t="shared" si="36"/>
        <v>2525</v>
      </c>
      <c r="J453" s="1">
        <f t="shared" si="37"/>
        <v>550</v>
      </c>
      <c r="K453" s="1">
        <f t="shared" si="38"/>
        <v>1388750</v>
      </c>
      <c r="L453" s="2" t="str">
        <f t="shared" si="39"/>
        <v>Premium</v>
      </c>
    </row>
    <row r="454" spans="1:12" x14ac:dyDescent="0.3">
      <c r="A454" t="s">
        <v>735</v>
      </c>
      <c r="B454" t="s">
        <v>795</v>
      </c>
      <c r="C454" s="3">
        <v>4</v>
      </c>
      <c r="D454" s="3">
        <v>205</v>
      </c>
      <c r="E454" t="s">
        <v>796</v>
      </c>
      <c r="F454" s="3">
        <v>19.250371699999999</v>
      </c>
      <c r="G454">
        <v>72.846058799999994</v>
      </c>
      <c r="H454">
        <f t="shared" si="35"/>
        <v>820</v>
      </c>
      <c r="I454" s="3">
        <f t="shared" si="36"/>
        <v>5125</v>
      </c>
      <c r="J454" s="1">
        <f t="shared" si="37"/>
        <v>350</v>
      </c>
      <c r="K454" s="1">
        <f t="shared" si="38"/>
        <v>1793750</v>
      </c>
      <c r="L454" s="2" t="str">
        <f t="shared" si="39"/>
        <v>Popular</v>
      </c>
    </row>
    <row r="455" spans="1:12" x14ac:dyDescent="0.3">
      <c r="A455" t="s">
        <v>735</v>
      </c>
      <c r="B455" t="s">
        <v>797</v>
      </c>
      <c r="C455" s="3">
        <v>4.7</v>
      </c>
      <c r="D455" s="3">
        <v>57</v>
      </c>
      <c r="E455" t="s">
        <v>798</v>
      </c>
      <c r="F455" s="3">
        <v>19.229896499999999</v>
      </c>
      <c r="G455">
        <v>72.862084099999905</v>
      </c>
      <c r="H455">
        <f t="shared" si="35"/>
        <v>267.90000000000003</v>
      </c>
      <c r="I455" s="3">
        <f t="shared" si="36"/>
        <v>1425</v>
      </c>
      <c r="J455" s="1">
        <f t="shared" si="37"/>
        <v>550</v>
      </c>
      <c r="K455" s="1">
        <f t="shared" si="38"/>
        <v>783750</v>
      </c>
      <c r="L455" s="2" t="str">
        <f t="shared" si="39"/>
        <v>Premium</v>
      </c>
    </row>
    <row r="456" spans="1:12" x14ac:dyDescent="0.3">
      <c r="A456" t="s">
        <v>735</v>
      </c>
      <c r="B456" t="s">
        <v>799</v>
      </c>
      <c r="C456" s="3">
        <v>4.2</v>
      </c>
      <c r="D456" s="3">
        <v>2109</v>
      </c>
      <c r="E456" t="s">
        <v>800</v>
      </c>
      <c r="F456" s="3">
        <v>19.214727199999999</v>
      </c>
      <c r="G456">
        <v>72.867216599999907</v>
      </c>
      <c r="H456">
        <f t="shared" si="35"/>
        <v>8857.8000000000011</v>
      </c>
      <c r="I456" s="3">
        <f t="shared" si="36"/>
        <v>52725</v>
      </c>
      <c r="J456" s="1">
        <f t="shared" si="37"/>
        <v>350</v>
      </c>
      <c r="K456" s="1">
        <f t="shared" si="38"/>
        <v>18453750</v>
      </c>
      <c r="L456" s="2" t="str">
        <f t="shared" si="39"/>
        <v>Popular</v>
      </c>
    </row>
    <row r="457" spans="1:12" x14ac:dyDescent="0.3">
      <c r="A457" t="s">
        <v>735</v>
      </c>
      <c r="B457" t="s">
        <v>801</v>
      </c>
      <c r="C457" s="3">
        <v>4.0999999999999996</v>
      </c>
      <c r="D457" s="3">
        <v>57</v>
      </c>
      <c r="E457" t="s">
        <v>802</v>
      </c>
      <c r="F457" s="3">
        <v>19.224091099999999</v>
      </c>
      <c r="G457">
        <v>72.846323900000002</v>
      </c>
      <c r="H457">
        <f t="shared" si="35"/>
        <v>233.7</v>
      </c>
      <c r="I457" s="3">
        <f t="shared" si="36"/>
        <v>1425</v>
      </c>
      <c r="J457" s="1">
        <f t="shared" si="37"/>
        <v>350</v>
      </c>
      <c r="K457" s="1">
        <f t="shared" si="38"/>
        <v>498750</v>
      </c>
      <c r="L457" s="2" t="str">
        <f t="shared" si="39"/>
        <v>Popular</v>
      </c>
    </row>
    <row r="458" spans="1:12" x14ac:dyDescent="0.3">
      <c r="A458" t="s">
        <v>735</v>
      </c>
      <c r="B458" t="s">
        <v>803</v>
      </c>
      <c r="C458" s="3">
        <v>4.2</v>
      </c>
      <c r="D458" s="3">
        <v>317</v>
      </c>
      <c r="E458" t="s">
        <v>804</v>
      </c>
      <c r="F458" s="3">
        <v>19.231347800000002</v>
      </c>
      <c r="G458">
        <v>72.859981899999994</v>
      </c>
      <c r="H458">
        <f t="shared" si="35"/>
        <v>1331.4</v>
      </c>
      <c r="I458" s="3">
        <f t="shared" si="36"/>
        <v>7925</v>
      </c>
      <c r="J458" s="1">
        <f t="shared" si="37"/>
        <v>350</v>
      </c>
      <c r="K458" s="1">
        <f t="shared" si="38"/>
        <v>2773750</v>
      </c>
      <c r="L458" s="2" t="str">
        <f t="shared" si="39"/>
        <v>Popular</v>
      </c>
    </row>
    <row r="459" spans="1:12" x14ac:dyDescent="0.3">
      <c r="A459" t="s">
        <v>735</v>
      </c>
      <c r="B459" t="s">
        <v>805</v>
      </c>
      <c r="C459" s="3">
        <v>4.4000000000000004</v>
      </c>
      <c r="D459" s="3">
        <v>40</v>
      </c>
      <c r="E459" t="s">
        <v>806</v>
      </c>
      <c r="F459" s="3">
        <v>19.2233521</v>
      </c>
      <c r="G459">
        <v>72.841061400000001</v>
      </c>
      <c r="H459">
        <f t="shared" si="35"/>
        <v>176</v>
      </c>
      <c r="I459" s="3">
        <f t="shared" si="36"/>
        <v>1000</v>
      </c>
      <c r="J459" s="1">
        <f t="shared" si="37"/>
        <v>450</v>
      </c>
      <c r="K459" s="1">
        <f t="shared" si="38"/>
        <v>450000</v>
      </c>
      <c r="L459" s="2" t="str">
        <f t="shared" si="39"/>
        <v>Popular</v>
      </c>
    </row>
    <row r="460" spans="1:12" x14ac:dyDescent="0.3">
      <c r="A460" t="s">
        <v>735</v>
      </c>
      <c r="B460" t="s">
        <v>807</v>
      </c>
      <c r="C460" s="3">
        <v>4.4000000000000004</v>
      </c>
      <c r="D460" s="3">
        <v>26</v>
      </c>
      <c r="E460" t="s">
        <v>808</v>
      </c>
      <c r="F460" s="3">
        <v>19.236942299999999</v>
      </c>
      <c r="G460">
        <v>72.853710800000002</v>
      </c>
      <c r="H460">
        <f t="shared" si="35"/>
        <v>114.4</v>
      </c>
      <c r="I460" s="3">
        <f t="shared" si="36"/>
        <v>650</v>
      </c>
      <c r="J460" s="1">
        <f t="shared" si="37"/>
        <v>450</v>
      </c>
      <c r="K460" s="1">
        <f t="shared" si="38"/>
        <v>292500</v>
      </c>
      <c r="L460" s="2" t="str">
        <f t="shared" si="39"/>
        <v>Popular</v>
      </c>
    </row>
    <row r="461" spans="1:12" x14ac:dyDescent="0.3">
      <c r="A461" t="s">
        <v>735</v>
      </c>
      <c r="B461" t="s">
        <v>809</v>
      </c>
      <c r="C461" s="3">
        <v>4.2</v>
      </c>
      <c r="D461" s="3">
        <v>308</v>
      </c>
      <c r="E461" t="s">
        <v>810</v>
      </c>
      <c r="F461" s="3">
        <v>19.239961999999998</v>
      </c>
      <c r="G461">
        <v>72.8392695</v>
      </c>
      <c r="H461">
        <f t="shared" si="35"/>
        <v>1293.6000000000001</v>
      </c>
      <c r="I461" s="3">
        <f t="shared" si="36"/>
        <v>7700</v>
      </c>
      <c r="J461" s="1">
        <f t="shared" si="37"/>
        <v>350</v>
      </c>
      <c r="K461" s="1">
        <f t="shared" si="38"/>
        <v>2695000</v>
      </c>
      <c r="L461" s="2" t="str">
        <f t="shared" si="39"/>
        <v>Popular</v>
      </c>
    </row>
    <row r="462" spans="1:12" x14ac:dyDescent="0.3">
      <c r="A462" t="s">
        <v>735</v>
      </c>
      <c r="B462" t="s">
        <v>811</v>
      </c>
      <c r="C462" s="3">
        <v>4</v>
      </c>
      <c r="D462" s="3">
        <v>1861</v>
      </c>
      <c r="E462" t="s">
        <v>812</v>
      </c>
      <c r="F462" s="3">
        <v>19.2149134</v>
      </c>
      <c r="G462">
        <v>72.868282399999998</v>
      </c>
      <c r="H462">
        <f t="shared" si="35"/>
        <v>7444</v>
      </c>
      <c r="I462" s="3">
        <f t="shared" si="36"/>
        <v>46525</v>
      </c>
      <c r="J462" s="1">
        <f t="shared" si="37"/>
        <v>350</v>
      </c>
      <c r="K462" s="1">
        <f t="shared" si="38"/>
        <v>16283750</v>
      </c>
      <c r="L462" s="2" t="str">
        <f t="shared" si="39"/>
        <v>Popular</v>
      </c>
    </row>
    <row r="463" spans="1:12" x14ac:dyDescent="0.3">
      <c r="A463" t="s">
        <v>735</v>
      </c>
      <c r="B463" t="s">
        <v>813</v>
      </c>
      <c r="C463" s="3">
        <v>4.9000000000000004</v>
      </c>
      <c r="D463" s="3">
        <v>40</v>
      </c>
      <c r="E463" t="s">
        <v>814</v>
      </c>
      <c r="F463" s="3">
        <v>19.2224565</v>
      </c>
      <c r="G463">
        <v>72.849232000000001</v>
      </c>
      <c r="H463">
        <f t="shared" si="35"/>
        <v>196</v>
      </c>
      <c r="I463" s="3">
        <f t="shared" si="36"/>
        <v>1000</v>
      </c>
      <c r="J463" s="1">
        <f t="shared" si="37"/>
        <v>550</v>
      </c>
      <c r="K463" s="1">
        <f t="shared" si="38"/>
        <v>550000</v>
      </c>
      <c r="L463" s="2" t="str">
        <f t="shared" si="39"/>
        <v>Premium</v>
      </c>
    </row>
    <row r="464" spans="1:12" x14ac:dyDescent="0.3">
      <c r="A464" t="s">
        <v>735</v>
      </c>
      <c r="B464" t="s">
        <v>815</v>
      </c>
      <c r="C464" s="3">
        <v>5</v>
      </c>
      <c r="D464" s="3">
        <v>46</v>
      </c>
      <c r="E464" t="s">
        <v>816</v>
      </c>
      <c r="F464" s="3">
        <v>19.222591300000001</v>
      </c>
      <c r="G464">
        <v>72.841161900000003</v>
      </c>
      <c r="H464">
        <f t="shared" si="35"/>
        <v>230</v>
      </c>
      <c r="I464" s="3">
        <f t="shared" si="36"/>
        <v>1150</v>
      </c>
      <c r="J464" s="1">
        <f t="shared" si="37"/>
        <v>550</v>
      </c>
      <c r="K464" s="1">
        <f t="shared" si="38"/>
        <v>632500</v>
      </c>
      <c r="L464" s="2" t="str">
        <f t="shared" si="39"/>
        <v>Premium</v>
      </c>
    </row>
    <row r="465" spans="1:12" x14ac:dyDescent="0.3">
      <c r="A465" t="s">
        <v>735</v>
      </c>
      <c r="B465" t="s">
        <v>817</v>
      </c>
      <c r="C465" s="3">
        <v>3.8</v>
      </c>
      <c r="D465" s="3">
        <v>1399</v>
      </c>
      <c r="E465" t="s">
        <v>818</v>
      </c>
      <c r="F465" s="3">
        <v>19.215497899999999</v>
      </c>
      <c r="G465">
        <v>72.868078999999994</v>
      </c>
      <c r="H465">
        <f t="shared" si="35"/>
        <v>5316.2</v>
      </c>
      <c r="I465" s="3">
        <f t="shared" si="36"/>
        <v>34975</v>
      </c>
      <c r="J465" s="1">
        <f t="shared" si="37"/>
        <v>350</v>
      </c>
      <c r="K465" s="1">
        <f t="shared" si="38"/>
        <v>12241250</v>
      </c>
      <c r="L465" s="2" t="str">
        <f t="shared" si="39"/>
        <v>Average</v>
      </c>
    </row>
    <row r="466" spans="1:12" x14ac:dyDescent="0.3">
      <c r="A466" t="s">
        <v>735</v>
      </c>
      <c r="B466" t="s">
        <v>819</v>
      </c>
      <c r="C466" s="3">
        <v>4.2</v>
      </c>
      <c r="D466" s="3">
        <v>3345</v>
      </c>
      <c r="E466" t="s">
        <v>820</v>
      </c>
      <c r="F466" s="3">
        <v>19.2499985</v>
      </c>
      <c r="G466">
        <v>72.847911799999906</v>
      </c>
      <c r="H466">
        <f t="shared" si="35"/>
        <v>14049</v>
      </c>
      <c r="I466" s="3">
        <f t="shared" si="36"/>
        <v>83625</v>
      </c>
      <c r="J466" s="1">
        <f t="shared" si="37"/>
        <v>350</v>
      </c>
      <c r="K466" s="1">
        <f t="shared" si="38"/>
        <v>29268750</v>
      </c>
      <c r="L466" s="2" t="str">
        <f t="shared" si="39"/>
        <v>Popular</v>
      </c>
    </row>
    <row r="467" spans="1:12" x14ac:dyDescent="0.3">
      <c r="A467" t="s">
        <v>735</v>
      </c>
      <c r="B467" t="s">
        <v>821</v>
      </c>
      <c r="C467" s="3">
        <v>3.7</v>
      </c>
      <c r="D467" s="3">
        <v>849</v>
      </c>
      <c r="E467" t="s">
        <v>822</v>
      </c>
      <c r="F467" s="3">
        <v>19.227692900000001</v>
      </c>
      <c r="G467">
        <v>72.855286499999906</v>
      </c>
      <c r="H467">
        <f t="shared" si="35"/>
        <v>3141.3</v>
      </c>
      <c r="I467" s="3">
        <f t="shared" si="36"/>
        <v>21225</v>
      </c>
      <c r="J467" s="1">
        <f t="shared" si="37"/>
        <v>350</v>
      </c>
      <c r="K467" s="1">
        <f t="shared" si="38"/>
        <v>7428750</v>
      </c>
      <c r="L467" s="2" t="str">
        <f t="shared" si="39"/>
        <v>Average</v>
      </c>
    </row>
    <row r="468" spans="1:12" x14ac:dyDescent="0.3">
      <c r="A468" t="s">
        <v>735</v>
      </c>
      <c r="B468" t="s">
        <v>589</v>
      </c>
      <c r="C468" s="3">
        <v>4.2</v>
      </c>
      <c r="D468" s="3">
        <v>1155</v>
      </c>
      <c r="E468" t="s">
        <v>823</v>
      </c>
      <c r="F468" s="3">
        <v>19.213444800000001</v>
      </c>
      <c r="G468">
        <v>72.838064099999997</v>
      </c>
      <c r="H468">
        <f t="shared" si="35"/>
        <v>4851</v>
      </c>
      <c r="I468" s="3">
        <f t="shared" si="36"/>
        <v>28875</v>
      </c>
      <c r="J468" s="1">
        <f t="shared" si="37"/>
        <v>350</v>
      </c>
      <c r="K468" s="1">
        <f t="shared" si="38"/>
        <v>10106250</v>
      </c>
      <c r="L468" s="2" t="str">
        <f t="shared" si="39"/>
        <v>Popular</v>
      </c>
    </row>
    <row r="469" spans="1:12" x14ac:dyDescent="0.3">
      <c r="A469" t="s">
        <v>735</v>
      </c>
      <c r="B469" t="s">
        <v>824</v>
      </c>
      <c r="C469" s="3">
        <v>4.4000000000000004</v>
      </c>
      <c r="D469" s="3">
        <v>281</v>
      </c>
      <c r="E469" t="s">
        <v>825</v>
      </c>
      <c r="F469" s="3">
        <v>19.2288362</v>
      </c>
      <c r="G469">
        <v>72.857319599999997</v>
      </c>
      <c r="H469">
        <f t="shared" si="35"/>
        <v>1236.4000000000001</v>
      </c>
      <c r="I469" s="3">
        <f t="shared" si="36"/>
        <v>7025</v>
      </c>
      <c r="J469" s="1">
        <f t="shared" si="37"/>
        <v>450</v>
      </c>
      <c r="K469" s="1">
        <f t="shared" si="38"/>
        <v>3161250</v>
      </c>
      <c r="L469" s="2" t="str">
        <f t="shared" si="39"/>
        <v>Popular</v>
      </c>
    </row>
    <row r="470" spans="1:12" x14ac:dyDescent="0.3">
      <c r="A470" t="s">
        <v>735</v>
      </c>
      <c r="B470" t="s">
        <v>826</v>
      </c>
      <c r="C470" s="3">
        <v>4.0999999999999996</v>
      </c>
      <c r="D470" s="3">
        <v>2216</v>
      </c>
      <c r="E470" t="s">
        <v>827</v>
      </c>
      <c r="F470" s="3">
        <v>19.222928400000001</v>
      </c>
      <c r="G470">
        <v>72.854545299999998</v>
      </c>
      <c r="H470">
        <f t="shared" si="35"/>
        <v>9085.5999999999985</v>
      </c>
      <c r="I470" s="3">
        <f t="shared" si="36"/>
        <v>55400</v>
      </c>
      <c r="J470" s="1">
        <f t="shared" si="37"/>
        <v>350</v>
      </c>
      <c r="K470" s="1">
        <f t="shared" si="38"/>
        <v>19390000</v>
      </c>
      <c r="L470" s="2" t="str">
        <f t="shared" si="39"/>
        <v>Popular</v>
      </c>
    </row>
    <row r="471" spans="1:12" x14ac:dyDescent="0.3">
      <c r="A471" t="s">
        <v>735</v>
      </c>
      <c r="B471" t="s">
        <v>828</v>
      </c>
      <c r="C471" s="3">
        <v>4.5999999999999996</v>
      </c>
      <c r="D471" s="3">
        <v>17</v>
      </c>
      <c r="E471" t="s">
        <v>829</v>
      </c>
      <c r="F471" s="3">
        <v>19.2275189</v>
      </c>
      <c r="G471">
        <v>72.849493999999893</v>
      </c>
      <c r="H471">
        <f t="shared" si="35"/>
        <v>78.199999999999989</v>
      </c>
      <c r="I471" s="3">
        <f t="shared" si="36"/>
        <v>425</v>
      </c>
      <c r="J471" s="1">
        <f t="shared" si="37"/>
        <v>450</v>
      </c>
      <c r="K471" s="1">
        <f t="shared" si="38"/>
        <v>191250</v>
      </c>
      <c r="L471" s="2" t="str">
        <f t="shared" si="39"/>
        <v>Premium</v>
      </c>
    </row>
    <row r="472" spans="1:12" x14ac:dyDescent="0.3">
      <c r="A472" t="s">
        <v>735</v>
      </c>
      <c r="B472" t="s">
        <v>830</v>
      </c>
      <c r="C472" s="3">
        <v>4.2</v>
      </c>
      <c r="D472" s="3">
        <v>147</v>
      </c>
      <c r="E472" t="s">
        <v>831</v>
      </c>
      <c r="F472" s="3">
        <v>19.245398999999999</v>
      </c>
      <c r="G472">
        <v>72.850939499999996</v>
      </c>
      <c r="H472">
        <f t="shared" si="35"/>
        <v>617.4</v>
      </c>
      <c r="I472" s="3">
        <f t="shared" si="36"/>
        <v>3675</v>
      </c>
      <c r="J472" s="1">
        <f t="shared" si="37"/>
        <v>350</v>
      </c>
      <c r="K472" s="1">
        <f t="shared" si="38"/>
        <v>1286250</v>
      </c>
      <c r="L472" s="2" t="str">
        <f t="shared" si="39"/>
        <v>Popular</v>
      </c>
    </row>
    <row r="473" spans="1:12" x14ac:dyDescent="0.3">
      <c r="A473" t="s">
        <v>735</v>
      </c>
      <c r="B473" t="s">
        <v>832</v>
      </c>
      <c r="C473" s="3">
        <v>4.4000000000000004</v>
      </c>
      <c r="D473" s="3">
        <v>213</v>
      </c>
      <c r="E473" t="s">
        <v>833</v>
      </c>
      <c r="F473" s="3">
        <v>19.222405500000001</v>
      </c>
      <c r="G473">
        <v>72.848050499999999</v>
      </c>
      <c r="H473">
        <f t="shared" si="35"/>
        <v>937.2</v>
      </c>
      <c r="I473" s="3">
        <f t="shared" si="36"/>
        <v>5325</v>
      </c>
      <c r="J473" s="1">
        <f t="shared" si="37"/>
        <v>450</v>
      </c>
      <c r="K473" s="1">
        <f t="shared" si="38"/>
        <v>2396250</v>
      </c>
      <c r="L473" s="2" t="str">
        <f t="shared" si="39"/>
        <v>Popular</v>
      </c>
    </row>
    <row r="474" spans="1:12" x14ac:dyDescent="0.3">
      <c r="A474" t="s">
        <v>735</v>
      </c>
      <c r="B474" t="s">
        <v>834</v>
      </c>
      <c r="C474" s="3">
        <v>4.8</v>
      </c>
      <c r="D474" s="3">
        <v>19</v>
      </c>
      <c r="E474" t="s">
        <v>835</v>
      </c>
      <c r="F474" s="3">
        <v>19.2179644</v>
      </c>
      <c r="G474">
        <v>72.842257799999999</v>
      </c>
      <c r="H474">
        <f t="shared" si="35"/>
        <v>91.2</v>
      </c>
      <c r="I474" s="3">
        <f t="shared" si="36"/>
        <v>475</v>
      </c>
      <c r="J474" s="1">
        <f t="shared" si="37"/>
        <v>550</v>
      </c>
      <c r="K474" s="1">
        <f t="shared" si="38"/>
        <v>261250</v>
      </c>
      <c r="L474" s="2" t="str">
        <f t="shared" si="39"/>
        <v>Premium</v>
      </c>
    </row>
    <row r="475" spans="1:12" x14ac:dyDescent="0.3">
      <c r="A475" t="s">
        <v>735</v>
      </c>
      <c r="B475" t="s">
        <v>836</v>
      </c>
      <c r="C475" s="3">
        <v>4.0999999999999996</v>
      </c>
      <c r="D475" s="3">
        <v>235</v>
      </c>
      <c r="E475" t="s">
        <v>837</v>
      </c>
      <c r="F475" s="3">
        <v>19.234054</v>
      </c>
      <c r="G475">
        <v>72.853424500000003</v>
      </c>
      <c r="H475">
        <f t="shared" si="35"/>
        <v>963.49999999999989</v>
      </c>
      <c r="I475" s="3">
        <f t="shared" si="36"/>
        <v>5875</v>
      </c>
      <c r="J475" s="1">
        <f t="shared" si="37"/>
        <v>350</v>
      </c>
      <c r="K475" s="1">
        <f t="shared" si="38"/>
        <v>2056250</v>
      </c>
      <c r="L475" s="2" t="str">
        <f t="shared" si="39"/>
        <v>Popular</v>
      </c>
    </row>
    <row r="476" spans="1:12" x14ac:dyDescent="0.3">
      <c r="A476" t="s">
        <v>735</v>
      </c>
      <c r="B476" t="s">
        <v>838</v>
      </c>
      <c r="C476" s="3">
        <v>4.2</v>
      </c>
      <c r="D476" s="3">
        <v>1036</v>
      </c>
      <c r="E476" t="s">
        <v>839</v>
      </c>
      <c r="F476" s="3">
        <v>19.233814500000001</v>
      </c>
      <c r="G476">
        <v>72.853820900000002</v>
      </c>
      <c r="H476">
        <f t="shared" si="35"/>
        <v>4351.2</v>
      </c>
      <c r="I476" s="3">
        <f t="shared" si="36"/>
        <v>25900</v>
      </c>
      <c r="J476" s="1">
        <f t="shared" si="37"/>
        <v>350</v>
      </c>
      <c r="K476" s="1">
        <f t="shared" si="38"/>
        <v>9065000</v>
      </c>
      <c r="L476" s="2" t="str">
        <f t="shared" si="39"/>
        <v>Popular</v>
      </c>
    </row>
    <row r="477" spans="1:12" x14ac:dyDescent="0.3">
      <c r="A477" t="s">
        <v>735</v>
      </c>
      <c r="B477" t="s">
        <v>840</v>
      </c>
      <c r="C477" s="3">
        <v>4.5</v>
      </c>
      <c r="D477" s="3">
        <v>34</v>
      </c>
      <c r="E477" t="s">
        <v>841</v>
      </c>
      <c r="F477" s="3">
        <v>19.250648099999999</v>
      </c>
      <c r="G477">
        <v>72.846229199999996</v>
      </c>
      <c r="H477">
        <f t="shared" si="35"/>
        <v>153</v>
      </c>
      <c r="I477" s="3">
        <f t="shared" si="36"/>
        <v>850</v>
      </c>
      <c r="J477" s="1">
        <f t="shared" si="37"/>
        <v>450</v>
      </c>
      <c r="K477" s="1">
        <f t="shared" si="38"/>
        <v>382500</v>
      </c>
      <c r="L477" s="2" t="str">
        <f t="shared" si="39"/>
        <v>Premium</v>
      </c>
    </row>
    <row r="478" spans="1:12" x14ac:dyDescent="0.3">
      <c r="A478" t="s">
        <v>735</v>
      </c>
      <c r="B478" t="s">
        <v>842</v>
      </c>
      <c r="C478" s="3">
        <v>4.5999999999999996</v>
      </c>
      <c r="D478" s="3">
        <v>390</v>
      </c>
      <c r="E478" t="s">
        <v>843</v>
      </c>
      <c r="F478" s="3">
        <v>19.234904499999999</v>
      </c>
      <c r="G478">
        <v>72.840994199999997</v>
      </c>
      <c r="H478">
        <f t="shared" si="35"/>
        <v>1793.9999999999998</v>
      </c>
      <c r="I478" s="3">
        <f t="shared" si="36"/>
        <v>9750</v>
      </c>
      <c r="J478" s="1">
        <f t="shared" si="37"/>
        <v>450</v>
      </c>
      <c r="K478" s="1">
        <f t="shared" si="38"/>
        <v>4387500</v>
      </c>
      <c r="L478" s="2" t="str">
        <f t="shared" si="39"/>
        <v>Premium</v>
      </c>
    </row>
    <row r="479" spans="1:12" x14ac:dyDescent="0.3">
      <c r="A479" t="s">
        <v>735</v>
      </c>
      <c r="B479" t="s">
        <v>844</v>
      </c>
      <c r="C479" s="3">
        <v>4.2</v>
      </c>
      <c r="D479" s="3">
        <v>9310</v>
      </c>
      <c r="E479" t="s">
        <v>845</v>
      </c>
      <c r="F479" s="3">
        <v>19.220508500000001</v>
      </c>
      <c r="G479">
        <v>72.841148599999997</v>
      </c>
      <c r="H479">
        <f t="shared" si="35"/>
        <v>39102</v>
      </c>
      <c r="I479" s="3">
        <f t="shared" si="36"/>
        <v>232750</v>
      </c>
      <c r="J479" s="1">
        <f t="shared" si="37"/>
        <v>350</v>
      </c>
      <c r="K479" s="1">
        <f t="shared" si="38"/>
        <v>81462500</v>
      </c>
      <c r="L479" s="2" t="str">
        <f t="shared" si="39"/>
        <v>Popular</v>
      </c>
    </row>
    <row r="480" spans="1:12" x14ac:dyDescent="0.3">
      <c r="A480" t="s">
        <v>735</v>
      </c>
      <c r="B480" t="s">
        <v>846</v>
      </c>
      <c r="C480" s="3">
        <v>4.9000000000000004</v>
      </c>
      <c r="D480" s="3">
        <v>13</v>
      </c>
      <c r="E480" t="s">
        <v>847</v>
      </c>
      <c r="F480" s="3">
        <v>19.231182199999999</v>
      </c>
      <c r="G480">
        <v>72.824813699999893</v>
      </c>
      <c r="H480">
        <f t="shared" si="35"/>
        <v>63.7</v>
      </c>
      <c r="I480" s="3">
        <f t="shared" si="36"/>
        <v>325</v>
      </c>
      <c r="J480" s="1">
        <f t="shared" si="37"/>
        <v>550</v>
      </c>
      <c r="K480" s="1">
        <f t="shared" si="38"/>
        <v>178750</v>
      </c>
      <c r="L480" s="2" t="str">
        <f t="shared" si="39"/>
        <v>Premium</v>
      </c>
    </row>
    <row r="481" spans="1:12" x14ac:dyDescent="0.3">
      <c r="A481" t="s">
        <v>735</v>
      </c>
      <c r="B481" t="s">
        <v>848</v>
      </c>
      <c r="C481" s="3">
        <v>4.7</v>
      </c>
      <c r="D481" s="3">
        <v>34</v>
      </c>
      <c r="E481" t="s">
        <v>849</v>
      </c>
      <c r="F481" s="3">
        <v>19.2349076</v>
      </c>
      <c r="G481">
        <v>72.844816499999993</v>
      </c>
      <c r="H481">
        <f t="shared" si="35"/>
        <v>159.80000000000001</v>
      </c>
      <c r="I481" s="3">
        <f t="shared" si="36"/>
        <v>850</v>
      </c>
      <c r="J481" s="1">
        <f t="shared" si="37"/>
        <v>550</v>
      </c>
      <c r="K481" s="1">
        <f t="shared" si="38"/>
        <v>467500</v>
      </c>
      <c r="L481" s="2" t="str">
        <f t="shared" si="39"/>
        <v>Premium</v>
      </c>
    </row>
    <row r="482" spans="1:12" x14ac:dyDescent="0.3">
      <c r="A482" t="s">
        <v>850</v>
      </c>
      <c r="B482" t="s">
        <v>851</v>
      </c>
      <c r="C482" s="3">
        <v>4.0999999999999996</v>
      </c>
      <c r="D482" s="3">
        <v>1240</v>
      </c>
      <c r="E482" t="s">
        <v>852</v>
      </c>
      <c r="F482" s="3">
        <v>19.086548400000002</v>
      </c>
      <c r="G482">
        <v>72.889735399999907</v>
      </c>
      <c r="H482">
        <f t="shared" si="35"/>
        <v>5084</v>
      </c>
      <c r="I482" s="3">
        <f t="shared" si="36"/>
        <v>31000</v>
      </c>
      <c r="J482" s="1">
        <f t="shared" si="37"/>
        <v>350</v>
      </c>
      <c r="K482" s="1">
        <f t="shared" si="38"/>
        <v>10850000</v>
      </c>
      <c r="L482" s="2" t="str">
        <f t="shared" si="39"/>
        <v>Popular</v>
      </c>
    </row>
    <row r="483" spans="1:12" x14ac:dyDescent="0.3">
      <c r="A483" t="s">
        <v>850</v>
      </c>
      <c r="B483" t="s">
        <v>853</v>
      </c>
      <c r="C483" s="3">
        <v>4.5</v>
      </c>
      <c r="D483" s="3">
        <v>2570</v>
      </c>
      <c r="E483" t="s">
        <v>854</v>
      </c>
      <c r="F483" s="3">
        <v>19.067784</v>
      </c>
      <c r="G483">
        <v>72.868971799999997</v>
      </c>
      <c r="H483">
        <f t="shared" si="35"/>
        <v>11565</v>
      </c>
      <c r="I483" s="3">
        <f t="shared" si="36"/>
        <v>64250</v>
      </c>
      <c r="J483" s="1">
        <f t="shared" si="37"/>
        <v>450</v>
      </c>
      <c r="K483" s="1">
        <f t="shared" si="38"/>
        <v>28912500</v>
      </c>
      <c r="L483" s="2" t="str">
        <f t="shared" si="39"/>
        <v>Premium</v>
      </c>
    </row>
    <row r="484" spans="1:12" x14ac:dyDescent="0.3">
      <c r="A484" t="s">
        <v>850</v>
      </c>
      <c r="B484" t="s">
        <v>53</v>
      </c>
      <c r="C484" s="3">
        <v>4.9000000000000004</v>
      </c>
      <c r="D484" s="3">
        <v>420</v>
      </c>
      <c r="E484" t="s">
        <v>855</v>
      </c>
      <c r="F484" s="3">
        <v>19.0718611</v>
      </c>
      <c r="G484">
        <v>72.876555600000003</v>
      </c>
      <c r="H484">
        <f t="shared" si="35"/>
        <v>2058</v>
      </c>
      <c r="I484" s="3">
        <f t="shared" si="36"/>
        <v>10500</v>
      </c>
      <c r="J484" s="1">
        <f t="shared" si="37"/>
        <v>550</v>
      </c>
      <c r="K484" s="1">
        <f t="shared" si="38"/>
        <v>5775000</v>
      </c>
      <c r="L484" s="2" t="str">
        <f t="shared" si="39"/>
        <v>Premium</v>
      </c>
    </row>
    <row r="485" spans="1:12" x14ac:dyDescent="0.3">
      <c r="A485" t="s">
        <v>850</v>
      </c>
      <c r="B485" t="s">
        <v>856</v>
      </c>
      <c r="C485" s="3">
        <v>4.9000000000000004</v>
      </c>
      <c r="D485" s="3">
        <v>94</v>
      </c>
      <c r="E485" t="s">
        <v>857</v>
      </c>
      <c r="F485" s="3">
        <v>19.070182599999999</v>
      </c>
      <c r="G485">
        <v>72.898175600000002</v>
      </c>
      <c r="H485">
        <f t="shared" si="35"/>
        <v>460.6</v>
      </c>
      <c r="I485" s="3">
        <f t="shared" si="36"/>
        <v>2350</v>
      </c>
      <c r="J485" s="1">
        <f t="shared" si="37"/>
        <v>550</v>
      </c>
      <c r="K485" s="1">
        <f t="shared" si="38"/>
        <v>1292500</v>
      </c>
      <c r="L485" s="2" t="str">
        <f t="shared" si="39"/>
        <v>Premium</v>
      </c>
    </row>
    <row r="486" spans="1:12" x14ac:dyDescent="0.3">
      <c r="A486" t="s">
        <v>850</v>
      </c>
      <c r="B486" t="s">
        <v>402</v>
      </c>
      <c r="C486" s="3">
        <v>4.2</v>
      </c>
      <c r="D486" s="3">
        <v>1556</v>
      </c>
      <c r="E486" t="s">
        <v>858</v>
      </c>
      <c r="F486" s="3">
        <v>19.0592644</v>
      </c>
      <c r="G486">
        <v>72.864664199999893</v>
      </c>
      <c r="H486">
        <f t="shared" si="35"/>
        <v>6535.2000000000007</v>
      </c>
      <c r="I486" s="3">
        <f t="shared" si="36"/>
        <v>38900</v>
      </c>
      <c r="J486" s="1">
        <f t="shared" si="37"/>
        <v>350</v>
      </c>
      <c r="K486" s="1">
        <f t="shared" si="38"/>
        <v>13615000</v>
      </c>
      <c r="L486" s="2" t="str">
        <f t="shared" si="39"/>
        <v>Popular</v>
      </c>
    </row>
    <row r="487" spans="1:12" x14ac:dyDescent="0.3">
      <c r="A487" t="s">
        <v>850</v>
      </c>
      <c r="B487" t="s">
        <v>859</v>
      </c>
      <c r="C487" s="3">
        <v>4.9000000000000004</v>
      </c>
      <c r="D487" s="3">
        <v>35</v>
      </c>
      <c r="E487" t="s">
        <v>860</v>
      </c>
      <c r="F487" s="3">
        <v>19.0634038</v>
      </c>
      <c r="G487">
        <v>72.875044799999998</v>
      </c>
      <c r="H487">
        <f t="shared" si="35"/>
        <v>171.5</v>
      </c>
      <c r="I487" s="3">
        <f t="shared" si="36"/>
        <v>875</v>
      </c>
      <c r="J487" s="1">
        <f t="shared" si="37"/>
        <v>550</v>
      </c>
      <c r="K487" s="1">
        <f t="shared" si="38"/>
        <v>481250</v>
      </c>
      <c r="L487" s="2" t="str">
        <f t="shared" si="39"/>
        <v>Premium</v>
      </c>
    </row>
    <row r="488" spans="1:12" x14ac:dyDescent="0.3">
      <c r="A488" t="s">
        <v>850</v>
      </c>
      <c r="B488" t="s">
        <v>861</v>
      </c>
      <c r="C488" s="3">
        <v>4</v>
      </c>
      <c r="D488" s="3">
        <v>1169</v>
      </c>
      <c r="E488" t="s">
        <v>862</v>
      </c>
      <c r="F488" s="3">
        <v>19.0863741</v>
      </c>
      <c r="G488">
        <v>72.889836299999999</v>
      </c>
      <c r="H488">
        <f t="shared" si="35"/>
        <v>4676</v>
      </c>
      <c r="I488" s="3">
        <f t="shared" si="36"/>
        <v>29225</v>
      </c>
      <c r="J488" s="1">
        <f t="shared" si="37"/>
        <v>350</v>
      </c>
      <c r="K488" s="1">
        <f t="shared" si="38"/>
        <v>10228750</v>
      </c>
      <c r="L488" s="2" t="str">
        <f t="shared" si="39"/>
        <v>Popular</v>
      </c>
    </row>
    <row r="489" spans="1:12" x14ac:dyDescent="0.3">
      <c r="A489" t="s">
        <v>850</v>
      </c>
      <c r="B489" t="s">
        <v>863</v>
      </c>
      <c r="C489" s="3">
        <v>4.2</v>
      </c>
      <c r="D489" s="3">
        <v>2002</v>
      </c>
      <c r="E489" t="s">
        <v>864</v>
      </c>
      <c r="F489" s="3">
        <v>19.0635385</v>
      </c>
      <c r="G489">
        <v>72.861966899999999</v>
      </c>
      <c r="H489">
        <f t="shared" si="35"/>
        <v>8408.4</v>
      </c>
      <c r="I489" s="3">
        <f t="shared" si="36"/>
        <v>50050</v>
      </c>
      <c r="J489" s="1">
        <f t="shared" si="37"/>
        <v>350</v>
      </c>
      <c r="K489" s="1">
        <f t="shared" si="38"/>
        <v>17517500</v>
      </c>
      <c r="L489" s="2" t="str">
        <f t="shared" si="39"/>
        <v>Popular</v>
      </c>
    </row>
    <row r="490" spans="1:12" x14ac:dyDescent="0.3">
      <c r="A490" t="s">
        <v>850</v>
      </c>
      <c r="B490" t="s">
        <v>865</v>
      </c>
      <c r="C490" s="3">
        <v>4.2</v>
      </c>
      <c r="D490" s="3">
        <v>742</v>
      </c>
      <c r="E490" t="s">
        <v>866</v>
      </c>
      <c r="F490" s="3">
        <v>19.0865814</v>
      </c>
      <c r="G490">
        <v>72.890038899999993</v>
      </c>
      <c r="H490">
        <f t="shared" si="35"/>
        <v>3116.4</v>
      </c>
      <c r="I490" s="3">
        <f t="shared" si="36"/>
        <v>18550</v>
      </c>
      <c r="J490" s="1">
        <f t="shared" si="37"/>
        <v>350</v>
      </c>
      <c r="K490" s="1">
        <f t="shared" si="38"/>
        <v>6492500</v>
      </c>
      <c r="L490" s="2" t="str">
        <f t="shared" si="39"/>
        <v>Popular</v>
      </c>
    </row>
    <row r="491" spans="1:12" x14ac:dyDescent="0.3">
      <c r="A491" t="s">
        <v>850</v>
      </c>
      <c r="B491" t="s">
        <v>867</v>
      </c>
      <c r="C491" s="3">
        <v>4.5</v>
      </c>
      <c r="D491" s="3">
        <v>2253</v>
      </c>
      <c r="E491" t="s">
        <v>868</v>
      </c>
      <c r="F491" s="3">
        <v>19.070120500000002</v>
      </c>
      <c r="G491">
        <v>72.8975121</v>
      </c>
      <c r="H491">
        <f t="shared" si="35"/>
        <v>10138.5</v>
      </c>
      <c r="I491" s="3">
        <f t="shared" si="36"/>
        <v>56325</v>
      </c>
      <c r="J491" s="1">
        <f t="shared" si="37"/>
        <v>450</v>
      </c>
      <c r="K491" s="1">
        <f t="shared" si="38"/>
        <v>25346250</v>
      </c>
      <c r="L491" s="2" t="str">
        <f t="shared" si="39"/>
        <v>Premium</v>
      </c>
    </row>
    <row r="492" spans="1:12" x14ac:dyDescent="0.3">
      <c r="A492" t="s">
        <v>850</v>
      </c>
      <c r="B492" t="s">
        <v>869</v>
      </c>
      <c r="C492" s="3">
        <v>4.4000000000000004</v>
      </c>
      <c r="D492" s="3">
        <v>55</v>
      </c>
      <c r="E492" t="s">
        <v>870</v>
      </c>
      <c r="F492" s="3">
        <v>19.086154499999999</v>
      </c>
      <c r="G492">
        <v>72.889519899999996</v>
      </c>
      <c r="H492">
        <f t="shared" si="35"/>
        <v>242.00000000000003</v>
      </c>
      <c r="I492" s="3">
        <f t="shared" si="36"/>
        <v>1375</v>
      </c>
      <c r="J492" s="1">
        <f t="shared" si="37"/>
        <v>450</v>
      </c>
      <c r="K492" s="1">
        <f t="shared" si="38"/>
        <v>618750</v>
      </c>
      <c r="L492" s="2" t="str">
        <f t="shared" si="39"/>
        <v>Popular</v>
      </c>
    </row>
    <row r="493" spans="1:12" x14ac:dyDescent="0.3">
      <c r="A493" t="s">
        <v>850</v>
      </c>
      <c r="B493" t="s">
        <v>871</v>
      </c>
      <c r="C493" s="3">
        <v>4.2</v>
      </c>
      <c r="D493" s="3">
        <v>505</v>
      </c>
      <c r="E493" t="s">
        <v>872</v>
      </c>
      <c r="F493" s="3">
        <v>19.083734499999998</v>
      </c>
      <c r="G493">
        <v>72.883161599999994</v>
      </c>
      <c r="H493">
        <f t="shared" si="35"/>
        <v>2121</v>
      </c>
      <c r="I493" s="3">
        <f t="shared" si="36"/>
        <v>12625</v>
      </c>
      <c r="J493" s="1">
        <f t="shared" si="37"/>
        <v>350</v>
      </c>
      <c r="K493" s="1">
        <f t="shared" si="38"/>
        <v>4418750</v>
      </c>
      <c r="L493" s="2" t="str">
        <f t="shared" si="39"/>
        <v>Popular</v>
      </c>
    </row>
    <row r="494" spans="1:12" x14ac:dyDescent="0.3">
      <c r="A494" t="s">
        <v>850</v>
      </c>
      <c r="B494" t="s">
        <v>873</v>
      </c>
      <c r="C494" s="3">
        <v>4.8</v>
      </c>
      <c r="D494" s="3">
        <v>71</v>
      </c>
      <c r="E494" t="s">
        <v>874</v>
      </c>
      <c r="F494" s="3">
        <v>19.080453299999999</v>
      </c>
      <c r="G494">
        <v>72.889644500000003</v>
      </c>
      <c r="H494">
        <f t="shared" si="35"/>
        <v>340.8</v>
      </c>
      <c r="I494" s="3">
        <f t="shared" si="36"/>
        <v>1775</v>
      </c>
      <c r="J494" s="1">
        <f t="shared" si="37"/>
        <v>550</v>
      </c>
      <c r="K494" s="1">
        <f t="shared" si="38"/>
        <v>976250</v>
      </c>
      <c r="L494" s="2" t="str">
        <f t="shared" si="39"/>
        <v>Premium</v>
      </c>
    </row>
    <row r="495" spans="1:12" x14ac:dyDescent="0.3">
      <c r="A495" t="s">
        <v>850</v>
      </c>
      <c r="B495" t="s">
        <v>875</v>
      </c>
      <c r="C495" s="3">
        <v>4.2</v>
      </c>
      <c r="D495" s="3">
        <v>52</v>
      </c>
      <c r="E495" t="s">
        <v>876</v>
      </c>
      <c r="F495" s="3">
        <v>19.0624623</v>
      </c>
      <c r="G495">
        <v>72.876644499999998</v>
      </c>
      <c r="H495">
        <f t="shared" si="35"/>
        <v>218.4</v>
      </c>
      <c r="I495" s="3">
        <f t="shared" si="36"/>
        <v>1300</v>
      </c>
      <c r="J495" s="1">
        <f t="shared" si="37"/>
        <v>350</v>
      </c>
      <c r="K495" s="1">
        <f t="shared" si="38"/>
        <v>455000</v>
      </c>
      <c r="L495" s="2" t="str">
        <f t="shared" si="39"/>
        <v>Popular</v>
      </c>
    </row>
    <row r="496" spans="1:12" x14ac:dyDescent="0.3">
      <c r="A496" t="s">
        <v>850</v>
      </c>
      <c r="B496" t="s">
        <v>314</v>
      </c>
      <c r="C496" s="3">
        <v>4.3</v>
      </c>
      <c r="D496" s="3">
        <v>283</v>
      </c>
      <c r="E496" t="s">
        <v>877</v>
      </c>
      <c r="F496" s="3">
        <v>19.085432999999998</v>
      </c>
      <c r="G496">
        <v>72.887681299999997</v>
      </c>
      <c r="H496">
        <f t="shared" si="35"/>
        <v>1216.8999999999999</v>
      </c>
      <c r="I496" s="3">
        <f t="shared" si="36"/>
        <v>7075</v>
      </c>
      <c r="J496" s="1">
        <f t="shared" si="37"/>
        <v>350</v>
      </c>
      <c r="K496" s="1">
        <f t="shared" si="38"/>
        <v>2476250</v>
      </c>
      <c r="L496" s="2" t="str">
        <f t="shared" si="39"/>
        <v>Popular</v>
      </c>
    </row>
    <row r="497" spans="1:12" x14ac:dyDescent="0.3">
      <c r="A497" t="s">
        <v>850</v>
      </c>
      <c r="B497" t="s">
        <v>878</v>
      </c>
      <c r="C497" s="3">
        <v>4.7</v>
      </c>
      <c r="D497" s="3">
        <v>49</v>
      </c>
      <c r="E497" t="s">
        <v>879</v>
      </c>
      <c r="F497" s="3">
        <v>19.073816000000001</v>
      </c>
      <c r="G497">
        <v>72.8817193</v>
      </c>
      <c r="H497">
        <f t="shared" si="35"/>
        <v>230.3</v>
      </c>
      <c r="I497" s="3">
        <f t="shared" si="36"/>
        <v>1225</v>
      </c>
      <c r="J497" s="1">
        <f t="shared" si="37"/>
        <v>550</v>
      </c>
      <c r="K497" s="1">
        <f t="shared" si="38"/>
        <v>673750</v>
      </c>
      <c r="L497" s="2" t="str">
        <f t="shared" si="39"/>
        <v>Premium</v>
      </c>
    </row>
    <row r="498" spans="1:12" x14ac:dyDescent="0.3">
      <c r="A498" t="s">
        <v>850</v>
      </c>
      <c r="B498" t="s">
        <v>880</v>
      </c>
      <c r="C498" s="3">
        <v>4.0999999999999996</v>
      </c>
      <c r="D498" s="3">
        <v>646</v>
      </c>
      <c r="E498" t="s">
        <v>881</v>
      </c>
      <c r="F498" s="3">
        <v>19.0766195</v>
      </c>
      <c r="G498">
        <v>72.880073699999997</v>
      </c>
      <c r="H498">
        <f t="shared" si="35"/>
        <v>2648.6</v>
      </c>
      <c r="I498" s="3">
        <f t="shared" si="36"/>
        <v>16150</v>
      </c>
      <c r="J498" s="1">
        <f t="shared" si="37"/>
        <v>350</v>
      </c>
      <c r="K498" s="1">
        <f t="shared" si="38"/>
        <v>5652500</v>
      </c>
      <c r="L498" s="2" t="str">
        <f t="shared" si="39"/>
        <v>Popular</v>
      </c>
    </row>
    <row r="499" spans="1:12" x14ac:dyDescent="0.3">
      <c r="A499" t="s">
        <v>850</v>
      </c>
      <c r="B499" t="s">
        <v>145</v>
      </c>
      <c r="C499" s="3">
        <v>3.9</v>
      </c>
      <c r="D499" s="3">
        <v>554</v>
      </c>
      <c r="E499" t="s">
        <v>882</v>
      </c>
      <c r="F499" s="3">
        <v>19.0866319</v>
      </c>
      <c r="G499">
        <v>72.889421999999996</v>
      </c>
      <c r="H499">
        <f t="shared" si="35"/>
        <v>2160.6</v>
      </c>
      <c r="I499" s="3">
        <f t="shared" si="36"/>
        <v>13850</v>
      </c>
      <c r="J499" s="1">
        <f t="shared" si="37"/>
        <v>350</v>
      </c>
      <c r="K499" s="1">
        <f t="shared" si="38"/>
        <v>4847500</v>
      </c>
      <c r="L499" s="2" t="str">
        <f t="shared" si="39"/>
        <v>Average</v>
      </c>
    </row>
    <row r="500" spans="1:12" x14ac:dyDescent="0.3">
      <c r="A500" t="s">
        <v>850</v>
      </c>
      <c r="B500" t="s">
        <v>883</v>
      </c>
      <c r="C500" s="3">
        <v>4.9000000000000004</v>
      </c>
      <c r="D500" s="3">
        <v>26</v>
      </c>
      <c r="E500" t="s">
        <v>884</v>
      </c>
      <c r="F500" s="3">
        <v>19.086236499999998</v>
      </c>
      <c r="G500">
        <v>72.890171100000003</v>
      </c>
      <c r="H500">
        <f t="shared" si="35"/>
        <v>127.4</v>
      </c>
      <c r="I500" s="3">
        <f t="shared" si="36"/>
        <v>650</v>
      </c>
      <c r="J500" s="1">
        <f t="shared" si="37"/>
        <v>550</v>
      </c>
      <c r="K500" s="1">
        <f t="shared" si="38"/>
        <v>357500</v>
      </c>
      <c r="L500" s="2" t="str">
        <f t="shared" si="39"/>
        <v>Premium</v>
      </c>
    </row>
    <row r="501" spans="1:12" x14ac:dyDescent="0.3">
      <c r="A501" t="s">
        <v>850</v>
      </c>
      <c r="B501" t="s">
        <v>128</v>
      </c>
      <c r="C501" s="3">
        <v>4.4000000000000004</v>
      </c>
      <c r="D501" s="3">
        <v>1594</v>
      </c>
      <c r="E501" t="s">
        <v>885</v>
      </c>
      <c r="F501" s="3">
        <v>19.086688599999999</v>
      </c>
      <c r="G501">
        <v>72.890236599999994</v>
      </c>
      <c r="H501">
        <f t="shared" si="35"/>
        <v>7013.6</v>
      </c>
      <c r="I501" s="3">
        <f t="shared" si="36"/>
        <v>39850</v>
      </c>
      <c r="J501" s="1">
        <f t="shared" si="37"/>
        <v>450</v>
      </c>
      <c r="K501" s="1">
        <f t="shared" si="38"/>
        <v>17932500</v>
      </c>
      <c r="L501" s="2" t="str">
        <f t="shared" si="39"/>
        <v>Popular</v>
      </c>
    </row>
    <row r="502" spans="1:12" x14ac:dyDescent="0.3">
      <c r="A502" t="s">
        <v>850</v>
      </c>
      <c r="B502" t="s">
        <v>886</v>
      </c>
      <c r="C502" s="3">
        <v>4.3</v>
      </c>
      <c r="D502" s="3">
        <v>2600</v>
      </c>
      <c r="E502" t="s">
        <v>887</v>
      </c>
      <c r="F502" s="3">
        <v>19.086301599999999</v>
      </c>
      <c r="G502">
        <v>72.888437499999995</v>
      </c>
      <c r="H502">
        <f t="shared" si="35"/>
        <v>11180</v>
      </c>
      <c r="I502" s="3">
        <f t="shared" si="36"/>
        <v>65000</v>
      </c>
      <c r="J502" s="1">
        <f t="shared" si="37"/>
        <v>350</v>
      </c>
      <c r="K502" s="1">
        <f t="shared" si="38"/>
        <v>22750000</v>
      </c>
      <c r="L502" s="2" t="str">
        <f t="shared" si="39"/>
        <v>Popular</v>
      </c>
    </row>
    <row r="503" spans="1:12" x14ac:dyDescent="0.3">
      <c r="A503" t="s">
        <v>850</v>
      </c>
      <c r="B503" t="s">
        <v>888</v>
      </c>
      <c r="C503" s="3">
        <v>4.2</v>
      </c>
      <c r="D503" s="3">
        <v>49</v>
      </c>
      <c r="E503" t="s">
        <v>889</v>
      </c>
      <c r="F503" s="3">
        <v>19.086811300000001</v>
      </c>
      <c r="G503">
        <v>72.890064199999998</v>
      </c>
      <c r="H503">
        <f t="shared" si="35"/>
        <v>205.8</v>
      </c>
      <c r="I503" s="3">
        <f t="shared" si="36"/>
        <v>1225</v>
      </c>
      <c r="J503" s="1">
        <f t="shared" si="37"/>
        <v>350</v>
      </c>
      <c r="K503" s="1">
        <f t="shared" si="38"/>
        <v>428750</v>
      </c>
      <c r="L503" s="2" t="str">
        <f t="shared" si="39"/>
        <v>Popular</v>
      </c>
    </row>
    <row r="504" spans="1:12" x14ac:dyDescent="0.3">
      <c r="A504" t="s">
        <v>850</v>
      </c>
      <c r="B504" t="s">
        <v>890</v>
      </c>
      <c r="C504" s="3">
        <v>4.9000000000000004</v>
      </c>
      <c r="D504" s="3">
        <v>26</v>
      </c>
      <c r="E504" t="s">
        <v>891</v>
      </c>
      <c r="F504" s="3">
        <v>19.061946800000001</v>
      </c>
      <c r="G504">
        <v>72.8833032</v>
      </c>
      <c r="H504">
        <f t="shared" si="35"/>
        <v>127.4</v>
      </c>
      <c r="I504" s="3">
        <f t="shared" si="36"/>
        <v>650</v>
      </c>
      <c r="J504" s="1">
        <f t="shared" si="37"/>
        <v>550</v>
      </c>
      <c r="K504" s="1">
        <f t="shared" si="38"/>
        <v>357500</v>
      </c>
      <c r="L504" s="2" t="str">
        <f t="shared" si="39"/>
        <v>Premium</v>
      </c>
    </row>
    <row r="505" spans="1:12" x14ac:dyDescent="0.3">
      <c r="A505" t="s">
        <v>850</v>
      </c>
      <c r="B505" t="s">
        <v>892</v>
      </c>
      <c r="C505" s="3">
        <v>5</v>
      </c>
      <c r="D505" s="3">
        <v>25</v>
      </c>
      <c r="E505" t="s">
        <v>893</v>
      </c>
      <c r="F505" s="3">
        <v>19.070233300000002</v>
      </c>
      <c r="G505">
        <v>72.875476800000001</v>
      </c>
      <c r="H505">
        <f t="shared" si="35"/>
        <v>125</v>
      </c>
      <c r="I505" s="3">
        <f t="shared" si="36"/>
        <v>625</v>
      </c>
      <c r="J505" s="1">
        <f t="shared" si="37"/>
        <v>550</v>
      </c>
      <c r="K505" s="1">
        <f t="shared" si="38"/>
        <v>343750</v>
      </c>
      <c r="L505" s="2" t="str">
        <f t="shared" si="39"/>
        <v>Premium</v>
      </c>
    </row>
    <row r="506" spans="1:12" x14ac:dyDescent="0.3">
      <c r="A506" t="s">
        <v>850</v>
      </c>
      <c r="B506" t="s">
        <v>894</v>
      </c>
      <c r="C506" s="3">
        <v>3.9</v>
      </c>
      <c r="D506" s="3">
        <v>1394</v>
      </c>
      <c r="E506" t="s">
        <v>895</v>
      </c>
      <c r="F506" s="3">
        <v>19.059376799999999</v>
      </c>
      <c r="G506">
        <v>72.865386099999995</v>
      </c>
      <c r="H506">
        <f t="shared" si="35"/>
        <v>5436.5999999999995</v>
      </c>
      <c r="I506" s="3">
        <f t="shared" si="36"/>
        <v>34850</v>
      </c>
      <c r="J506" s="1">
        <f t="shared" si="37"/>
        <v>350</v>
      </c>
      <c r="K506" s="1">
        <f t="shared" si="38"/>
        <v>12197500</v>
      </c>
      <c r="L506" s="2" t="str">
        <f t="shared" si="39"/>
        <v>Average</v>
      </c>
    </row>
    <row r="507" spans="1:12" x14ac:dyDescent="0.3">
      <c r="A507" t="s">
        <v>850</v>
      </c>
      <c r="B507" t="s">
        <v>896</v>
      </c>
      <c r="C507" s="3">
        <v>4.3</v>
      </c>
      <c r="D507" s="3">
        <v>5139</v>
      </c>
      <c r="E507" t="s">
        <v>897</v>
      </c>
      <c r="F507" s="3">
        <v>19.059371800000001</v>
      </c>
      <c r="G507">
        <v>72.865197600000002</v>
      </c>
      <c r="H507">
        <f t="shared" si="35"/>
        <v>22097.7</v>
      </c>
      <c r="I507" s="3">
        <f t="shared" si="36"/>
        <v>128475</v>
      </c>
      <c r="J507" s="1">
        <f t="shared" si="37"/>
        <v>350</v>
      </c>
      <c r="K507" s="1">
        <f t="shared" si="38"/>
        <v>44966250</v>
      </c>
      <c r="L507" s="2" t="str">
        <f t="shared" si="39"/>
        <v>Popular</v>
      </c>
    </row>
    <row r="508" spans="1:12" x14ac:dyDescent="0.3">
      <c r="A508" t="s">
        <v>850</v>
      </c>
      <c r="B508" t="s">
        <v>53</v>
      </c>
      <c r="C508" s="3">
        <v>4.7</v>
      </c>
      <c r="D508" s="3">
        <v>170</v>
      </c>
      <c r="E508" t="s">
        <v>898</v>
      </c>
      <c r="F508" s="3">
        <v>19.068366099999999</v>
      </c>
      <c r="G508">
        <v>72.868303799999893</v>
      </c>
      <c r="H508">
        <f t="shared" si="35"/>
        <v>799</v>
      </c>
      <c r="I508" s="3">
        <f t="shared" si="36"/>
        <v>4250</v>
      </c>
      <c r="J508" s="1">
        <f t="shared" si="37"/>
        <v>550</v>
      </c>
      <c r="K508" s="1">
        <f t="shared" si="38"/>
        <v>2337500</v>
      </c>
      <c r="L508" s="2" t="str">
        <f t="shared" si="39"/>
        <v>Premium</v>
      </c>
    </row>
    <row r="509" spans="1:12" x14ac:dyDescent="0.3">
      <c r="A509" t="s">
        <v>850</v>
      </c>
      <c r="B509" t="s">
        <v>899</v>
      </c>
      <c r="C509" s="3">
        <v>4.8</v>
      </c>
      <c r="D509" s="3">
        <v>43</v>
      </c>
      <c r="E509" t="s">
        <v>900</v>
      </c>
      <c r="F509" s="3">
        <v>19.065328900000001</v>
      </c>
      <c r="G509">
        <v>72.875344299999995</v>
      </c>
      <c r="H509">
        <f t="shared" si="35"/>
        <v>206.4</v>
      </c>
      <c r="I509" s="3">
        <f t="shared" si="36"/>
        <v>1075</v>
      </c>
      <c r="J509" s="1">
        <f t="shared" si="37"/>
        <v>550</v>
      </c>
      <c r="K509" s="1">
        <f t="shared" si="38"/>
        <v>591250</v>
      </c>
      <c r="L509" s="2" t="str">
        <f t="shared" si="39"/>
        <v>Premium</v>
      </c>
    </row>
    <row r="510" spans="1:12" x14ac:dyDescent="0.3">
      <c r="A510" t="s">
        <v>850</v>
      </c>
      <c r="B510" t="s">
        <v>901</v>
      </c>
      <c r="C510" s="3">
        <v>4.0999999999999996</v>
      </c>
      <c r="D510" s="3">
        <v>399</v>
      </c>
      <c r="E510" t="s">
        <v>902</v>
      </c>
      <c r="F510" s="3">
        <v>19.060616700000001</v>
      </c>
      <c r="G510">
        <v>72.8646928</v>
      </c>
      <c r="H510">
        <f t="shared" si="35"/>
        <v>1635.8999999999999</v>
      </c>
      <c r="I510" s="3">
        <f t="shared" si="36"/>
        <v>9975</v>
      </c>
      <c r="J510" s="1">
        <f t="shared" si="37"/>
        <v>350</v>
      </c>
      <c r="K510" s="1">
        <f t="shared" si="38"/>
        <v>3491250</v>
      </c>
      <c r="L510" s="2" t="str">
        <f t="shared" si="39"/>
        <v>Popular</v>
      </c>
    </row>
    <row r="511" spans="1:12" x14ac:dyDescent="0.3">
      <c r="A511" t="s">
        <v>850</v>
      </c>
      <c r="B511" t="s">
        <v>903</v>
      </c>
      <c r="C511" s="3">
        <v>4.5</v>
      </c>
      <c r="D511" s="3">
        <v>42</v>
      </c>
      <c r="E511" t="s">
        <v>904</v>
      </c>
      <c r="F511" s="3">
        <v>19.075983699999998</v>
      </c>
      <c r="G511">
        <v>72.877655899999993</v>
      </c>
      <c r="H511">
        <f t="shared" si="35"/>
        <v>189</v>
      </c>
      <c r="I511" s="3">
        <f t="shared" si="36"/>
        <v>1050</v>
      </c>
      <c r="J511" s="1">
        <f t="shared" si="37"/>
        <v>450</v>
      </c>
      <c r="K511" s="1">
        <f t="shared" si="38"/>
        <v>472500</v>
      </c>
      <c r="L511" s="2" t="str">
        <f t="shared" si="39"/>
        <v>Premium</v>
      </c>
    </row>
    <row r="512" spans="1:12" x14ac:dyDescent="0.3">
      <c r="A512" t="s">
        <v>850</v>
      </c>
      <c r="B512" t="s">
        <v>905</v>
      </c>
      <c r="C512" s="3">
        <v>3.8</v>
      </c>
      <c r="D512" s="3">
        <v>54</v>
      </c>
      <c r="E512" t="s">
        <v>906</v>
      </c>
      <c r="F512" s="3">
        <v>19.0537642</v>
      </c>
      <c r="G512">
        <v>72.851673499999904</v>
      </c>
      <c r="H512">
        <f t="shared" si="35"/>
        <v>205.2</v>
      </c>
      <c r="I512" s="3">
        <f t="shared" si="36"/>
        <v>1350</v>
      </c>
      <c r="J512" s="1">
        <f t="shared" si="37"/>
        <v>350</v>
      </c>
      <c r="K512" s="1">
        <f t="shared" si="38"/>
        <v>472500</v>
      </c>
      <c r="L512" s="2" t="str">
        <f t="shared" si="39"/>
        <v>Average</v>
      </c>
    </row>
    <row r="513" spans="1:12" x14ac:dyDescent="0.3">
      <c r="A513" t="s">
        <v>850</v>
      </c>
      <c r="B513" t="s">
        <v>907</v>
      </c>
      <c r="C513" s="3">
        <v>4.2</v>
      </c>
      <c r="D513" s="3">
        <v>6129</v>
      </c>
      <c r="E513" t="s">
        <v>908</v>
      </c>
      <c r="F513" s="3">
        <v>19.075987300000001</v>
      </c>
      <c r="G513">
        <v>72.876933600000001</v>
      </c>
      <c r="H513">
        <f t="shared" si="35"/>
        <v>25741.8</v>
      </c>
      <c r="I513" s="3">
        <f t="shared" si="36"/>
        <v>153225</v>
      </c>
      <c r="J513" s="1">
        <f t="shared" si="37"/>
        <v>350</v>
      </c>
      <c r="K513" s="1">
        <f t="shared" si="38"/>
        <v>53628750</v>
      </c>
      <c r="L513" s="2" t="str">
        <f t="shared" si="39"/>
        <v>Popular</v>
      </c>
    </row>
    <row r="514" spans="1:12" x14ac:dyDescent="0.3">
      <c r="A514" t="s">
        <v>850</v>
      </c>
      <c r="B514" t="s">
        <v>909</v>
      </c>
      <c r="C514" s="3">
        <v>4.0999999999999996</v>
      </c>
      <c r="D514" s="3">
        <v>177</v>
      </c>
      <c r="E514" t="s">
        <v>910</v>
      </c>
      <c r="F514" s="3">
        <v>19.0759474</v>
      </c>
      <c r="G514">
        <v>72.874136999999905</v>
      </c>
      <c r="H514">
        <f t="shared" ref="H514:H577" si="40">C514*D514</f>
        <v>725.69999999999993</v>
      </c>
      <c r="I514" s="3">
        <f t="shared" ref="I514:I577" si="41">D514*25</f>
        <v>4425</v>
      </c>
      <c r="J514" s="1">
        <f t="shared" ref="J514:J577" si="42">IF(C514&gt;=4.7,550,IF(C514&gt;=4.4,450,IF(C514&gt;=O516,350,250)))</f>
        <v>350</v>
      </c>
      <c r="K514" s="1">
        <f t="shared" ref="K514:K577" si="43">I514*J514</f>
        <v>1548750</v>
      </c>
      <c r="L514" s="2" t="str">
        <f t="shared" ref="L514:L577" si="44">IF(C514&gt;=4.5,"Premium",IF(C514&gt;=4,"Popular","Average"))</f>
        <v>Popular</v>
      </c>
    </row>
    <row r="515" spans="1:12" x14ac:dyDescent="0.3">
      <c r="A515" t="s">
        <v>850</v>
      </c>
      <c r="B515" t="s">
        <v>911</v>
      </c>
      <c r="C515" s="3">
        <v>4.3</v>
      </c>
      <c r="D515" s="3">
        <v>1573</v>
      </c>
      <c r="E515" t="s">
        <v>912</v>
      </c>
      <c r="F515" s="3">
        <v>19.0631953</v>
      </c>
      <c r="G515">
        <v>72.861653099999998</v>
      </c>
      <c r="H515">
        <f t="shared" si="40"/>
        <v>6763.9</v>
      </c>
      <c r="I515" s="3">
        <f t="shared" si="41"/>
        <v>39325</v>
      </c>
      <c r="J515" s="1">
        <f t="shared" si="42"/>
        <v>350</v>
      </c>
      <c r="K515" s="1">
        <f t="shared" si="43"/>
        <v>13763750</v>
      </c>
      <c r="L515" s="2" t="str">
        <f t="shared" si="44"/>
        <v>Popular</v>
      </c>
    </row>
    <row r="516" spans="1:12" x14ac:dyDescent="0.3">
      <c r="A516" t="s">
        <v>850</v>
      </c>
      <c r="B516" t="s">
        <v>913</v>
      </c>
      <c r="C516" s="3">
        <v>4.4000000000000004</v>
      </c>
      <c r="D516" s="3">
        <v>1198</v>
      </c>
      <c r="E516" t="s">
        <v>914</v>
      </c>
      <c r="F516" s="3">
        <v>19.054140799999999</v>
      </c>
      <c r="G516">
        <v>72.851351800000003</v>
      </c>
      <c r="H516">
        <f t="shared" si="40"/>
        <v>5271.2000000000007</v>
      </c>
      <c r="I516" s="3">
        <f t="shared" si="41"/>
        <v>29950</v>
      </c>
      <c r="J516" s="1">
        <f t="shared" si="42"/>
        <v>450</v>
      </c>
      <c r="K516" s="1">
        <f t="shared" si="43"/>
        <v>13477500</v>
      </c>
      <c r="L516" s="2" t="str">
        <f t="shared" si="44"/>
        <v>Popular</v>
      </c>
    </row>
    <row r="517" spans="1:12" x14ac:dyDescent="0.3">
      <c r="A517" t="s">
        <v>850</v>
      </c>
      <c r="B517" t="s">
        <v>915</v>
      </c>
      <c r="C517" s="3">
        <v>4.0999999999999996</v>
      </c>
      <c r="D517" s="3">
        <v>47</v>
      </c>
      <c r="E517" t="s">
        <v>916</v>
      </c>
      <c r="F517" s="3">
        <v>19.098666000000001</v>
      </c>
      <c r="G517">
        <v>72.883408000000003</v>
      </c>
      <c r="H517">
        <f t="shared" si="40"/>
        <v>192.7</v>
      </c>
      <c r="I517" s="3">
        <f t="shared" si="41"/>
        <v>1175</v>
      </c>
      <c r="J517" s="1">
        <f t="shared" si="42"/>
        <v>350</v>
      </c>
      <c r="K517" s="1">
        <f t="shared" si="43"/>
        <v>411250</v>
      </c>
      <c r="L517" s="2" t="str">
        <f t="shared" si="44"/>
        <v>Popular</v>
      </c>
    </row>
    <row r="518" spans="1:12" x14ac:dyDescent="0.3">
      <c r="A518" t="s">
        <v>850</v>
      </c>
      <c r="B518" t="s">
        <v>917</v>
      </c>
      <c r="C518" s="3">
        <v>0</v>
      </c>
      <c r="D518" s="3">
        <v>0</v>
      </c>
      <c r="E518" t="s">
        <v>918</v>
      </c>
      <c r="F518" s="3">
        <v>19.076447699999999</v>
      </c>
      <c r="G518">
        <v>72.877914899999993</v>
      </c>
      <c r="H518">
        <f t="shared" si="40"/>
        <v>0</v>
      </c>
      <c r="I518" s="3">
        <f t="shared" si="41"/>
        <v>0</v>
      </c>
      <c r="J518" s="1">
        <f t="shared" si="42"/>
        <v>350</v>
      </c>
      <c r="K518" s="1">
        <f t="shared" si="43"/>
        <v>0</v>
      </c>
      <c r="L518" s="2" t="str">
        <f t="shared" si="44"/>
        <v>Average</v>
      </c>
    </row>
    <row r="519" spans="1:12" x14ac:dyDescent="0.3">
      <c r="A519" t="s">
        <v>850</v>
      </c>
      <c r="B519" t="s">
        <v>919</v>
      </c>
      <c r="C519" s="3">
        <v>4.4000000000000004</v>
      </c>
      <c r="D519" s="3">
        <v>117</v>
      </c>
      <c r="E519" t="s">
        <v>920</v>
      </c>
      <c r="F519" s="3">
        <v>19.076406299999999</v>
      </c>
      <c r="G519">
        <v>72.883090899999999</v>
      </c>
      <c r="H519">
        <f t="shared" si="40"/>
        <v>514.80000000000007</v>
      </c>
      <c r="I519" s="3">
        <f t="shared" si="41"/>
        <v>2925</v>
      </c>
      <c r="J519" s="1">
        <f t="shared" si="42"/>
        <v>450</v>
      </c>
      <c r="K519" s="1">
        <f t="shared" si="43"/>
        <v>1316250</v>
      </c>
      <c r="L519" s="2" t="str">
        <f t="shared" si="44"/>
        <v>Popular</v>
      </c>
    </row>
    <row r="520" spans="1:12" x14ac:dyDescent="0.3">
      <c r="A520" t="s">
        <v>850</v>
      </c>
      <c r="B520" t="s">
        <v>921</v>
      </c>
      <c r="C520" s="3">
        <v>5</v>
      </c>
      <c r="D520" s="3">
        <v>8</v>
      </c>
      <c r="E520" t="s">
        <v>922</v>
      </c>
      <c r="F520" s="3">
        <v>19.0758093</v>
      </c>
      <c r="G520">
        <v>72.876691199999996</v>
      </c>
      <c r="H520">
        <f t="shared" si="40"/>
        <v>40</v>
      </c>
      <c r="I520" s="3">
        <f t="shared" si="41"/>
        <v>200</v>
      </c>
      <c r="J520" s="1">
        <f t="shared" si="42"/>
        <v>550</v>
      </c>
      <c r="K520" s="1">
        <f t="shared" si="43"/>
        <v>110000</v>
      </c>
      <c r="L520" s="2" t="str">
        <f t="shared" si="44"/>
        <v>Premium</v>
      </c>
    </row>
    <row r="521" spans="1:12" x14ac:dyDescent="0.3">
      <c r="A521" t="s">
        <v>850</v>
      </c>
      <c r="B521" t="s">
        <v>923</v>
      </c>
      <c r="C521" s="3">
        <v>4.8</v>
      </c>
      <c r="D521" s="3">
        <v>44</v>
      </c>
      <c r="E521" t="s">
        <v>924</v>
      </c>
      <c r="F521" s="3">
        <v>19.077392799999998</v>
      </c>
      <c r="G521">
        <v>72.880414799999997</v>
      </c>
      <c r="H521">
        <f t="shared" si="40"/>
        <v>211.2</v>
      </c>
      <c r="I521" s="3">
        <f t="shared" si="41"/>
        <v>1100</v>
      </c>
      <c r="J521" s="1">
        <f t="shared" si="42"/>
        <v>550</v>
      </c>
      <c r="K521" s="1">
        <f t="shared" si="43"/>
        <v>605000</v>
      </c>
      <c r="L521" s="2" t="str">
        <f t="shared" si="44"/>
        <v>Premium</v>
      </c>
    </row>
    <row r="522" spans="1:12" x14ac:dyDescent="0.3">
      <c r="A522" t="s">
        <v>850</v>
      </c>
      <c r="B522" t="s">
        <v>925</v>
      </c>
      <c r="C522" s="3">
        <v>5</v>
      </c>
      <c r="D522" s="3">
        <v>17</v>
      </c>
      <c r="E522" t="s">
        <v>926</v>
      </c>
      <c r="F522" s="3">
        <v>19.079141400000001</v>
      </c>
      <c r="G522">
        <v>72.880369999999999</v>
      </c>
      <c r="H522">
        <f t="shared" si="40"/>
        <v>85</v>
      </c>
      <c r="I522" s="3">
        <f t="shared" si="41"/>
        <v>425</v>
      </c>
      <c r="J522" s="1">
        <f t="shared" si="42"/>
        <v>550</v>
      </c>
      <c r="K522" s="1">
        <f t="shared" si="43"/>
        <v>233750</v>
      </c>
      <c r="L522" s="2" t="str">
        <f t="shared" si="44"/>
        <v>Premium</v>
      </c>
    </row>
    <row r="523" spans="1:12" x14ac:dyDescent="0.3">
      <c r="A523" t="s">
        <v>850</v>
      </c>
      <c r="B523" t="s">
        <v>927</v>
      </c>
      <c r="C523" s="3">
        <v>5</v>
      </c>
      <c r="D523" s="3">
        <v>11</v>
      </c>
      <c r="E523" t="s">
        <v>928</v>
      </c>
      <c r="F523" s="3">
        <v>19.0694509</v>
      </c>
      <c r="G523">
        <v>72.897071799999907</v>
      </c>
      <c r="H523">
        <f t="shared" si="40"/>
        <v>55</v>
      </c>
      <c r="I523" s="3">
        <f t="shared" si="41"/>
        <v>275</v>
      </c>
      <c r="J523" s="1">
        <f t="shared" si="42"/>
        <v>550</v>
      </c>
      <c r="K523" s="1">
        <f t="shared" si="43"/>
        <v>151250</v>
      </c>
      <c r="L523" s="2" t="str">
        <f t="shared" si="44"/>
        <v>Premium</v>
      </c>
    </row>
    <row r="524" spans="1:12" x14ac:dyDescent="0.3">
      <c r="A524" t="s">
        <v>850</v>
      </c>
      <c r="B524" t="s">
        <v>929</v>
      </c>
      <c r="C524" s="3">
        <v>4.2</v>
      </c>
      <c r="D524" s="3">
        <v>38</v>
      </c>
      <c r="E524" t="s">
        <v>930</v>
      </c>
      <c r="F524" s="3">
        <v>19.076461800000001</v>
      </c>
      <c r="G524">
        <v>72.880100599999906</v>
      </c>
      <c r="H524">
        <f t="shared" si="40"/>
        <v>159.6</v>
      </c>
      <c r="I524" s="3">
        <f t="shared" si="41"/>
        <v>950</v>
      </c>
      <c r="J524" s="1">
        <f t="shared" si="42"/>
        <v>350</v>
      </c>
      <c r="K524" s="1">
        <f t="shared" si="43"/>
        <v>332500</v>
      </c>
      <c r="L524" s="2" t="str">
        <f t="shared" si="44"/>
        <v>Popular</v>
      </c>
    </row>
    <row r="525" spans="1:12" x14ac:dyDescent="0.3">
      <c r="A525" t="s">
        <v>850</v>
      </c>
      <c r="B525" t="s">
        <v>931</v>
      </c>
      <c r="C525" s="3">
        <v>3.8</v>
      </c>
      <c r="D525" s="3">
        <v>104</v>
      </c>
      <c r="E525" t="s">
        <v>932</v>
      </c>
      <c r="F525" s="3">
        <v>19.068217300000001</v>
      </c>
      <c r="G525">
        <v>72.878705099999905</v>
      </c>
      <c r="H525">
        <f t="shared" si="40"/>
        <v>395.2</v>
      </c>
      <c r="I525" s="3">
        <f t="shared" si="41"/>
        <v>2600</v>
      </c>
      <c r="J525" s="1">
        <f t="shared" si="42"/>
        <v>350</v>
      </c>
      <c r="K525" s="1">
        <f t="shared" si="43"/>
        <v>910000</v>
      </c>
      <c r="L525" s="2" t="str">
        <f t="shared" si="44"/>
        <v>Average</v>
      </c>
    </row>
    <row r="526" spans="1:12" x14ac:dyDescent="0.3">
      <c r="A526" t="s">
        <v>850</v>
      </c>
      <c r="B526" t="s">
        <v>933</v>
      </c>
      <c r="C526" s="3">
        <v>5</v>
      </c>
      <c r="D526" s="3">
        <v>2</v>
      </c>
      <c r="E526" t="s">
        <v>934</v>
      </c>
      <c r="F526" s="3">
        <v>19.0640441</v>
      </c>
      <c r="G526">
        <v>72.895866400000003</v>
      </c>
      <c r="H526">
        <f t="shared" si="40"/>
        <v>10</v>
      </c>
      <c r="I526" s="3">
        <f t="shared" si="41"/>
        <v>50</v>
      </c>
      <c r="J526" s="1">
        <f t="shared" si="42"/>
        <v>550</v>
      </c>
      <c r="K526" s="1">
        <f t="shared" si="43"/>
        <v>27500</v>
      </c>
      <c r="L526" s="2" t="str">
        <f t="shared" si="44"/>
        <v>Premium</v>
      </c>
    </row>
    <row r="527" spans="1:12" x14ac:dyDescent="0.3">
      <c r="A527" t="s">
        <v>850</v>
      </c>
      <c r="B527" t="s">
        <v>99</v>
      </c>
      <c r="C527" s="3">
        <v>4.4000000000000004</v>
      </c>
      <c r="D527" s="3">
        <v>617</v>
      </c>
      <c r="E527" t="s">
        <v>935</v>
      </c>
      <c r="F527" s="3">
        <v>19.053632400000001</v>
      </c>
      <c r="G527">
        <v>72.850844100000003</v>
      </c>
      <c r="H527">
        <f t="shared" si="40"/>
        <v>2714.8</v>
      </c>
      <c r="I527" s="3">
        <f t="shared" si="41"/>
        <v>15425</v>
      </c>
      <c r="J527" s="1">
        <f t="shared" si="42"/>
        <v>450</v>
      </c>
      <c r="K527" s="1">
        <f t="shared" si="43"/>
        <v>6941250</v>
      </c>
      <c r="L527" s="2" t="str">
        <f t="shared" si="44"/>
        <v>Popular</v>
      </c>
    </row>
    <row r="528" spans="1:12" x14ac:dyDescent="0.3">
      <c r="A528" t="s">
        <v>850</v>
      </c>
      <c r="B528" t="s">
        <v>936</v>
      </c>
      <c r="C528" s="3">
        <v>4.2</v>
      </c>
      <c r="D528" s="3">
        <v>66</v>
      </c>
      <c r="E528" t="s">
        <v>937</v>
      </c>
      <c r="F528" s="3">
        <v>19.0612198</v>
      </c>
      <c r="G528">
        <v>72.899378299999995</v>
      </c>
      <c r="H528">
        <f t="shared" si="40"/>
        <v>277.2</v>
      </c>
      <c r="I528" s="3">
        <f t="shared" si="41"/>
        <v>1650</v>
      </c>
      <c r="J528" s="1">
        <f t="shared" si="42"/>
        <v>350</v>
      </c>
      <c r="K528" s="1">
        <f t="shared" si="43"/>
        <v>577500</v>
      </c>
      <c r="L528" s="2" t="str">
        <f t="shared" si="44"/>
        <v>Popular</v>
      </c>
    </row>
    <row r="529" spans="1:12" x14ac:dyDescent="0.3">
      <c r="A529" t="s">
        <v>850</v>
      </c>
      <c r="B529" t="s">
        <v>938</v>
      </c>
      <c r="C529" s="3">
        <v>3.8</v>
      </c>
      <c r="D529" s="3">
        <v>594</v>
      </c>
      <c r="E529" t="s">
        <v>939</v>
      </c>
      <c r="F529" s="3">
        <v>19.0863704</v>
      </c>
      <c r="G529">
        <v>72.889925599999998</v>
      </c>
      <c r="H529">
        <f t="shared" si="40"/>
        <v>2257.1999999999998</v>
      </c>
      <c r="I529" s="3">
        <f t="shared" si="41"/>
        <v>14850</v>
      </c>
      <c r="J529" s="1">
        <f t="shared" si="42"/>
        <v>350</v>
      </c>
      <c r="K529" s="1">
        <f t="shared" si="43"/>
        <v>5197500</v>
      </c>
      <c r="L529" s="2" t="str">
        <f t="shared" si="44"/>
        <v>Average</v>
      </c>
    </row>
    <row r="530" spans="1:12" x14ac:dyDescent="0.3">
      <c r="A530" t="s">
        <v>850</v>
      </c>
      <c r="B530" t="s">
        <v>940</v>
      </c>
      <c r="C530" s="3">
        <v>4.7</v>
      </c>
      <c r="D530" s="3">
        <v>3</v>
      </c>
      <c r="E530" t="s">
        <v>941</v>
      </c>
      <c r="F530" s="3">
        <v>19.0665075</v>
      </c>
      <c r="G530">
        <v>72.877959799999999</v>
      </c>
      <c r="H530">
        <f t="shared" si="40"/>
        <v>14.100000000000001</v>
      </c>
      <c r="I530" s="3">
        <f t="shared" si="41"/>
        <v>75</v>
      </c>
      <c r="J530" s="1">
        <f t="shared" si="42"/>
        <v>550</v>
      </c>
      <c r="K530" s="1">
        <f t="shared" si="43"/>
        <v>41250</v>
      </c>
      <c r="L530" s="2" t="str">
        <f t="shared" si="44"/>
        <v>Premium</v>
      </c>
    </row>
    <row r="531" spans="1:12" x14ac:dyDescent="0.3">
      <c r="A531" t="s">
        <v>850</v>
      </c>
      <c r="B531" t="s">
        <v>942</v>
      </c>
      <c r="C531" s="3">
        <v>3.7</v>
      </c>
      <c r="D531" s="3">
        <v>103</v>
      </c>
      <c r="E531" t="s">
        <v>943</v>
      </c>
      <c r="F531" s="3">
        <v>19.064433099999999</v>
      </c>
      <c r="G531">
        <v>72.881819100000001</v>
      </c>
      <c r="H531">
        <f t="shared" si="40"/>
        <v>381.1</v>
      </c>
      <c r="I531" s="3">
        <f t="shared" si="41"/>
        <v>2575</v>
      </c>
      <c r="J531" s="1">
        <f t="shared" si="42"/>
        <v>350</v>
      </c>
      <c r="K531" s="1">
        <f t="shared" si="43"/>
        <v>901250</v>
      </c>
      <c r="L531" s="2" t="str">
        <f t="shared" si="44"/>
        <v>Average</v>
      </c>
    </row>
    <row r="532" spans="1:12" x14ac:dyDescent="0.3">
      <c r="A532" t="s">
        <v>850</v>
      </c>
      <c r="B532" t="s">
        <v>614</v>
      </c>
      <c r="C532" s="3">
        <v>4.0999999999999996</v>
      </c>
      <c r="D532" s="3">
        <v>51</v>
      </c>
      <c r="E532" t="s">
        <v>615</v>
      </c>
      <c r="F532" s="3">
        <v>19.112267599999999</v>
      </c>
      <c r="G532">
        <v>72.8679877</v>
      </c>
      <c r="H532">
        <f t="shared" si="40"/>
        <v>209.1</v>
      </c>
      <c r="I532" s="3">
        <f t="shared" si="41"/>
        <v>1275</v>
      </c>
      <c r="J532" s="1">
        <f t="shared" si="42"/>
        <v>350</v>
      </c>
      <c r="K532" s="1">
        <f t="shared" si="43"/>
        <v>446250</v>
      </c>
      <c r="L532" s="2" t="str">
        <f t="shared" si="44"/>
        <v>Popular</v>
      </c>
    </row>
    <row r="533" spans="1:12" x14ac:dyDescent="0.3">
      <c r="A533" t="s">
        <v>850</v>
      </c>
      <c r="B533" t="s">
        <v>944</v>
      </c>
      <c r="C533" s="3">
        <v>3.7</v>
      </c>
      <c r="D533" s="3">
        <v>54</v>
      </c>
      <c r="E533" t="s">
        <v>945</v>
      </c>
      <c r="F533" s="3">
        <v>19.0605431</v>
      </c>
      <c r="G533">
        <v>72.865209699999994</v>
      </c>
      <c r="H533">
        <f t="shared" si="40"/>
        <v>199.8</v>
      </c>
      <c r="I533" s="3">
        <f t="shared" si="41"/>
        <v>1350</v>
      </c>
      <c r="J533" s="1">
        <f t="shared" si="42"/>
        <v>350</v>
      </c>
      <c r="K533" s="1">
        <f t="shared" si="43"/>
        <v>472500</v>
      </c>
      <c r="L533" s="2" t="str">
        <f t="shared" si="44"/>
        <v>Average</v>
      </c>
    </row>
    <row r="534" spans="1:12" x14ac:dyDescent="0.3">
      <c r="A534" t="s">
        <v>850</v>
      </c>
      <c r="B534" t="s">
        <v>946</v>
      </c>
      <c r="C534" s="3">
        <v>4.9000000000000004</v>
      </c>
      <c r="D534" s="3">
        <v>523</v>
      </c>
      <c r="E534" t="s">
        <v>947</v>
      </c>
      <c r="F534" s="3">
        <v>19.071451799999998</v>
      </c>
      <c r="G534">
        <v>72.883819700000004</v>
      </c>
      <c r="H534">
        <f t="shared" si="40"/>
        <v>2562.7000000000003</v>
      </c>
      <c r="I534" s="3">
        <f t="shared" si="41"/>
        <v>13075</v>
      </c>
      <c r="J534" s="1">
        <f t="shared" si="42"/>
        <v>550</v>
      </c>
      <c r="K534" s="1">
        <f t="shared" si="43"/>
        <v>7191250</v>
      </c>
      <c r="L534" s="2" t="str">
        <f t="shared" si="44"/>
        <v>Premium</v>
      </c>
    </row>
    <row r="535" spans="1:12" x14ac:dyDescent="0.3">
      <c r="A535" t="s">
        <v>850</v>
      </c>
      <c r="B535" t="s">
        <v>948</v>
      </c>
      <c r="C535" s="3">
        <v>4.7</v>
      </c>
      <c r="D535" s="3">
        <v>3</v>
      </c>
      <c r="E535" t="s">
        <v>949</v>
      </c>
      <c r="F535" s="3">
        <v>19.064975100000002</v>
      </c>
      <c r="G535">
        <v>72.876574399999996</v>
      </c>
      <c r="H535">
        <f t="shared" si="40"/>
        <v>14.100000000000001</v>
      </c>
      <c r="I535" s="3">
        <f t="shared" si="41"/>
        <v>75</v>
      </c>
      <c r="J535" s="1">
        <f t="shared" si="42"/>
        <v>550</v>
      </c>
      <c r="K535" s="1">
        <f t="shared" si="43"/>
        <v>41250</v>
      </c>
      <c r="L535" s="2" t="str">
        <f t="shared" si="44"/>
        <v>Premium</v>
      </c>
    </row>
    <row r="536" spans="1:12" x14ac:dyDescent="0.3">
      <c r="A536" t="s">
        <v>850</v>
      </c>
      <c r="B536" t="s">
        <v>950</v>
      </c>
      <c r="C536" s="3">
        <v>4.2</v>
      </c>
      <c r="D536" s="3">
        <v>17</v>
      </c>
      <c r="E536" t="s">
        <v>951</v>
      </c>
      <c r="F536" s="3">
        <v>19.075210999999999</v>
      </c>
      <c r="G536">
        <v>72.879126299999996</v>
      </c>
      <c r="H536">
        <f t="shared" si="40"/>
        <v>71.400000000000006</v>
      </c>
      <c r="I536" s="3">
        <f t="shared" si="41"/>
        <v>425</v>
      </c>
      <c r="J536" s="1">
        <f t="shared" si="42"/>
        <v>350</v>
      </c>
      <c r="K536" s="1">
        <f t="shared" si="43"/>
        <v>148750</v>
      </c>
      <c r="L536" s="2" t="str">
        <f t="shared" si="44"/>
        <v>Popular</v>
      </c>
    </row>
    <row r="537" spans="1:12" x14ac:dyDescent="0.3">
      <c r="A537" t="s">
        <v>850</v>
      </c>
      <c r="B537" t="s">
        <v>952</v>
      </c>
      <c r="C537" s="3">
        <v>4.8</v>
      </c>
      <c r="D537" s="3">
        <v>6</v>
      </c>
      <c r="E537" t="s">
        <v>953</v>
      </c>
      <c r="F537" s="3">
        <v>19.0898656</v>
      </c>
      <c r="G537">
        <v>72.883241999999996</v>
      </c>
      <c r="H537">
        <f t="shared" si="40"/>
        <v>28.799999999999997</v>
      </c>
      <c r="I537" s="3">
        <f t="shared" si="41"/>
        <v>150</v>
      </c>
      <c r="J537" s="1">
        <f t="shared" si="42"/>
        <v>550</v>
      </c>
      <c r="K537" s="1">
        <f t="shared" si="43"/>
        <v>82500</v>
      </c>
      <c r="L537" s="2" t="str">
        <f t="shared" si="44"/>
        <v>Premium</v>
      </c>
    </row>
    <row r="538" spans="1:12" x14ac:dyDescent="0.3">
      <c r="A538" t="s">
        <v>850</v>
      </c>
      <c r="B538" t="s">
        <v>954</v>
      </c>
      <c r="C538" s="3">
        <v>4.3</v>
      </c>
      <c r="D538" s="3">
        <v>10</v>
      </c>
      <c r="E538" t="s">
        <v>955</v>
      </c>
      <c r="F538" s="3">
        <v>19.0752141</v>
      </c>
      <c r="G538">
        <v>72.8770557</v>
      </c>
      <c r="H538">
        <f t="shared" si="40"/>
        <v>43</v>
      </c>
      <c r="I538" s="3">
        <f t="shared" si="41"/>
        <v>250</v>
      </c>
      <c r="J538" s="1">
        <f t="shared" si="42"/>
        <v>350</v>
      </c>
      <c r="K538" s="1">
        <f t="shared" si="43"/>
        <v>87500</v>
      </c>
      <c r="L538" s="2" t="str">
        <f t="shared" si="44"/>
        <v>Popular</v>
      </c>
    </row>
    <row r="539" spans="1:12" x14ac:dyDescent="0.3">
      <c r="A539" t="s">
        <v>850</v>
      </c>
      <c r="B539" t="s">
        <v>956</v>
      </c>
      <c r="C539" s="3">
        <v>4.8</v>
      </c>
      <c r="D539" s="3">
        <v>79</v>
      </c>
      <c r="E539" t="s">
        <v>957</v>
      </c>
      <c r="F539" s="3">
        <v>19.070259199999999</v>
      </c>
      <c r="G539">
        <v>72.875644500000007</v>
      </c>
      <c r="H539">
        <f t="shared" si="40"/>
        <v>379.2</v>
      </c>
      <c r="I539" s="3">
        <f t="shared" si="41"/>
        <v>1975</v>
      </c>
      <c r="J539" s="1">
        <f t="shared" si="42"/>
        <v>550</v>
      </c>
      <c r="K539" s="1">
        <f t="shared" si="43"/>
        <v>1086250</v>
      </c>
      <c r="L539" s="2" t="str">
        <f t="shared" si="44"/>
        <v>Premium</v>
      </c>
    </row>
    <row r="540" spans="1:12" x14ac:dyDescent="0.3">
      <c r="A540" t="s">
        <v>850</v>
      </c>
      <c r="B540" t="s">
        <v>958</v>
      </c>
      <c r="C540" s="3">
        <v>4</v>
      </c>
      <c r="D540" s="3">
        <v>63</v>
      </c>
      <c r="E540" t="s">
        <v>959</v>
      </c>
      <c r="F540" s="3">
        <v>19.073863100000001</v>
      </c>
      <c r="G540">
        <v>72.8700154</v>
      </c>
      <c r="H540">
        <f t="shared" si="40"/>
        <v>252</v>
      </c>
      <c r="I540" s="3">
        <f t="shared" si="41"/>
        <v>1575</v>
      </c>
      <c r="J540" s="1">
        <f t="shared" si="42"/>
        <v>350</v>
      </c>
      <c r="K540" s="1">
        <f t="shared" si="43"/>
        <v>551250</v>
      </c>
      <c r="L540" s="2" t="str">
        <f t="shared" si="44"/>
        <v>Popular</v>
      </c>
    </row>
    <row r="541" spans="1:12" x14ac:dyDescent="0.3">
      <c r="A541" t="s">
        <v>850</v>
      </c>
      <c r="B541" t="s">
        <v>960</v>
      </c>
      <c r="C541" s="3">
        <v>4.3</v>
      </c>
      <c r="D541" s="3">
        <v>4159</v>
      </c>
      <c r="E541" t="s">
        <v>961</v>
      </c>
      <c r="F541" s="3">
        <v>19.086335200000001</v>
      </c>
      <c r="G541">
        <v>72.888983999999994</v>
      </c>
      <c r="H541">
        <f t="shared" si="40"/>
        <v>17883.7</v>
      </c>
      <c r="I541" s="3">
        <f t="shared" si="41"/>
        <v>103975</v>
      </c>
      <c r="J541" s="1">
        <f t="shared" si="42"/>
        <v>350</v>
      </c>
      <c r="K541" s="1">
        <f t="shared" si="43"/>
        <v>36391250</v>
      </c>
      <c r="L541" s="2" t="str">
        <f t="shared" si="44"/>
        <v>Popular</v>
      </c>
    </row>
    <row r="542" spans="1:12" x14ac:dyDescent="0.3">
      <c r="A542" t="s">
        <v>962</v>
      </c>
      <c r="B542" t="s">
        <v>963</v>
      </c>
      <c r="C542" s="3">
        <v>4.3</v>
      </c>
      <c r="D542" s="3">
        <v>533</v>
      </c>
      <c r="E542" t="s">
        <v>964</v>
      </c>
      <c r="F542" s="3">
        <v>19.076845800000001</v>
      </c>
      <c r="G542">
        <v>72.903571299999996</v>
      </c>
      <c r="H542">
        <f t="shared" si="40"/>
        <v>2291.9</v>
      </c>
      <c r="I542" s="3">
        <f t="shared" si="41"/>
        <v>13325</v>
      </c>
      <c r="J542" s="1">
        <f t="shared" si="42"/>
        <v>350</v>
      </c>
      <c r="K542" s="1">
        <f t="shared" si="43"/>
        <v>4663750</v>
      </c>
      <c r="L542" s="2" t="str">
        <f t="shared" si="44"/>
        <v>Popular</v>
      </c>
    </row>
    <row r="543" spans="1:12" x14ac:dyDescent="0.3">
      <c r="A543" t="s">
        <v>962</v>
      </c>
      <c r="B543" t="s">
        <v>965</v>
      </c>
      <c r="C543" s="3">
        <v>4.7</v>
      </c>
      <c r="D543" s="3">
        <v>1368</v>
      </c>
      <c r="E543" t="s">
        <v>966</v>
      </c>
      <c r="F543" s="3">
        <v>19.084400299999999</v>
      </c>
      <c r="G543">
        <v>72.909052199999905</v>
      </c>
      <c r="H543">
        <f t="shared" si="40"/>
        <v>6429.6</v>
      </c>
      <c r="I543" s="3">
        <f t="shared" si="41"/>
        <v>34200</v>
      </c>
      <c r="J543" s="1">
        <f t="shared" si="42"/>
        <v>550</v>
      </c>
      <c r="K543" s="1">
        <f t="shared" si="43"/>
        <v>18810000</v>
      </c>
      <c r="L543" s="2" t="str">
        <f t="shared" si="44"/>
        <v>Premium</v>
      </c>
    </row>
    <row r="544" spans="1:12" x14ac:dyDescent="0.3">
      <c r="A544" t="s">
        <v>962</v>
      </c>
      <c r="B544" t="s">
        <v>967</v>
      </c>
      <c r="C544" s="3">
        <v>3.9</v>
      </c>
      <c r="D544" s="3">
        <v>357</v>
      </c>
      <c r="E544" t="s">
        <v>968</v>
      </c>
      <c r="F544" s="3">
        <v>19.084101499999999</v>
      </c>
      <c r="G544">
        <v>72.904312199999893</v>
      </c>
      <c r="H544">
        <f t="shared" si="40"/>
        <v>1392.3</v>
      </c>
      <c r="I544" s="3">
        <f t="shared" si="41"/>
        <v>8925</v>
      </c>
      <c r="J544" s="1">
        <f t="shared" si="42"/>
        <v>350</v>
      </c>
      <c r="K544" s="1">
        <f t="shared" si="43"/>
        <v>3123750</v>
      </c>
      <c r="L544" s="2" t="str">
        <f t="shared" si="44"/>
        <v>Average</v>
      </c>
    </row>
    <row r="545" spans="1:12" x14ac:dyDescent="0.3">
      <c r="A545" t="s">
        <v>962</v>
      </c>
      <c r="B545" t="s">
        <v>969</v>
      </c>
      <c r="C545" s="3">
        <v>4.2</v>
      </c>
      <c r="D545" s="3">
        <v>1699</v>
      </c>
      <c r="E545" t="s">
        <v>970</v>
      </c>
      <c r="F545" s="3">
        <v>19.099355800000001</v>
      </c>
      <c r="G545">
        <v>72.916342099999994</v>
      </c>
      <c r="H545">
        <f t="shared" si="40"/>
        <v>7135.8</v>
      </c>
      <c r="I545" s="3">
        <f t="shared" si="41"/>
        <v>42475</v>
      </c>
      <c r="J545" s="1">
        <f t="shared" si="42"/>
        <v>350</v>
      </c>
      <c r="K545" s="1">
        <f t="shared" si="43"/>
        <v>14866250</v>
      </c>
      <c r="L545" s="2" t="str">
        <f t="shared" si="44"/>
        <v>Popular</v>
      </c>
    </row>
    <row r="546" spans="1:12" x14ac:dyDescent="0.3">
      <c r="A546" t="s">
        <v>962</v>
      </c>
      <c r="B546" t="s">
        <v>971</v>
      </c>
      <c r="C546" s="3">
        <v>4.0999999999999996</v>
      </c>
      <c r="D546" s="3">
        <v>2538</v>
      </c>
      <c r="E546" t="s">
        <v>972</v>
      </c>
      <c r="F546" s="3">
        <v>19.0783825</v>
      </c>
      <c r="G546">
        <v>72.903865400000001</v>
      </c>
      <c r="H546">
        <f t="shared" si="40"/>
        <v>10405.799999999999</v>
      </c>
      <c r="I546" s="3">
        <f t="shared" si="41"/>
        <v>63450</v>
      </c>
      <c r="J546" s="1">
        <f t="shared" si="42"/>
        <v>350</v>
      </c>
      <c r="K546" s="1">
        <f t="shared" si="43"/>
        <v>22207500</v>
      </c>
      <c r="L546" s="2" t="str">
        <f t="shared" si="44"/>
        <v>Popular</v>
      </c>
    </row>
    <row r="547" spans="1:12" x14ac:dyDescent="0.3">
      <c r="A547" t="s">
        <v>962</v>
      </c>
      <c r="B547" t="s">
        <v>973</v>
      </c>
      <c r="C547" s="3">
        <v>4.8</v>
      </c>
      <c r="D547" s="3">
        <v>127</v>
      </c>
      <c r="E547" t="s">
        <v>974</v>
      </c>
      <c r="F547" s="3">
        <v>19.083770900000001</v>
      </c>
      <c r="G547">
        <v>72.909148000000002</v>
      </c>
      <c r="H547">
        <f t="shared" si="40"/>
        <v>609.6</v>
      </c>
      <c r="I547" s="3">
        <f t="shared" si="41"/>
        <v>3175</v>
      </c>
      <c r="J547" s="1">
        <f t="shared" si="42"/>
        <v>550</v>
      </c>
      <c r="K547" s="1">
        <f t="shared" si="43"/>
        <v>1746250</v>
      </c>
      <c r="L547" s="2" t="str">
        <f t="shared" si="44"/>
        <v>Premium</v>
      </c>
    </row>
    <row r="548" spans="1:12" x14ac:dyDescent="0.3">
      <c r="A548" t="s">
        <v>962</v>
      </c>
      <c r="B548" t="s">
        <v>975</v>
      </c>
      <c r="C548" s="3">
        <v>4</v>
      </c>
      <c r="D548" s="3">
        <v>491</v>
      </c>
      <c r="E548" t="s">
        <v>976</v>
      </c>
      <c r="F548" s="3">
        <v>19.0727236</v>
      </c>
      <c r="G548">
        <v>72.9069413</v>
      </c>
      <c r="H548">
        <f t="shared" si="40"/>
        <v>1964</v>
      </c>
      <c r="I548" s="3">
        <f t="shared" si="41"/>
        <v>12275</v>
      </c>
      <c r="J548" s="1">
        <f t="shared" si="42"/>
        <v>350</v>
      </c>
      <c r="K548" s="1">
        <f t="shared" si="43"/>
        <v>4296250</v>
      </c>
      <c r="L548" s="2" t="str">
        <f t="shared" si="44"/>
        <v>Popular</v>
      </c>
    </row>
    <row r="549" spans="1:12" x14ac:dyDescent="0.3">
      <c r="A549" t="s">
        <v>962</v>
      </c>
      <c r="B549" t="s">
        <v>977</v>
      </c>
      <c r="C549" s="3">
        <v>3.9</v>
      </c>
      <c r="D549" s="3">
        <v>9790</v>
      </c>
      <c r="E549" t="s">
        <v>978</v>
      </c>
      <c r="F549" s="3">
        <v>19.085657399999999</v>
      </c>
      <c r="G549">
        <v>72.907378899999998</v>
      </c>
      <c r="H549">
        <f t="shared" si="40"/>
        <v>38181</v>
      </c>
      <c r="I549" s="3">
        <f t="shared" si="41"/>
        <v>244750</v>
      </c>
      <c r="J549" s="1">
        <f t="shared" si="42"/>
        <v>350</v>
      </c>
      <c r="K549" s="1">
        <f t="shared" si="43"/>
        <v>85662500</v>
      </c>
      <c r="L549" s="2" t="str">
        <f t="shared" si="44"/>
        <v>Average</v>
      </c>
    </row>
    <row r="550" spans="1:12" x14ac:dyDescent="0.3">
      <c r="A550" t="s">
        <v>962</v>
      </c>
      <c r="B550" t="s">
        <v>979</v>
      </c>
      <c r="C550" s="3">
        <v>4.5</v>
      </c>
      <c r="D550" s="3">
        <v>172</v>
      </c>
      <c r="E550" t="s">
        <v>980</v>
      </c>
      <c r="F550" s="3">
        <v>19.099660700000001</v>
      </c>
      <c r="G550">
        <v>72.916021099999995</v>
      </c>
      <c r="H550">
        <f t="shared" si="40"/>
        <v>774</v>
      </c>
      <c r="I550" s="3">
        <f t="shared" si="41"/>
        <v>4300</v>
      </c>
      <c r="J550" s="1">
        <f t="shared" si="42"/>
        <v>450</v>
      </c>
      <c r="K550" s="1">
        <f t="shared" si="43"/>
        <v>1935000</v>
      </c>
      <c r="L550" s="2" t="str">
        <f t="shared" si="44"/>
        <v>Premium</v>
      </c>
    </row>
    <row r="551" spans="1:12" x14ac:dyDescent="0.3">
      <c r="A551" t="s">
        <v>962</v>
      </c>
      <c r="B551" t="s">
        <v>981</v>
      </c>
      <c r="C551" s="3">
        <v>4.4000000000000004</v>
      </c>
      <c r="D551" s="3">
        <v>101</v>
      </c>
      <c r="E551" t="s">
        <v>982</v>
      </c>
      <c r="F551" s="3">
        <v>19.077449099999999</v>
      </c>
      <c r="G551">
        <v>72.898932500000001</v>
      </c>
      <c r="H551">
        <f t="shared" si="40"/>
        <v>444.40000000000003</v>
      </c>
      <c r="I551" s="3">
        <f t="shared" si="41"/>
        <v>2525</v>
      </c>
      <c r="J551" s="1">
        <f t="shared" si="42"/>
        <v>450</v>
      </c>
      <c r="K551" s="1">
        <f t="shared" si="43"/>
        <v>1136250</v>
      </c>
      <c r="L551" s="2" t="str">
        <f t="shared" si="44"/>
        <v>Popular</v>
      </c>
    </row>
    <row r="552" spans="1:12" x14ac:dyDescent="0.3">
      <c r="A552" t="s">
        <v>962</v>
      </c>
      <c r="B552" t="s">
        <v>983</v>
      </c>
      <c r="C552" s="3">
        <v>4</v>
      </c>
      <c r="D552" s="3">
        <v>131</v>
      </c>
      <c r="E552" t="s">
        <v>984</v>
      </c>
      <c r="F552" s="3">
        <v>19.0846491</v>
      </c>
      <c r="G552">
        <v>72.9076357</v>
      </c>
      <c r="H552">
        <f t="shared" si="40"/>
        <v>524</v>
      </c>
      <c r="I552" s="3">
        <f t="shared" si="41"/>
        <v>3275</v>
      </c>
      <c r="J552" s="1">
        <f t="shared" si="42"/>
        <v>350</v>
      </c>
      <c r="K552" s="1">
        <f t="shared" si="43"/>
        <v>1146250</v>
      </c>
      <c r="L552" s="2" t="str">
        <f t="shared" si="44"/>
        <v>Popular</v>
      </c>
    </row>
    <row r="553" spans="1:12" x14ac:dyDescent="0.3">
      <c r="A553" t="s">
        <v>962</v>
      </c>
      <c r="B553" t="s">
        <v>53</v>
      </c>
      <c r="C553" s="3">
        <v>4.8</v>
      </c>
      <c r="D553" s="3">
        <v>786</v>
      </c>
      <c r="E553" t="s">
        <v>985</v>
      </c>
      <c r="F553" s="3">
        <v>19.099697599999999</v>
      </c>
      <c r="G553">
        <v>72.9166685</v>
      </c>
      <c r="H553">
        <f t="shared" si="40"/>
        <v>3772.7999999999997</v>
      </c>
      <c r="I553" s="3">
        <f t="shared" si="41"/>
        <v>19650</v>
      </c>
      <c r="J553" s="1">
        <f t="shared" si="42"/>
        <v>550</v>
      </c>
      <c r="K553" s="1">
        <f t="shared" si="43"/>
        <v>10807500</v>
      </c>
      <c r="L553" s="2" t="str">
        <f t="shared" si="44"/>
        <v>Premium</v>
      </c>
    </row>
    <row r="554" spans="1:12" x14ac:dyDescent="0.3">
      <c r="A554" t="s">
        <v>962</v>
      </c>
      <c r="B554" t="s">
        <v>986</v>
      </c>
      <c r="C554" s="3">
        <v>4.5</v>
      </c>
      <c r="D554" s="3">
        <v>808</v>
      </c>
      <c r="E554" t="s">
        <v>987</v>
      </c>
      <c r="F554" s="3">
        <v>19.0999087</v>
      </c>
      <c r="G554">
        <v>72.917145599999998</v>
      </c>
      <c r="H554">
        <f t="shared" si="40"/>
        <v>3636</v>
      </c>
      <c r="I554" s="3">
        <f t="shared" si="41"/>
        <v>20200</v>
      </c>
      <c r="J554" s="1">
        <f t="shared" si="42"/>
        <v>450</v>
      </c>
      <c r="K554" s="1">
        <f t="shared" si="43"/>
        <v>9090000</v>
      </c>
      <c r="L554" s="2" t="str">
        <f t="shared" si="44"/>
        <v>Premium</v>
      </c>
    </row>
    <row r="555" spans="1:12" x14ac:dyDescent="0.3">
      <c r="A555" t="s">
        <v>962</v>
      </c>
      <c r="B555" t="s">
        <v>988</v>
      </c>
      <c r="C555" s="3">
        <v>4.3</v>
      </c>
      <c r="D555" s="3">
        <v>93</v>
      </c>
      <c r="E555" t="s">
        <v>989</v>
      </c>
      <c r="F555" s="3">
        <v>19.080745</v>
      </c>
      <c r="G555">
        <v>72.904340899999994</v>
      </c>
      <c r="H555">
        <f t="shared" si="40"/>
        <v>399.9</v>
      </c>
      <c r="I555" s="3">
        <f t="shared" si="41"/>
        <v>2325</v>
      </c>
      <c r="J555" s="1">
        <f t="shared" si="42"/>
        <v>350</v>
      </c>
      <c r="K555" s="1">
        <f t="shared" si="43"/>
        <v>813750</v>
      </c>
      <c r="L555" s="2" t="str">
        <f t="shared" si="44"/>
        <v>Popular</v>
      </c>
    </row>
    <row r="556" spans="1:12" x14ac:dyDescent="0.3">
      <c r="A556" t="s">
        <v>962</v>
      </c>
      <c r="B556" t="s">
        <v>990</v>
      </c>
      <c r="C556" s="3">
        <v>4.8</v>
      </c>
      <c r="D556" s="3">
        <v>65</v>
      </c>
      <c r="E556" t="s">
        <v>991</v>
      </c>
      <c r="F556" s="3">
        <v>19.078949699999999</v>
      </c>
      <c r="G556">
        <v>72.909579600000001</v>
      </c>
      <c r="H556">
        <f t="shared" si="40"/>
        <v>312</v>
      </c>
      <c r="I556" s="3">
        <f t="shared" si="41"/>
        <v>1625</v>
      </c>
      <c r="J556" s="1">
        <f t="shared" si="42"/>
        <v>550</v>
      </c>
      <c r="K556" s="1">
        <f t="shared" si="43"/>
        <v>893750</v>
      </c>
      <c r="L556" s="2" t="str">
        <f t="shared" si="44"/>
        <v>Premium</v>
      </c>
    </row>
    <row r="557" spans="1:12" x14ac:dyDescent="0.3">
      <c r="A557" t="s">
        <v>962</v>
      </c>
      <c r="B557" t="s">
        <v>992</v>
      </c>
      <c r="C557" s="3">
        <v>4.2</v>
      </c>
      <c r="D557" s="3">
        <v>144</v>
      </c>
      <c r="E557" t="s">
        <v>993</v>
      </c>
      <c r="F557" s="3">
        <v>19.0745757</v>
      </c>
      <c r="G557">
        <v>72.905437499999906</v>
      </c>
      <c r="H557">
        <f t="shared" si="40"/>
        <v>604.80000000000007</v>
      </c>
      <c r="I557" s="3">
        <f t="shared" si="41"/>
        <v>3600</v>
      </c>
      <c r="J557" s="1">
        <f t="shared" si="42"/>
        <v>350</v>
      </c>
      <c r="K557" s="1">
        <f t="shared" si="43"/>
        <v>1260000</v>
      </c>
      <c r="L557" s="2" t="str">
        <f t="shared" si="44"/>
        <v>Popular</v>
      </c>
    </row>
    <row r="558" spans="1:12" x14ac:dyDescent="0.3">
      <c r="A558" t="s">
        <v>962</v>
      </c>
      <c r="B558" t="s">
        <v>994</v>
      </c>
      <c r="C558" s="3">
        <v>4.5999999999999996</v>
      </c>
      <c r="D558" s="3">
        <v>71</v>
      </c>
      <c r="E558" t="s">
        <v>995</v>
      </c>
      <c r="F558" s="3">
        <v>19.076944399999999</v>
      </c>
      <c r="G558">
        <v>72.903028899999995</v>
      </c>
      <c r="H558">
        <f t="shared" si="40"/>
        <v>326.59999999999997</v>
      </c>
      <c r="I558" s="3">
        <f t="shared" si="41"/>
        <v>1775</v>
      </c>
      <c r="J558" s="1">
        <f t="shared" si="42"/>
        <v>450</v>
      </c>
      <c r="K558" s="1">
        <f t="shared" si="43"/>
        <v>798750</v>
      </c>
      <c r="L558" s="2" t="str">
        <f t="shared" si="44"/>
        <v>Premium</v>
      </c>
    </row>
    <row r="559" spans="1:12" x14ac:dyDescent="0.3">
      <c r="A559" t="s">
        <v>962</v>
      </c>
      <c r="B559" t="s">
        <v>293</v>
      </c>
      <c r="C559" s="3">
        <v>4.3</v>
      </c>
      <c r="D559" s="3">
        <v>808</v>
      </c>
      <c r="E559" t="s">
        <v>996</v>
      </c>
      <c r="F559" s="3">
        <v>19.079191399999999</v>
      </c>
      <c r="G559">
        <v>72.908625899999905</v>
      </c>
      <c r="H559">
        <f t="shared" si="40"/>
        <v>3474.3999999999996</v>
      </c>
      <c r="I559" s="3">
        <f t="shared" si="41"/>
        <v>20200</v>
      </c>
      <c r="J559" s="1">
        <f t="shared" si="42"/>
        <v>350</v>
      </c>
      <c r="K559" s="1">
        <f t="shared" si="43"/>
        <v>7070000</v>
      </c>
      <c r="L559" s="2" t="str">
        <f t="shared" si="44"/>
        <v>Popular</v>
      </c>
    </row>
    <row r="560" spans="1:12" x14ac:dyDescent="0.3">
      <c r="A560" t="s">
        <v>962</v>
      </c>
      <c r="B560" t="s">
        <v>997</v>
      </c>
      <c r="C560" s="3">
        <v>3.8</v>
      </c>
      <c r="D560" s="3">
        <v>286</v>
      </c>
      <c r="E560" t="s">
        <v>998</v>
      </c>
      <c r="F560" s="3">
        <v>19.099504199999998</v>
      </c>
      <c r="G560">
        <v>72.916644300000002</v>
      </c>
      <c r="H560">
        <f t="shared" si="40"/>
        <v>1086.8</v>
      </c>
      <c r="I560" s="3">
        <f t="shared" si="41"/>
        <v>7150</v>
      </c>
      <c r="J560" s="1">
        <f t="shared" si="42"/>
        <v>350</v>
      </c>
      <c r="K560" s="1">
        <f t="shared" si="43"/>
        <v>2502500</v>
      </c>
      <c r="L560" s="2" t="str">
        <f t="shared" si="44"/>
        <v>Average</v>
      </c>
    </row>
    <row r="561" spans="1:12" x14ac:dyDescent="0.3">
      <c r="A561" t="s">
        <v>962</v>
      </c>
      <c r="B561" t="s">
        <v>999</v>
      </c>
      <c r="C561" s="3">
        <v>4</v>
      </c>
      <c r="D561" s="3">
        <v>83</v>
      </c>
      <c r="E561" t="s">
        <v>1000</v>
      </c>
      <c r="F561" s="3">
        <v>19.079868000000001</v>
      </c>
      <c r="G561">
        <v>72.905751899999998</v>
      </c>
      <c r="H561">
        <f t="shared" si="40"/>
        <v>332</v>
      </c>
      <c r="I561" s="3">
        <f t="shared" si="41"/>
        <v>2075</v>
      </c>
      <c r="J561" s="1">
        <f t="shared" si="42"/>
        <v>350</v>
      </c>
      <c r="K561" s="1">
        <f t="shared" si="43"/>
        <v>726250</v>
      </c>
      <c r="L561" s="2" t="str">
        <f t="shared" si="44"/>
        <v>Popular</v>
      </c>
    </row>
    <row r="562" spans="1:12" x14ac:dyDescent="0.3">
      <c r="A562" t="s">
        <v>962</v>
      </c>
      <c r="B562" t="s">
        <v>760</v>
      </c>
      <c r="C562" s="3">
        <v>3.8</v>
      </c>
      <c r="D562" s="3">
        <v>185</v>
      </c>
      <c r="E562" t="s">
        <v>1001</v>
      </c>
      <c r="F562" s="3">
        <v>19.078955499999999</v>
      </c>
      <c r="G562">
        <v>72.904257200000004</v>
      </c>
      <c r="H562">
        <f t="shared" si="40"/>
        <v>703</v>
      </c>
      <c r="I562" s="3">
        <f t="shared" si="41"/>
        <v>4625</v>
      </c>
      <c r="J562" s="1">
        <f t="shared" si="42"/>
        <v>350</v>
      </c>
      <c r="K562" s="1">
        <f t="shared" si="43"/>
        <v>1618750</v>
      </c>
      <c r="L562" s="2" t="str">
        <f t="shared" si="44"/>
        <v>Average</v>
      </c>
    </row>
    <row r="563" spans="1:12" x14ac:dyDescent="0.3">
      <c r="A563" t="s">
        <v>962</v>
      </c>
      <c r="B563" t="s">
        <v>1002</v>
      </c>
      <c r="C563" s="3">
        <v>4.2</v>
      </c>
      <c r="D563" s="3">
        <v>91</v>
      </c>
      <c r="E563" t="s">
        <v>1003</v>
      </c>
      <c r="F563" s="3">
        <v>19.0785084</v>
      </c>
      <c r="G563">
        <v>72.903891099999996</v>
      </c>
      <c r="H563">
        <f t="shared" si="40"/>
        <v>382.2</v>
      </c>
      <c r="I563" s="3">
        <f t="shared" si="41"/>
        <v>2275</v>
      </c>
      <c r="J563" s="1">
        <f t="shared" si="42"/>
        <v>350</v>
      </c>
      <c r="K563" s="1">
        <f t="shared" si="43"/>
        <v>796250</v>
      </c>
      <c r="L563" s="2" t="str">
        <f t="shared" si="44"/>
        <v>Popular</v>
      </c>
    </row>
    <row r="564" spans="1:12" x14ac:dyDescent="0.3">
      <c r="A564" t="s">
        <v>962</v>
      </c>
      <c r="B564" t="s">
        <v>1004</v>
      </c>
      <c r="C564" s="3">
        <v>4.7</v>
      </c>
      <c r="D564" s="3">
        <v>130</v>
      </c>
      <c r="E564" t="s">
        <v>1005</v>
      </c>
      <c r="F564" s="3">
        <v>19.099355800000001</v>
      </c>
      <c r="G564">
        <v>72.916342099999994</v>
      </c>
      <c r="H564">
        <f t="shared" si="40"/>
        <v>611</v>
      </c>
      <c r="I564" s="3">
        <f t="shared" si="41"/>
        <v>3250</v>
      </c>
      <c r="J564" s="1">
        <f t="shared" si="42"/>
        <v>550</v>
      </c>
      <c r="K564" s="1">
        <f t="shared" si="43"/>
        <v>1787500</v>
      </c>
      <c r="L564" s="2" t="str">
        <f t="shared" si="44"/>
        <v>Premium</v>
      </c>
    </row>
    <row r="565" spans="1:12" x14ac:dyDescent="0.3">
      <c r="A565" t="s">
        <v>962</v>
      </c>
      <c r="B565" t="s">
        <v>867</v>
      </c>
      <c r="C565" s="3">
        <v>4.5</v>
      </c>
      <c r="D565" s="3">
        <v>2253</v>
      </c>
      <c r="E565" t="s">
        <v>868</v>
      </c>
      <c r="F565" s="3">
        <v>19.070120500000002</v>
      </c>
      <c r="G565">
        <v>72.8975121</v>
      </c>
      <c r="H565">
        <f t="shared" si="40"/>
        <v>10138.5</v>
      </c>
      <c r="I565" s="3">
        <f t="shared" si="41"/>
        <v>56325</v>
      </c>
      <c r="J565" s="1">
        <f t="shared" si="42"/>
        <v>450</v>
      </c>
      <c r="K565" s="1">
        <f t="shared" si="43"/>
        <v>25346250</v>
      </c>
      <c r="L565" s="2" t="str">
        <f t="shared" si="44"/>
        <v>Premium</v>
      </c>
    </row>
    <row r="566" spans="1:12" x14ac:dyDescent="0.3">
      <c r="A566" t="s">
        <v>962</v>
      </c>
      <c r="B566" t="s">
        <v>1006</v>
      </c>
      <c r="C566" s="3">
        <v>4.2</v>
      </c>
      <c r="D566" s="3">
        <v>17</v>
      </c>
      <c r="E566" t="s">
        <v>1007</v>
      </c>
      <c r="F566" s="3">
        <v>19.075835600000001</v>
      </c>
      <c r="G566">
        <v>72.905298799999997</v>
      </c>
      <c r="H566">
        <f t="shared" si="40"/>
        <v>71.400000000000006</v>
      </c>
      <c r="I566" s="3">
        <f t="shared" si="41"/>
        <v>425</v>
      </c>
      <c r="J566" s="1">
        <f t="shared" si="42"/>
        <v>350</v>
      </c>
      <c r="K566" s="1">
        <f t="shared" si="43"/>
        <v>148750</v>
      </c>
      <c r="L566" s="2" t="str">
        <f t="shared" si="44"/>
        <v>Popular</v>
      </c>
    </row>
    <row r="567" spans="1:12" x14ac:dyDescent="0.3">
      <c r="A567" t="s">
        <v>962</v>
      </c>
      <c r="B567" t="s">
        <v>1008</v>
      </c>
      <c r="C567" s="3">
        <v>4.7</v>
      </c>
      <c r="D567" s="3">
        <v>44</v>
      </c>
      <c r="E567" t="s">
        <v>1009</v>
      </c>
      <c r="F567" s="3">
        <v>19.087616000000001</v>
      </c>
      <c r="G567">
        <v>72.909305099999997</v>
      </c>
      <c r="H567">
        <f t="shared" si="40"/>
        <v>206.8</v>
      </c>
      <c r="I567" s="3">
        <f t="shared" si="41"/>
        <v>1100</v>
      </c>
      <c r="J567" s="1">
        <f t="shared" si="42"/>
        <v>550</v>
      </c>
      <c r="K567" s="1">
        <f t="shared" si="43"/>
        <v>605000</v>
      </c>
      <c r="L567" s="2" t="str">
        <f t="shared" si="44"/>
        <v>Premium</v>
      </c>
    </row>
    <row r="568" spans="1:12" x14ac:dyDescent="0.3">
      <c r="A568" t="s">
        <v>962</v>
      </c>
      <c r="B568" t="s">
        <v>1010</v>
      </c>
      <c r="C568" s="3">
        <v>4.9000000000000004</v>
      </c>
      <c r="D568" s="3">
        <v>126</v>
      </c>
      <c r="E568" t="s">
        <v>1011</v>
      </c>
      <c r="F568" s="3">
        <v>19.0772187</v>
      </c>
      <c r="G568">
        <v>72.899657300000001</v>
      </c>
      <c r="H568">
        <f t="shared" si="40"/>
        <v>617.40000000000009</v>
      </c>
      <c r="I568" s="3">
        <f t="shared" si="41"/>
        <v>3150</v>
      </c>
      <c r="J568" s="1">
        <f t="shared" si="42"/>
        <v>550</v>
      </c>
      <c r="K568" s="1">
        <f t="shared" si="43"/>
        <v>1732500</v>
      </c>
      <c r="L568" s="2" t="str">
        <f t="shared" si="44"/>
        <v>Premium</v>
      </c>
    </row>
    <row r="569" spans="1:12" x14ac:dyDescent="0.3">
      <c r="A569" t="s">
        <v>962</v>
      </c>
      <c r="B569" t="s">
        <v>1012</v>
      </c>
      <c r="C569" s="3">
        <v>4.4000000000000004</v>
      </c>
      <c r="D569" s="3">
        <v>401</v>
      </c>
      <c r="E569" t="s">
        <v>1013</v>
      </c>
      <c r="F569" s="3">
        <v>19.0799691</v>
      </c>
      <c r="G569">
        <v>72.911089699999906</v>
      </c>
      <c r="H569">
        <f t="shared" si="40"/>
        <v>1764.4</v>
      </c>
      <c r="I569" s="3">
        <f t="shared" si="41"/>
        <v>10025</v>
      </c>
      <c r="J569" s="1">
        <f t="shared" si="42"/>
        <v>450</v>
      </c>
      <c r="K569" s="1">
        <f t="shared" si="43"/>
        <v>4511250</v>
      </c>
      <c r="L569" s="2" t="str">
        <f t="shared" si="44"/>
        <v>Popular</v>
      </c>
    </row>
    <row r="570" spans="1:12" x14ac:dyDescent="0.3">
      <c r="A570" t="s">
        <v>962</v>
      </c>
      <c r="B570" t="s">
        <v>128</v>
      </c>
      <c r="C570" s="3">
        <v>4.3</v>
      </c>
      <c r="D570" s="3">
        <v>630</v>
      </c>
      <c r="E570" t="s">
        <v>1014</v>
      </c>
      <c r="F570" s="3">
        <v>19.0774583</v>
      </c>
      <c r="G570">
        <v>72.907296700000003</v>
      </c>
      <c r="H570">
        <f t="shared" si="40"/>
        <v>2709</v>
      </c>
      <c r="I570" s="3">
        <f t="shared" si="41"/>
        <v>15750</v>
      </c>
      <c r="J570" s="1">
        <f t="shared" si="42"/>
        <v>350</v>
      </c>
      <c r="K570" s="1">
        <f t="shared" si="43"/>
        <v>5512500</v>
      </c>
      <c r="L570" s="2" t="str">
        <f t="shared" si="44"/>
        <v>Popular</v>
      </c>
    </row>
    <row r="571" spans="1:12" x14ac:dyDescent="0.3">
      <c r="A571" t="s">
        <v>962</v>
      </c>
      <c r="B571" t="s">
        <v>1015</v>
      </c>
      <c r="C571" s="3">
        <v>4.0999999999999996</v>
      </c>
      <c r="D571" s="3">
        <v>10076</v>
      </c>
      <c r="E571" t="s">
        <v>1016</v>
      </c>
      <c r="F571" s="3">
        <v>19.075049199999999</v>
      </c>
      <c r="G571">
        <v>72.903907099999998</v>
      </c>
      <c r="H571">
        <f t="shared" si="40"/>
        <v>41311.599999999999</v>
      </c>
      <c r="I571" s="3">
        <f t="shared" si="41"/>
        <v>251900</v>
      </c>
      <c r="J571" s="1">
        <f t="shared" si="42"/>
        <v>350</v>
      </c>
      <c r="K571" s="1">
        <f t="shared" si="43"/>
        <v>88165000</v>
      </c>
      <c r="L571" s="2" t="str">
        <f t="shared" si="44"/>
        <v>Popular</v>
      </c>
    </row>
    <row r="572" spans="1:12" x14ac:dyDescent="0.3">
      <c r="A572" t="s">
        <v>962</v>
      </c>
      <c r="B572" t="s">
        <v>1017</v>
      </c>
      <c r="C572" s="3">
        <v>4</v>
      </c>
      <c r="D572" s="3">
        <v>428</v>
      </c>
      <c r="E572" t="s">
        <v>1018</v>
      </c>
      <c r="F572" s="3">
        <v>19.0800628</v>
      </c>
      <c r="G572">
        <v>72.905370300000001</v>
      </c>
      <c r="H572">
        <f t="shared" si="40"/>
        <v>1712</v>
      </c>
      <c r="I572" s="3">
        <f t="shared" si="41"/>
        <v>10700</v>
      </c>
      <c r="J572" s="1">
        <f t="shared" si="42"/>
        <v>350</v>
      </c>
      <c r="K572" s="1">
        <f t="shared" si="43"/>
        <v>3745000</v>
      </c>
      <c r="L572" s="2" t="str">
        <f t="shared" si="44"/>
        <v>Popular</v>
      </c>
    </row>
    <row r="573" spans="1:12" x14ac:dyDescent="0.3">
      <c r="A573" t="s">
        <v>962</v>
      </c>
      <c r="B573" t="s">
        <v>1019</v>
      </c>
      <c r="C573" s="3">
        <v>4.4000000000000004</v>
      </c>
      <c r="D573" s="3">
        <v>80</v>
      </c>
      <c r="E573" t="s">
        <v>1020</v>
      </c>
      <c r="F573" s="3">
        <v>19.078859099999999</v>
      </c>
      <c r="G573">
        <v>72.910521000000003</v>
      </c>
      <c r="H573">
        <f t="shared" si="40"/>
        <v>352</v>
      </c>
      <c r="I573" s="3">
        <f t="shared" si="41"/>
        <v>2000</v>
      </c>
      <c r="J573" s="1">
        <f t="shared" si="42"/>
        <v>450</v>
      </c>
      <c r="K573" s="1">
        <f t="shared" si="43"/>
        <v>900000</v>
      </c>
      <c r="L573" s="2" t="str">
        <f t="shared" si="44"/>
        <v>Popular</v>
      </c>
    </row>
    <row r="574" spans="1:12" x14ac:dyDescent="0.3">
      <c r="A574" t="s">
        <v>962</v>
      </c>
      <c r="B574" t="s">
        <v>1021</v>
      </c>
      <c r="C574" s="3">
        <v>4</v>
      </c>
      <c r="D574" s="3">
        <v>2056</v>
      </c>
      <c r="E574" t="s">
        <v>1022</v>
      </c>
      <c r="F574" s="3">
        <v>19.0794827</v>
      </c>
      <c r="G574">
        <v>72.909287599999999</v>
      </c>
      <c r="H574">
        <f t="shared" si="40"/>
        <v>8224</v>
      </c>
      <c r="I574" s="3">
        <f t="shared" si="41"/>
        <v>51400</v>
      </c>
      <c r="J574" s="1">
        <f t="shared" si="42"/>
        <v>350</v>
      </c>
      <c r="K574" s="1">
        <f t="shared" si="43"/>
        <v>17990000</v>
      </c>
      <c r="L574" s="2" t="str">
        <f t="shared" si="44"/>
        <v>Popular</v>
      </c>
    </row>
    <row r="575" spans="1:12" x14ac:dyDescent="0.3">
      <c r="A575" t="s">
        <v>962</v>
      </c>
      <c r="B575" t="s">
        <v>1023</v>
      </c>
      <c r="C575" s="3">
        <v>4.2</v>
      </c>
      <c r="D575" s="3">
        <v>150</v>
      </c>
      <c r="E575" t="s">
        <v>1024</v>
      </c>
      <c r="F575" s="3">
        <v>19.085650300000001</v>
      </c>
      <c r="G575">
        <v>72.911476899999997</v>
      </c>
      <c r="H575">
        <f t="shared" si="40"/>
        <v>630</v>
      </c>
      <c r="I575" s="3">
        <f t="shared" si="41"/>
        <v>3750</v>
      </c>
      <c r="J575" s="1">
        <f t="shared" si="42"/>
        <v>350</v>
      </c>
      <c r="K575" s="1">
        <f t="shared" si="43"/>
        <v>1312500</v>
      </c>
      <c r="L575" s="2" t="str">
        <f t="shared" si="44"/>
        <v>Popular</v>
      </c>
    </row>
    <row r="576" spans="1:12" x14ac:dyDescent="0.3">
      <c r="A576" t="s">
        <v>962</v>
      </c>
      <c r="B576" t="s">
        <v>1025</v>
      </c>
      <c r="C576" s="3">
        <v>4.5</v>
      </c>
      <c r="D576" s="3">
        <v>39</v>
      </c>
      <c r="E576" t="s">
        <v>1026</v>
      </c>
      <c r="F576" s="3">
        <v>19.082504</v>
      </c>
      <c r="G576">
        <v>72.904930300000004</v>
      </c>
      <c r="H576">
        <f t="shared" si="40"/>
        <v>175.5</v>
      </c>
      <c r="I576" s="3">
        <f t="shared" si="41"/>
        <v>975</v>
      </c>
      <c r="J576" s="1">
        <f t="shared" si="42"/>
        <v>450</v>
      </c>
      <c r="K576" s="1">
        <f t="shared" si="43"/>
        <v>438750</v>
      </c>
      <c r="L576" s="2" t="str">
        <f t="shared" si="44"/>
        <v>Premium</v>
      </c>
    </row>
    <row r="577" spans="1:12" x14ac:dyDescent="0.3">
      <c r="A577" t="s">
        <v>962</v>
      </c>
      <c r="B577" t="s">
        <v>1027</v>
      </c>
      <c r="C577" s="3">
        <v>4.7</v>
      </c>
      <c r="D577" s="3">
        <v>26</v>
      </c>
      <c r="E577" t="s">
        <v>1028</v>
      </c>
      <c r="F577" s="3">
        <v>19.077398500000001</v>
      </c>
      <c r="G577">
        <v>72.899722099999906</v>
      </c>
      <c r="H577">
        <f t="shared" si="40"/>
        <v>122.2</v>
      </c>
      <c r="I577" s="3">
        <f t="shared" si="41"/>
        <v>650</v>
      </c>
      <c r="J577" s="1">
        <f t="shared" si="42"/>
        <v>550</v>
      </c>
      <c r="K577" s="1">
        <f t="shared" si="43"/>
        <v>357500</v>
      </c>
      <c r="L577" s="2" t="str">
        <f t="shared" si="44"/>
        <v>Premium</v>
      </c>
    </row>
    <row r="578" spans="1:12" x14ac:dyDescent="0.3">
      <c r="A578" t="s">
        <v>962</v>
      </c>
      <c r="B578" t="s">
        <v>1029</v>
      </c>
      <c r="C578" s="3">
        <v>4.9000000000000004</v>
      </c>
      <c r="D578" s="3">
        <v>70</v>
      </c>
      <c r="E578" t="s">
        <v>1030</v>
      </c>
      <c r="F578" s="3">
        <v>19.0823477</v>
      </c>
      <c r="G578">
        <v>72.908811799999995</v>
      </c>
      <c r="H578">
        <f t="shared" ref="H578:H641" si="45">C578*D578</f>
        <v>343</v>
      </c>
      <c r="I578" s="3">
        <f t="shared" ref="I578:I641" si="46">D578*25</f>
        <v>1750</v>
      </c>
      <c r="J578" s="1">
        <f t="shared" ref="J578:J641" si="47">IF(C578&gt;=4.7,550,IF(C578&gt;=4.4,450,IF(C578&gt;=O580,350,250)))</f>
        <v>550</v>
      </c>
      <c r="K578" s="1">
        <f t="shared" ref="K578:K641" si="48">I578*J578</f>
        <v>962500</v>
      </c>
      <c r="L578" s="2" t="str">
        <f t="shared" ref="L578:L641" si="49">IF(C578&gt;=4.5,"Premium",IF(C578&gt;=4,"Popular","Average"))</f>
        <v>Premium</v>
      </c>
    </row>
    <row r="579" spans="1:12" x14ac:dyDescent="0.3">
      <c r="A579" t="s">
        <v>962</v>
      </c>
      <c r="B579" t="s">
        <v>1031</v>
      </c>
      <c r="C579" s="3">
        <v>4</v>
      </c>
      <c r="D579" s="3">
        <v>832</v>
      </c>
      <c r="E579" t="s">
        <v>1032</v>
      </c>
      <c r="F579" s="3">
        <v>19.079111900000001</v>
      </c>
      <c r="G579">
        <v>72.905678100000003</v>
      </c>
      <c r="H579">
        <f t="shared" si="45"/>
        <v>3328</v>
      </c>
      <c r="I579" s="3">
        <f t="shared" si="46"/>
        <v>20800</v>
      </c>
      <c r="J579" s="1">
        <f t="shared" si="47"/>
        <v>350</v>
      </c>
      <c r="K579" s="1">
        <f t="shared" si="48"/>
        <v>7280000</v>
      </c>
      <c r="L579" s="2" t="str">
        <f t="shared" si="49"/>
        <v>Popular</v>
      </c>
    </row>
    <row r="580" spans="1:12" x14ac:dyDescent="0.3">
      <c r="A580" t="s">
        <v>962</v>
      </c>
      <c r="B580" t="s">
        <v>1033</v>
      </c>
      <c r="C580" s="3">
        <v>3.6</v>
      </c>
      <c r="D580" s="3">
        <v>249</v>
      </c>
      <c r="E580" t="s">
        <v>1034</v>
      </c>
      <c r="F580" s="3">
        <v>19.098803400000001</v>
      </c>
      <c r="G580">
        <v>72.916628699999904</v>
      </c>
      <c r="H580">
        <f t="shared" si="45"/>
        <v>896.4</v>
      </c>
      <c r="I580" s="3">
        <f t="shared" si="46"/>
        <v>6225</v>
      </c>
      <c r="J580" s="1">
        <f t="shared" si="47"/>
        <v>350</v>
      </c>
      <c r="K580" s="1">
        <f t="shared" si="48"/>
        <v>2178750</v>
      </c>
      <c r="L580" s="2" t="str">
        <f t="shared" si="49"/>
        <v>Average</v>
      </c>
    </row>
    <row r="581" spans="1:12" x14ac:dyDescent="0.3">
      <c r="A581" t="s">
        <v>962</v>
      </c>
      <c r="B581" t="s">
        <v>1035</v>
      </c>
      <c r="C581" s="3">
        <v>4.3</v>
      </c>
      <c r="D581" s="3">
        <v>739</v>
      </c>
      <c r="E581" t="s">
        <v>1036</v>
      </c>
      <c r="F581" s="3">
        <v>19.078827400000002</v>
      </c>
      <c r="G581">
        <v>72.909940800000001</v>
      </c>
      <c r="H581">
        <f t="shared" si="45"/>
        <v>3177.7</v>
      </c>
      <c r="I581" s="3">
        <f t="shared" si="46"/>
        <v>18475</v>
      </c>
      <c r="J581" s="1">
        <f t="shared" si="47"/>
        <v>350</v>
      </c>
      <c r="K581" s="1">
        <f t="shared" si="48"/>
        <v>6466250</v>
      </c>
      <c r="L581" s="2" t="str">
        <f t="shared" si="49"/>
        <v>Popular</v>
      </c>
    </row>
    <row r="582" spans="1:12" x14ac:dyDescent="0.3">
      <c r="A582" t="s">
        <v>962</v>
      </c>
      <c r="B582" t="s">
        <v>128</v>
      </c>
      <c r="C582" s="3">
        <v>4.4000000000000004</v>
      </c>
      <c r="D582" s="3">
        <v>2307</v>
      </c>
      <c r="E582" t="s">
        <v>1037</v>
      </c>
      <c r="F582" s="3">
        <v>19.099654399999999</v>
      </c>
      <c r="G582">
        <v>72.916262699999905</v>
      </c>
      <c r="H582">
        <f t="shared" si="45"/>
        <v>10150.800000000001</v>
      </c>
      <c r="I582" s="3">
        <f t="shared" si="46"/>
        <v>57675</v>
      </c>
      <c r="J582" s="1">
        <f t="shared" si="47"/>
        <v>450</v>
      </c>
      <c r="K582" s="1">
        <f t="shared" si="48"/>
        <v>25953750</v>
      </c>
      <c r="L582" s="2" t="str">
        <f t="shared" si="49"/>
        <v>Popular</v>
      </c>
    </row>
    <row r="583" spans="1:12" x14ac:dyDescent="0.3">
      <c r="A583" t="s">
        <v>962</v>
      </c>
      <c r="B583" t="s">
        <v>1038</v>
      </c>
      <c r="C583" s="3">
        <v>4.5999999999999996</v>
      </c>
      <c r="D583" s="3">
        <v>284</v>
      </c>
      <c r="E583" t="s">
        <v>1039</v>
      </c>
      <c r="F583" s="3">
        <v>19.093147200000001</v>
      </c>
      <c r="G583">
        <v>72.920238499999996</v>
      </c>
      <c r="H583">
        <f t="shared" si="45"/>
        <v>1306.3999999999999</v>
      </c>
      <c r="I583" s="3">
        <f t="shared" si="46"/>
        <v>7100</v>
      </c>
      <c r="J583" s="1">
        <f t="shared" si="47"/>
        <v>450</v>
      </c>
      <c r="K583" s="1">
        <f t="shared" si="48"/>
        <v>3195000</v>
      </c>
      <c r="L583" s="2" t="str">
        <f t="shared" si="49"/>
        <v>Premium</v>
      </c>
    </row>
    <row r="584" spans="1:12" x14ac:dyDescent="0.3">
      <c r="A584" t="s">
        <v>962</v>
      </c>
      <c r="B584" t="s">
        <v>1040</v>
      </c>
      <c r="C584" s="3">
        <v>4.4000000000000004</v>
      </c>
      <c r="D584" s="3">
        <v>3152</v>
      </c>
      <c r="E584" t="s">
        <v>1041</v>
      </c>
      <c r="F584" s="3">
        <v>19.061594199999998</v>
      </c>
      <c r="G584">
        <v>72.899740999999906</v>
      </c>
      <c r="H584">
        <f t="shared" si="45"/>
        <v>13868.800000000001</v>
      </c>
      <c r="I584" s="3">
        <f t="shared" si="46"/>
        <v>78800</v>
      </c>
      <c r="J584" s="1">
        <f t="shared" si="47"/>
        <v>450</v>
      </c>
      <c r="K584" s="1">
        <f t="shared" si="48"/>
        <v>35460000</v>
      </c>
      <c r="L584" s="2" t="str">
        <f t="shared" si="49"/>
        <v>Popular</v>
      </c>
    </row>
    <row r="585" spans="1:12" x14ac:dyDescent="0.3">
      <c r="A585" t="s">
        <v>962</v>
      </c>
      <c r="B585" t="s">
        <v>1042</v>
      </c>
      <c r="C585" s="3">
        <v>3.6</v>
      </c>
      <c r="D585" s="3">
        <v>96</v>
      </c>
      <c r="E585" t="s">
        <v>1043</v>
      </c>
      <c r="F585" s="3">
        <v>19.082859200000001</v>
      </c>
      <c r="G585">
        <v>72.9070179</v>
      </c>
      <c r="H585">
        <f t="shared" si="45"/>
        <v>345.6</v>
      </c>
      <c r="I585" s="3">
        <f t="shared" si="46"/>
        <v>2400</v>
      </c>
      <c r="J585" s="1">
        <f t="shared" si="47"/>
        <v>350</v>
      </c>
      <c r="K585" s="1">
        <f t="shared" si="48"/>
        <v>840000</v>
      </c>
      <c r="L585" s="2" t="str">
        <f t="shared" si="49"/>
        <v>Average</v>
      </c>
    </row>
    <row r="586" spans="1:12" x14ac:dyDescent="0.3">
      <c r="A586" t="s">
        <v>962</v>
      </c>
      <c r="B586" t="s">
        <v>1044</v>
      </c>
      <c r="C586" s="3">
        <v>4.5999999999999996</v>
      </c>
      <c r="D586" s="3">
        <v>504</v>
      </c>
      <c r="E586" t="s">
        <v>1045</v>
      </c>
      <c r="F586" s="3">
        <v>19.069397200000001</v>
      </c>
      <c r="G586">
        <v>72.896929599999893</v>
      </c>
      <c r="H586">
        <f t="shared" si="45"/>
        <v>2318.3999999999996</v>
      </c>
      <c r="I586" s="3">
        <f t="shared" si="46"/>
        <v>12600</v>
      </c>
      <c r="J586" s="1">
        <f t="shared" si="47"/>
        <v>450</v>
      </c>
      <c r="K586" s="1">
        <f t="shared" si="48"/>
        <v>5670000</v>
      </c>
      <c r="L586" s="2" t="str">
        <f t="shared" si="49"/>
        <v>Premium</v>
      </c>
    </row>
    <row r="587" spans="1:12" x14ac:dyDescent="0.3">
      <c r="A587" t="s">
        <v>962</v>
      </c>
      <c r="B587" t="s">
        <v>1046</v>
      </c>
      <c r="C587" s="3">
        <v>4.7</v>
      </c>
      <c r="D587" s="3">
        <v>66</v>
      </c>
      <c r="E587" t="s">
        <v>1047</v>
      </c>
      <c r="F587" s="3">
        <v>19.077157100000001</v>
      </c>
      <c r="G587">
        <v>72.900784399999907</v>
      </c>
      <c r="H587">
        <f t="shared" si="45"/>
        <v>310.2</v>
      </c>
      <c r="I587" s="3">
        <f t="shared" si="46"/>
        <v>1650</v>
      </c>
      <c r="J587" s="1">
        <f t="shared" si="47"/>
        <v>550</v>
      </c>
      <c r="K587" s="1">
        <f t="shared" si="48"/>
        <v>907500</v>
      </c>
      <c r="L587" s="2" t="str">
        <f t="shared" si="49"/>
        <v>Premium</v>
      </c>
    </row>
    <row r="588" spans="1:12" x14ac:dyDescent="0.3">
      <c r="A588" t="s">
        <v>962</v>
      </c>
      <c r="B588" t="s">
        <v>1048</v>
      </c>
      <c r="C588" s="3">
        <v>4.2</v>
      </c>
      <c r="D588" s="3">
        <v>1388</v>
      </c>
      <c r="E588" t="s">
        <v>1049</v>
      </c>
      <c r="F588" s="3">
        <v>19.086579799999999</v>
      </c>
      <c r="G588">
        <v>72.908104999999907</v>
      </c>
      <c r="H588">
        <f t="shared" si="45"/>
        <v>5829.6</v>
      </c>
      <c r="I588" s="3">
        <f t="shared" si="46"/>
        <v>34700</v>
      </c>
      <c r="J588" s="1">
        <f t="shared" si="47"/>
        <v>350</v>
      </c>
      <c r="K588" s="1">
        <f t="shared" si="48"/>
        <v>12145000</v>
      </c>
      <c r="L588" s="2" t="str">
        <f t="shared" si="49"/>
        <v>Popular</v>
      </c>
    </row>
    <row r="589" spans="1:12" x14ac:dyDescent="0.3">
      <c r="A589" t="s">
        <v>962</v>
      </c>
      <c r="B589" t="s">
        <v>1050</v>
      </c>
      <c r="C589" s="3">
        <v>3.8</v>
      </c>
      <c r="D589" s="3">
        <v>927</v>
      </c>
      <c r="E589" t="s">
        <v>1051</v>
      </c>
      <c r="F589" s="3">
        <v>19.0963089</v>
      </c>
      <c r="G589">
        <v>72.915329599999893</v>
      </c>
      <c r="H589">
        <f t="shared" si="45"/>
        <v>3522.6</v>
      </c>
      <c r="I589" s="3">
        <f t="shared" si="46"/>
        <v>23175</v>
      </c>
      <c r="J589" s="1">
        <f t="shared" si="47"/>
        <v>350</v>
      </c>
      <c r="K589" s="1">
        <f t="shared" si="48"/>
        <v>8111250</v>
      </c>
      <c r="L589" s="2" t="str">
        <f t="shared" si="49"/>
        <v>Average</v>
      </c>
    </row>
    <row r="590" spans="1:12" x14ac:dyDescent="0.3">
      <c r="A590" t="s">
        <v>962</v>
      </c>
      <c r="B590" t="s">
        <v>1052</v>
      </c>
      <c r="C590" s="3">
        <v>4.3</v>
      </c>
      <c r="D590" s="3">
        <v>2219</v>
      </c>
      <c r="E590" t="s">
        <v>1053</v>
      </c>
      <c r="F590" s="3">
        <v>19.079921200000001</v>
      </c>
      <c r="G590">
        <v>72.905660900000001</v>
      </c>
      <c r="H590">
        <f t="shared" si="45"/>
        <v>9541.6999999999989</v>
      </c>
      <c r="I590" s="3">
        <f t="shared" si="46"/>
        <v>55475</v>
      </c>
      <c r="J590" s="1">
        <f t="shared" si="47"/>
        <v>350</v>
      </c>
      <c r="K590" s="1">
        <f t="shared" si="48"/>
        <v>19416250</v>
      </c>
      <c r="L590" s="2" t="str">
        <f t="shared" si="49"/>
        <v>Popular</v>
      </c>
    </row>
    <row r="591" spans="1:12" x14ac:dyDescent="0.3">
      <c r="A591" t="s">
        <v>962</v>
      </c>
      <c r="B591" t="s">
        <v>1054</v>
      </c>
      <c r="C591" s="3">
        <v>4.0999999999999996</v>
      </c>
      <c r="D591" s="3">
        <v>542</v>
      </c>
      <c r="E591" t="s">
        <v>1055</v>
      </c>
      <c r="F591" s="3">
        <v>19.079788300000001</v>
      </c>
      <c r="G591">
        <v>72.906141399999996</v>
      </c>
      <c r="H591">
        <f t="shared" si="45"/>
        <v>2222.1999999999998</v>
      </c>
      <c r="I591" s="3">
        <f t="shared" si="46"/>
        <v>13550</v>
      </c>
      <c r="J591" s="1">
        <f t="shared" si="47"/>
        <v>350</v>
      </c>
      <c r="K591" s="1">
        <f t="shared" si="48"/>
        <v>4742500</v>
      </c>
      <c r="L591" s="2" t="str">
        <f t="shared" si="49"/>
        <v>Popular</v>
      </c>
    </row>
    <row r="592" spans="1:12" x14ac:dyDescent="0.3">
      <c r="A592" t="s">
        <v>962</v>
      </c>
      <c r="B592" t="s">
        <v>1025</v>
      </c>
      <c r="C592" s="3">
        <v>4.0999999999999996</v>
      </c>
      <c r="D592" s="3">
        <v>33</v>
      </c>
      <c r="E592" t="s">
        <v>1056</v>
      </c>
      <c r="F592" s="3">
        <v>19.087069499999998</v>
      </c>
      <c r="G592">
        <v>72.904443999999998</v>
      </c>
      <c r="H592">
        <f t="shared" si="45"/>
        <v>135.29999999999998</v>
      </c>
      <c r="I592" s="3">
        <f t="shared" si="46"/>
        <v>825</v>
      </c>
      <c r="J592" s="1">
        <f t="shared" si="47"/>
        <v>350</v>
      </c>
      <c r="K592" s="1">
        <f t="shared" si="48"/>
        <v>288750</v>
      </c>
      <c r="L592" s="2" t="str">
        <f t="shared" si="49"/>
        <v>Popular</v>
      </c>
    </row>
    <row r="593" spans="1:12" x14ac:dyDescent="0.3">
      <c r="A593" t="s">
        <v>962</v>
      </c>
      <c r="B593" t="s">
        <v>1057</v>
      </c>
      <c r="C593" s="3">
        <v>4.5</v>
      </c>
      <c r="D593" s="3">
        <v>5001</v>
      </c>
      <c r="E593" t="s">
        <v>1058</v>
      </c>
      <c r="F593" s="3">
        <v>19.085387600000001</v>
      </c>
      <c r="G593">
        <v>72.909024399999893</v>
      </c>
      <c r="H593">
        <f t="shared" si="45"/>
        <v>22504.5</v>
      </c>
      <c r="I593" s="3">
        <f t="shared" si="46"/>
        <v>125025</v>
      </c>
      <c r="J593" s="1">
        <f t="shared" si="47"/>
        <v>450</v>
      </c>
      <c r="K593" s="1">
        <f t="shared" si="48"/>
        <v>56261250</v>
      </c>
      <c r="L593" s="2" t="str">
        <f t="shared" si="49"/>
        <v>Premium</v>
      </c>
    </row>
    <row r="594" spans="1:12" x14ac:dyDescent="0.3">
      <c r="A594" t="s">
        <v>962</v>
      </c>
      <c r="B594" t="s">
        <v>1059</v>
      </c>
      <c r="C594" s="3">
        <v>4.3</v>
      </c>
      <c r="D594" s="3">
        <v>993</v>
      </c>
      <c r="E594" t="s">
        <v>1060</v>
      </c>
      <c r="F594" s="3">
        <v>19.099355800000001</v>
      </c>
      <c r="G594">
        <v>72.916342099999994</v>
      </c>
      <c r="H594">
        <f t="shared" si="45"/>
        <v>4269.8999999999996</v>
      </c>
      <c r="I594" s="3">
        <f t="shared" si="46"/>
        <v>24825</v>
      </c>
      <c r="J594" s="1">
        <f t="shared" si="47"/>
        <v>350</v>
      </c>
      <c r="K594" s="1">
        <f t="shared" si="48"/>
        <v>8688750</v>
      </c>
      <c r="L594" s="2" t="str">
        <f t="shared" si="49"/>
        <v>Popular</v>
      </c>
    </row>
    <row r="595" spans="1:12" x14ac:dyDescent="0.3">
      <c r="A595" t="s">
        <v>962</v>
      </c>
      <c r="B595" t="s">
        <v>1061</v>
      </c>
      <c r="C595" s="3">
        <v>4.0999999999999996</v>
      </c>
      <c r="D595" s="3">
        <v>1854</v>
      </c>
      <c r="E595" t="s">
        <v>1062</v>
      </c>
      <c r="F595" s="3">
        <v>19.075226499999999</v>
      </c>
      <c r="G595">
        <v>72.905197299999998</v>
      </c>
      <c r="H595">
        <f t="shared" si="45"/>
        <v>7601.4</v>
      </c>
      <c r="I595" s="3">
        <f t="shared" si="46"/>
        <v>46350</v>
      </c>
      <c r="J595" s="1">
        <f t="shared" si="47"/>
        <v>350</v>
      </c>
      <c r="K595" s="1">
        <f t="shared" si="48"/>
        <v>16222500</v>
      </c>
      <c r="L595" s="2" t="str">
        <f t="shared" si="49"/>
        <v>Popular</v>
      </c>
    </row>
    <row r="596" spans="1:12" x14ac:dyDescent="0.3">
      <c r="A596" t="s">
        <v>962</v>
      </c>
      <c r="B596" t="s">
        <v>1063</v>
      </c>
      <c r="C596" s="3">
        <v>4.0999999999999996</v>
      </c>
      <c r="D596" s="3">
        <v>62</v>
      </c>
      <c r="E596" t="s">
        <v>1064</v>
      </c>
      <c r="F596" s="3">
        <v>19.080446899999998</v>
      </c>
      <c r="G596">
        <v>72.904587399999997</v>
      </c>
      <c r="H596">
        <f t="shared" si="45"/>
        <v>254.2</v>
      </c>
      <c r="I596" s="3">
        <f t="shared" si="46"/>
        <v>1550</v>
      </c>
      <c r="J596" s="1">
        <f t="shared" si="47"/>
        <v>350</v>
      </c>
      <c r="K596" s="1">
        <f t="shared" si="48"/>
        <v>542500</v>
      </c>
      <c r="L596" s="2" t="str">
        <f t="shared" si="49"/>
        <v>Popular</v>
      </c>
    </row>
    <row r="597" spans="1:12" x14ac:dyDescent="0.3">
      <c r="A597" t="s">
        <v>962</v>
      </c>
      <c r="B597" t="s">
        <v>1065</v>
      </c>
      <c r="C597" s="3">
        <v>4.7</v>
      </c>
      <c r="D597" s="3">
        <v>513</v>
      </c>
      <c r="E597" t="s">
        <v>1066</v>
      </c>
      <c r="F597" s="3">
        <v>19.085251400000001</v>
      </c>
      <c r="G597">
        <v>72.912363200000001</v>
      </c>
      <c r="H597">
        <f t="shared" si="45"/>
        <v>2411.1</v>
      </c>
      <c r="I597" s="3">
        <f t="shared" si="46"/>
        <v>12825</v>
      </c>
      <c r="J597" s="1">
        <f t="shared" si="47"/>
        <v>550</v>
      </c>
      <c r="K597" s="1">
        <f t="shared" si="48"/>
        <v>7053750</v>
      </c>
      <c r="L597" s="2" t="str">
        <f t="shared" si="49"/>
        <v>Premium</v>
      </c>
    </row>
    <row r="598" spans="1:12" x14ac:dyDescent="0.3">
      <c r="A598" t="s">
        <v>962</v>
      </c>
      <c r="B598" t="s">
        <v>1067</v>
      </c>
      <c r="C598" s="3">
        <v>4.3</v>
      </c>
      <c r="D598" s="3">
        <v>416</v>
      </c>
      <c r="E598" t="s">
        <v>1068</v>
      </c>
      <c r="F598" s="3">
        <v>19.0839535</v>
      </c>
      <c r="G598">
        <v>72.909147300000001</v>
      </c>
      <c r="H598">
        <f t="shared" si="45"/>
        <v>1788.8</v>
      </c>
      <c r="I598" s="3">
        <f t="shared" si="46"/>
        <v>10400</v>
      </c>
      <c r="J598" s="1">
        <f t="shared" si="47"/>
        <v>350</v>
      </c>
      <c r="K598" s="1">
        <f t="shared" si="48"/>
        <v>3640000</v>
      </c>
      <c r="L598" s="2" t="str">
        <f t="shared" si="49"/>
        <v>Popular</v>
      </c>
    </row>
    <row r="599" spans="1:12" x14ac:dyDescent="0.3">
      <c r="A599" t="s">
        <v>962</v>
      </c>
      <c r="B599" t="s">
        <v>1069</v>
      </c>
      <c r="C599" s="3">
        <v>4.9000000000000004</v>
      </c>
      <c r="D599" s="3">
        <v>37</v>
      </c>
      <c r="E599" t="s">
        <v>1070</v>
      </c>
      <c r="F599" s="3">
        <v>19.079289299999999</v>
      </c>
      <c r="G599">
        <v>72.910098500000004</v>
      </c>
      <c r="H599">
        <f t="shared" si="45"/>
        <v>181.3</v>
      </c>
      <c r="I599" s="3">
        <f t="shared" si="46"/>
        <v>925</v>
      </c>
      <c r="J599" s="1">
        <f t="shared" si="47"/>
        <v>550</v>
      </c>
      <c r="K599" s="1">
        <f t="shared" si="48"/>
        <v>508750</v>
      </c>
      <c r="L599" s="2" t="str">
        <f t="shared" si="49"/>
        <v>Premium</v>
      </c>
    </row>
    <row r="600" spans="1:12" x14ac:dyDescent="0.3">
      <c r="A600" t="s">
        <v>962</v>
      </c>
      <c r="B600" t="s">
        <v>1071</v>
      </c>
      <c r="C600" s="3">
        <v>4.2</v>
      </c>
      <c r="D600" s="3">
        <v>63</v>
      </c>
      <c r="E600" t="s">
        <v>1072</v>
      </c>
      <c r="F600" s="3">
        <v>19.074612599999998</v>
      </c>
      <c r="G600">
        <v>72.9131237</v>
      </c>
      <c r="H600">
        <f t="shared" si="45"/>
        <v>264.60000000000002</v>
      </c>
      <c r="I600" s="3">
        <f t="shared" si="46"/>
        <v>1575</v>
      </c>
      <c r="J600" s="1">
        <f t="shared" si="47"/>
        <v>350</v>
      </c>
      <c r="K600" s="1">
        <f t="shared" si="48"/>
        <v>551250</v>
      </c>
      <c r="L600" s="2" t="str">
        <f t="shared" si="49"/>
        <v>Popular</v>
      </c>
    </row>
    <row r="601" spans="1:12" x14ac:dyDescent="0.3">
      <c r="A601" t="s">
        <v>962</v>
      </c>
      <c r="B601" t="s">
        <v>1073</v>
      </c>
      <c r="C601" s="3">
        <v>5</v>
      </c>
      <c r="D601" s="3">
        <v>3</v>
      </c>
      <c r="E601" t="s">
        <v>1074</v>
      </c>
      <c r="F601" s="3">
        <v>19.0824569</v>
      </c>
      <c r="G601">
        <v>72.9127723</v>
      </c>
      <c r="H601">
        <f t="shared" si="45"/>
        <v>15</v>
      </c>
      <c r="I601" s="3">
        <f t="shared" si="46"/>
        <v>75</v>
      </c>
      <c r="J601" s="1">
        <f t="shared" si="47"/>
        <v>550</v>
      </c>
      <c r="K601" s="1">
        <f t="shared" si="48"/>
        <v>41250</v>
      </c>
      <c r="L601" s="2" t="str">
        <f t="shared" si="49"/>
        <v>Premium</v>
      </c>
    </row>
    <row r="602" spans="1:12" x14ac:dyDescent="0.3">
      <c r="A602" t="s">
        <v>1075</v>
      </c>
      <c r="B602" t="s">
        <v>1076</v>
      </c>
      <c r="C602" s="3">
        <v>4.3</v>
      </c>
      <c r="D602" s="3">
        <v>1529</v>
      </c>
      <c r="E602" t="s">
        <v>1077</v>
      </c>
      <c r="F602" s="3">
        <v>19.180744499999999</v>
      </c>
      <c r="G602">
        <v>72.946734499999906</v>
      </c>
      <c r="H602">
        <f t="shared" si="45"/>
        <v>6574.7</v>
      </c>
      <c r="I602" s="3">
        <f t="shared" si="46"/>
        <v>38225</v>
      </c>
      <c r="J602" s="1">
        <f t="shared" si="47"/>
        <v>350</v>
      </c>
      <c r="K602" s="1">
        <f t="shared" si="48"/>
        <v>13378750</v>
      </c>
      <c r="L602" s="2" t="str">
        <f t="shared" si="49"/>
        <v>Popular</v>
      </c>
    </row>
    <row r="603" spans="1:12" x14ac:dyDescent="0.3">
      <c r="A603" t="s">
        <v>1075</v>
      </c>
      <c r="B603" t="s">
        <v>1078</v>
      </c>
      <c r="C603" s="3">
        <v>4</v>
      </c>
      <c r="D603" s="3">
        <v>1791</v>
      </c>
      <c r="E603" t="s">
        <v>1079</v>
      </c>
      <c r="F603" s="3">
        <v>19.172873899999999</v>
      </c>
      <c r="G603">
        <v>72.941472899999994</v>
      </c>
      <c r="H603">
        <f t="shared" si="45"/>
        <v>7164</v>
      </c>
      <c r="I603" s="3">
        <f t="shared" si="46"/>
        <v>44775</v>
      </c>
      <c r="J603" s="1">
        <f t="shared" si="47"/>
        <v>350</v>
      </c>
      <c r="K603" s="1">
        <f t="shared" si="48"/>
        <v>15671250</v>
      </c>
      <c r="L603" s="2" t="str">
        <f t="shared" si="49"/>
        <v>Popular</v>
      </c>
    </row>
    <row r="604" spans="1:12" x14ac:dyDescent="0.3">
      <c r="A604" t="s">
        <v>1075</v>
      </c>
      <c r="B604" t="s">
        <v>1080</v>
      </c>
      <c r="C604" s="3">
        <v>4.4000000000000004</v>
      </c>
      <c r="D604" s="3">
        <v>358</v>
      </c>
      <c r="E604" t="s">
        <v>1081</v>
      </c>
      <c r="F604" s="3">
        <v>19.1724341</v>
      </c>
      <c r="G604">
        <v>72.941307799999905</v>
      </c>
      <c r="H604">
        <f t="shared" si="45"/>
        <v>1575.2</v>
      </c>
      <c r="I604" s="3">
        <f t="shared" si="46"/>
        <v>8950</v>
      </c>
      <c r="J604" s="1">
        <f t="shared" si="47"/>
        <v>450</v>
      </c>
      <c r="K604" s="1">
        <f t="shared" si="48"/>
        <v>4027500</v>
      </c>
      <c r="L604" s="2" t="str">
        <f t="shared" si="49"/>
        <v>Popular</v>
      </c>
    </row>
    <row r="605" spans="1:12" x14ac:dyDescent="0.3">
      <c r="A605" t="s">
        <v>1075</v>
      </c>
      <c r="B605" t="s">
        <v>179</v>
      </c>
      <c r="C605" s="3">
        <v>4.3</v>
      </c>
      <c r="D605" s="3">
        <v>2549</v>
      </c>
      <c r="E605" t="s">
        <v>1082</v>
      </c>
      <c r="F605" s="3">
        <v>19.171517300000001</v>
      </c>
      <c r="G605">
        <v>72.952986899999999</v>
      </c>
      <c r="H605">
        <f t="shared" si="45"/>
        <v>10960.699999999999</v>
      </c>
      <c r="I605" s="3">
        <f t="shared" si="46"/>
        <v>63725</v>
      </c>
      <c r="J605" s="1">
        <f t="shared" si="47"/>
        <v>350</v>
      </c>
      <c r="K605" s="1">
        <f t="shared" si="48"/>
        <v>22303750</v>
      </c>
      <c r="L605" s="2" t="str">
        <f t="shared" si="49"/>
        <v>Popular</v>
      </c>
    </row>
    <row r="606" spans="1:12" x14ac:dyDescent="0.3">
      <c r="A606" t="s">
        <v>1075</v>
      </c>
      <c r="B606" t="s">
        <v>53</v>
      </c>
      <c r="C606" s="3">
        <v>4.8</v>
      </c>
      <c r="D606" s="3">
        <v>1114</v>
      </c>
      <c r="E606" t="s">
        <v>708</v>
      </c>
      <c r="F606" s="3">
        <v>19.160822799999998</v>
      </c>
      <c r="G606">
        <v>72.945387199999999</v>
      </c>
      <c r="H606">
        <f t="shared" si="45"/>
        <v>5347.2</v>
      </c>
      <c r="I606" s="3">
        <f t="shared" si="46"/>
        <v>27850</v>
      </c>
      <c r="J606" s="1">
        <f t="shared" si="47"/>
        <v>550</v>
      </c>
      <c r="K606" s="1">
        <f t="shared" si="48"/>
        <v>15317500</v>
      </c>
      <c r="L606" s="2" t="str">
        <f t="shared" si="49"/>
        <v>Premium</v>
      </c>
    </row>
    <row r="607" spans="1:12" x14ac:dyDescent="0.3">
      <c r="A607" t="s">
        <v>1075</v>
      </c>
      <c r="B607" t="s">
        <v>1083</v>
      </c>
      <c r="C607" s="3">
        <v>4.3</v>
      </c>
      <c r="D607" s="3">
        <v>172</v>
      </c>
      <c r="E607" t="s">
        <v>1084</v>
      </c>
      <c r="F607" s="3">
        <v>19.170914</v>
      </c>
      <c r="G607">
        <v>72.943690699999905</v>
      </c>
      <c r="H607">
        <f t="shared" si="45"/>
        <v>739.6</v>
      </c>
      <c r="I607" s="3">
        <f t="shared" si="46"/>
        <v>4300</v>
      </c>
      <c r="J607" s="1">
        <f t="shared" si="47"/>
        <v>350</v>
      </c>
      <c r="K607" s="1">
        <f t="shared" si="48"/>
        <v>1505000</v>
      </c>
      <c r="L607" s="2" t="str">
        <f t="shared" si="49"/>
        <v>Popular</v>
      </c>
    </row>
    <row r="608" spans="1:12" x14ac:dyDescent="0.3">
      <c r="A608" t="s">
        <v>1075</v>
      </c>
      <c r="B608" t="s">
        <v>1085</v>
      </c>
      <c r="C608" s="3">
        <v>4.5999999999999996</v>
      </c>
      <c r="D608" s="3">
        <v>354</v>
      </c>
      <c r="E608" t="s">
        <v>1086</v>
      </c>
      <c r="F608" s="3">
        <v>19.172840000000001</v>
      </c>
      <c r="G608">
        <v>72.9555194</v>
      </c>
      <c r="H608">
        <f t="shared" si="45"/>
        <v>1628.3999999999999</v>
      </c>
      <c r="I608" s="3">
        <f t="shared" si="46"/>
        <v>8850</v>
      </c>
      <c r="J608" s="1">
        <f t="shared" si="47"/>
        <v>450</v>
      </c>
      <c r="K608" s="1">
        <f t="shared" si="48"/>
        <v>3982500</v>
      </c>
      <c r="L608" s="2" t="str">
        <f t="shared" si="49"/>
        <v>Premium</v>
      </c>
    </row>
    <row r="609" spans="1:12" x14ac:dyDescent="0.3">
      <c r="A609" t="s">
        <v>1075</v>
      </c>
      <c r="B609" t="s">
        <v>1087</v>
      </c>
      <c r="C609" s="3">
        <v>4.3</v>
      </c>
      <c r="D609" s="3">
        <v>256</v>
      </c>
      <c r="E609" t="s">
        <v>1088</v>
      </c>
      <c r="F609" s="3">
        <v>19.175584400000002</v>
      </c>
      <c r="G609">
        <v>72.943590499999999</v>
      </c>
      <c r="H609">
        <f t="shared" si="45"/>
        <v>1100.8</v>
      </c>
      <c r="I609" s="3">
        <f t="shared" si="46"/>
        <v>6400</v>
      </c>
      <c r="J609" s="1">
        <f t="shared" si="47"/>
        <v>350</v>
      </c>
      <c r="K609" s="1">
        <f t="shared" si="48"/>
        <v>2240000</v>
      </c>
      <c r="L609" s="2" t="str">
        <f t="shared" si="49"/>
        <v>Popular</v>
      </c>
    </row>
    <row r="610" spans="1:12" x14ac:dyDescent="0.3">
      <c r="A610" t="s">
        <v>1075</v>
      </c>
      <c r="B610" t="s">
        <v>1089</v>
      </c>
      <c r="C610" s="3">
        <v>4</v>
      </c>
      <c r="D610" s="3">
        <v>1374</v>
      </c>
      <c r="E610" t="s">
        <v>1090</v>
      </c>
      <c r="F610" s="3">
        <v>19.174410999999999</v>
      </c>
      <c r="G610">
        <v>72.958136999999994</v>
      </c>
      <c r="H610">
        <f t="shared" si="45"/>
        <v>5496</v>
      </c>
      <c r="I610" s="3">
        <f t="shared" si="46"/>
        <v>34350</v>
      </c>
      <c r="J610" s="1">
        <f t="shared" si="47"/>
        <v>350</v>
      </c>
      <c r="K610" s="1">
        <f t="shared" si="48"/>
        <v>12022500</v>
      </c>
      <c r="L610" s="2" t="str">
        <f t="shared" si="49"/>
        <v>Popular</v>
      </c>
    </row>
    <row r="611" spans="1:12" x14ac:dyDescent="0.3">
      <c r="A611" t="s">
        <v>1075</v>
      </c>
      <c r="B611" t="s">
        <v>1091</v>
      </c>
      <c r="C611" s="3">
        <v>4.4000000000000004</v>
      </c>
      <c r="D611" s="3">
        <v>1585</v>
      </c>
      <c r="E611" t="s">
        <v>1092</v>
      </c>
      <c r="F611" s="3">
        <v>19.1755423</v>
      </c>
      <c r="G611">
        <v>72.943579299999996</v>
      </c>
      <c r="H611">
        <f t="shared" si="45"/>
        <v>6974.0000000000009</v>
      </c>
      <c r="I611" s="3">
        <f t="shared" si="46"/>
        <v>39625</v>
      </c>
      <c r="J611" s="1">
        <f t="shared" si="47"/>
        <v>450</v>
      </c>
      <c r="K611" s="1">
        <f t="shared" si="48"/>
        <v>17831250</v>
      </c>
      <c r="L611" s="2" t="str">
        <f t="shared" si="49"/>
        <v>Popular</v>
      </c>
    </row>
    <row r="612" spans="1:12" x14ac:dyDescent="0.3">
      <c r="A612" t="s">
        <v>1075</v>
      </c>
      <c r="B612" t="s">
        <v>1093</v>
      </c>
      <c r="C612" s="3">
        <v>4.0999999999999996</v>
      </c>
      <c r="D612" s="3">
        <v>7458</v>
      </c>
      <c r="E612" t="s">
        <v>1094</v>
      </c>
      <c r="F612" s="3">
        <v>19.161836600000001</v>
      </c>
      <c r="G612">
        <v>72.944497699999999</v>
      </c>
      <c r="H612">
        <f t="shared" si="45"/>
        <v>30577.799999999996</v>
      </c>
      <c r="I612" s="3">
        <f t="shared" si="46"/>
        <v>186450</v>
      </c>
      <c r="J612" s="1">
        <f t="shared" si="47"/>
        <v>350</v>
      </c>
      <c r="K612" s="1">
        <f t="shared" si="48"/>
        <v>65257500</v>
      </c>
      <c r="L612" s="2" t="str">
        <f t="shared" si="49"/>
        <v>Popular</v>
      </c>
    </row>
    <row r="613" spans="1:12" x14ac:dyDescent="0.3">
      <c r="A613" t="s">
        <v>1075</v>
      </c>
      <c r="B613" t="s">
        <v>1095</v>
      </c>
      <c r="C613" s="3">
        <v>4.5999999999999996</v>
      </c>
      <c r="D613" s="3">
        <v>58</v>
      </c>
      <c r="E613" t="s">
        <v>1096</v>
      </c>
      <c r="F613" s="3">
        <v>19.159941</v>
      </c>
      <c r="G613">
        <v>72.945495999999906</v>
      </c>
      <c r="H613">
        <f t="shared" si="45"/>
        <v>266.79999999999995</v>
      </c>
      <c r="I613" s="3">
        <f t="shared" si="46"/>
        <v>1450</v>
      </c>
      <c r="J613" s="1">
        <f t="shared" si="47"/>
        <v>450</v>
      </c>
      <c r="K613" s="1">
        <f t="shared" si="48"/>
        <v>652500</v>
      </c>
      <c r="L613" s="2" t="str">
        <f t="shared" si="49"/>
        <v>Premium</v>
      </c>
    </row>
    <row r="614" spans="1:12" x14ac:dyDescent="0.3">
      <c r="A614" t="s">
        <v>1075</v>
      </c>
      <c r="B614" t="s">
        <v>1097</v>
      </c>
      <c r="C614" s="3">
        <v>4.4000000000000004</v>
      </c>
      <c r="D614" s="3">
        <v>266</v>
      </c>
      <c r="E614" t="s">
        <v>1098</v>
      </c>
      <c r="F614" s="3">
        <v>19.176824199999999</v>
      </c>
      <c r="G614">
        <v>72.951477499999996</v>
      </c>
      <c r="H614">
        <f t="shared" si="45"/>
        <v>1170.4000000000001</v>
      </c>
      <c r="I614" s="3">
        <f t="shared" si="46"/>
        <v>6650</v>
      </c>
      <c r="J614" s="1">
        <f t="shared" si="47"/>
        <v>450</v>
      </c>
      <c r="K614" s="1">
        <f t="shared" si="48"/>
        <v>2992500</v>
      </c>
      <c r="L614" s="2" t="str">
        <f t="shared" si="49"/>
        <v>Popular</v>
      </c>
    </row>
    <row r="615" spans="1:12" x14ac:dyDescent="0.3">
      <c r="A615" t="s">
        <v>1075</v>
      </c>
      <c r="B615" t="s">
        <v>1099</v>
      </c>
      <c r="C615" s="3">
        <v>4.2</v>
      </c>
      <c r="D615" s="3">
        <v>160</v>
      </c>
      <c r="E615" t="s">
        <v>1100</v>
      </c>
      <c r="F615" s="3">
        <v>19.181168499999998</v>
      </c>
      <c r="G615">
        <v>72.940707399999994</v>
      </c>
      <c r="H615">
        <f t="shared" si="45"/>
        <v>672</v>
      </c>
      <c r="I615" s="3">
        <f t="shared" si="46"/>
        <v>4000</v>
      </c>
      <c r="J615" s="1">
        <f t="shared" si="47"/>
        <v>350</v>
      </c>
      <c r="K615" s="1">
        <f t="shared" si="48"/>
        <v>1400000</v>
      </c>
      <c r="L615" s="2" t="str">
        <f t="shared" si="49"/>
        <v>Popular</v>
      </c>
    </row>
    <row r="616" spans="1:12" x14ac:dyDescent="0.3">
      <c r="A616" t="s">
        <v>1075</v>
      </c>
      <c r="B616" t="s">
        <v>1101</v>
      </c>
      <c r="C616" s="3">
        <v>4.3</v>
      </c>
      <c r="D616" s="3">
        <v>151</v>
      </c>
      <c r="E616" t="s">
        <v>1102</v>
      </c>
      <c r="F616" s="3">
        <v>19.180487299999999</v>
      </c>
      <c r="G616">
        <v>72.940049500000001</v>
      </c>
      <c r="H616">
        <f t="shared" si="45"/>
        <v>649.29999999999995</v>
      </c>
      <c r="I616" s="3">
        <f t="shared" si="46"/>
        <v>3775</v>
      </c>
      <c r="J616" s="1">
        <f t="shared" si="47"/>
        <v>350</v>
      </c>
      <c r="K616" s="1">
        <f t="shared" si="48"/>
        <v>1321250</v>
      </c>
      <c r="L616" s="2" t="str">
        <f t="shared" si="49"/>
        <v>Popular</v>
      </c>
    </row>
    <row r="617" spans="1:12" x14ac:dyDescent="0.3">
      <c r="A617" t="s">
        <v>1075</v>
      </c>
      <c r="B617" t="s">
        <v>1103</v>
      </c>
      <c r="C617" s="3">
        <v>4.5</v>
      </c>
      <c r="D617" s="3">
        <v>155</v>
      </c>
      <c r="E617" t="s">
        <v>1104</v>
      </c>
      <c r="F617" s="3">
        <v>19.180924300000001</v>
      </c>
      <c r="G617">
        <v>72.93974</v>
      </c>
      <c r="H617">
        <f t="shared" si="45"/>
        <v>697.5</v>
      </c>
      <c r="I617" s="3">
        <f t="shared" si="46"/>
        <v>3875</v>
      </c>
      <c r="J617" s="1">
        <f t="shared" si="47"/>
        <v>450</v>
      </c>
      <c r="K617" s="1">
        <f t="shared" si="48"/>
        <v>1743750</v>
      </c>
      <c r="L617" s="2" t="str">
        <f t="shared" si="49"/>
        <v>Premium</v>
      </c>
    </row>
    <row r="618" spans="1:12" x14ac:dyDescent="0.3">
      <c r="A618" t="s">
        <v>1075</v>
      </c>
      <c r="B618" t="s">
        <v>293</v>
      </c>
      <c r="C618" s="3">
        <v>4.3</v>
      </c>
      <c r="D618" s="3">
        <v>1501</v>
      </c>
      <c r="E618" t="s">
        <v>1105</v>
      </c>
      <c r="F618" s="3">
        <v>19.168358999999999</v>
      </c>
      <c r="G618">
        <v>72.960910499999997</v>
      </c>
      <c r="H618">
        <f t="shared" si="45"/>
        <v>6454.3</v>
      </c>
      <c r="I618" s="3">
        <f t="shared" si="46"/>
        <v>37525</v>
      </c>
      <c r="J618" s="1">
        <f t="shared" si="47"/>
        <v>350</v>
      </c>
      <c r="K618" s="1">
        <f t="shared" si="48"/>
        <v>13133750</v>
      </c>
      <c r="L618" s="2" t="str">
        <f t="shared" si="49"/>
        <v>Popular</v>
      </c>
    </row>
    <row r="619" spans="1:12" x14ac:dyDescent="0.3">
      <c r="A619" t="s">
        <v>1075</v>
      </c>
      <c r="B619" t="s">
        <v>128</v>
      </c>
      <c r="C619" s="3">
        <v>4.5</v>
      </c>
      <c r="D619" s="3">
        <v>66</v>
      </c>
      <c r="E619" t="s">
        <v>1106</v>
      </c>
      <c r="F619" s="3">
        <v>19.181123599999999</v>
      </c>
      <c r="G619">
        <v>72.940634500000002</v>
      </c>
      <c r="H619">
        <f t="shared" si="45"/>
        <v>297</v>
      </c>
      <c r="I619" s="3">
        <f t="shared" si="46"/>
        <v>1650</v>
      </c>
      <c r="J619" s="1">
        <f t="shared" si="47"/>
        <v>450</v>
      </c>
      <c r="K619" s="1">
        <f t="shared" si="48"/>
        <v>742500</v>
      </c>
      <c r="L619" s="2" t="str">
        <f t="shared" si="49"/>
        <v>Premium</v>
      </c>
    </row>
    <row r="620" spans="1:12" x14ac:dyDescent="0.3">
      <c r="A620" t="s">
        <v>1075</v>
      </c>
      <c r="B620" t="s">
        <v>1107</v>
      </c>
      <c r="C620" s="3">
        <v>4.5999999999999996</v>
      </c>
      <c r="D620" s="3">
        <v>193</v>
      </c>
      <c r="E620" t="s">
        <v>1108</v>
      </c>
      <c r="F620" s="3">
        <v>19.170770999999998</v>
      </c>
      <c r="G620">
        <v>72.947432499999906</v>
      </c>
      <c r="H620">
        <f t="shared" si="45"/>
        <v>887.8</v>
      </c>
      <c r="I620" s="3">
        <f t="shared" si="46"/>
        <v>4825</v>
      </c>
      <c r="J620" s="1">
        <f t="shared" si="47"/>
        <v>450</v>
      </c>
      <c r="K620" s="1">
        <f t="shared" si="48"/>
        <v>2171250</v>
      </c>
      <c r="L620" s="2" t="str">
        <f t="shared" si="49"/>
        <v>Premium</v>
      </c>
    </row>
    <row r="621" spans="1:12" x14ac:dyDescent="0.3">
      <c r="A621" t="s">
        <v>1075</v>
      </c>
      <c r="B621" t="s">
        <v>1109</v>
      </c>
      <c r="C621" s="3">
        <v>4.4000000000000004</v>
      </c>
      <c r="D621" s="3">
        <v>119</v>
      </c>
      <c r="E621" t="s">
        <v>1110</v>
      </c>
      <c r="F621" s="3">
        <v>19.1808397</v>
      </c>
      <c r="G621">
        <v>72.939138999999997</v>
      </c>
      <c r="H621">
        <f t="shared" si="45"/>
        <v>523.6</v>
      </c>
      <c r="I621" s="3">
        <f t="shared" si="46"/>
        <v>2975</v>
      </c>
      <c r="J621" s="1">
        <f t="shared" si="47"/>
        <v>450</v>
      </c>
      <c r="K621" s="1">
        <f t="shared" si="48"/>
        <v>1338750</v>
      </c>
      <c r="L621" s="2" t="str">
        <f t="shared" si="49"/>
        <v>Popular</v>
      </c>
    </row>
    <row r="622" spans="1:12" x14ac:dyDescent="0.3">
      <c r="A622" t="s">
        <v>1075</v>
      </c>
      <c r="B622" t="s">
        <v>1111</v>
      </c>
      <c r="C622" s="3">
        <v>4.7</v>
      </c>
      <c r="D622" s="3">
        <v>167</v>
      </c>
      <c r="E622" t="s">
        <v>1112</v>
      </c>
      <c r="F622" s="3">
        <v>19.173580600000001</v>
      </c>
      <c r="G622">
        <v>72.956178999999906</v>
      </c>
      <c r="H622">
        <f t="shared" si="45"/>
        <v>784.9</v>
      </c>
      <c r="I622" s="3">
        <f t="shared" si="46"/>
        <v>4175</v>
      </c>
      <c r="J622" s="1">
        <f t="shared" si="47"/>
        <v>550</v>
      </c>
      <c r="K622" s="1">
        <f t="shared" si="48"/>
        <v>2296250</v>
      </c>
      <c r="L622" s="2" t="str">
        <f t="shared" si="49"/>
        <v>Premium</v>
      </c>
    </row>
    <row r="623" spans="1:12" x14ac:dyDescent="0.3">
      <c r="A623" t="s">
        <v>1075</v>
      </c>
      <c r="B623" t="s">
        <v>1113</v>
      </c>
      <c r="C623" s="3">
        <v>4.3</v>
      </c>
      <c r="D623" s="3">
        <v>5101</v>
      </c>
      <c r="E623" t="s">
        <v>1114</v>
      </c>
      <c r="F623" s="3">
        <v>19.183812100000001</v>
      </c>
      <c r="G623">
        <v>72.951226599999998</v>
      </c>
      <c r="H623">
        <f t="shared" si="45"/>
        <v>21934.3</v>
      </c>
      <c r="I623" s="3">
        <f t="shared" si="46"/>
        <v>127525</v>
      </c>
      <c r="J623" s="1">
        <f t="shared" si="47"/>
        <v>350</v>
      </c>
      <c r="K623" s="1">
        <f t="shared" si="48"/>
        <v>44633750</v>
      </c>
      <c r="L623" s="2" t="str">
        <f t="shared" si="49"/>
        <v>Popular</v>
      </c>
    </row>
    <row r="624" spans="1:12" x14ac:dyDescent="0.3">
      <c r="A624" t="s">
        <v>1075</v>
      </c>
      <c r="B624" t="s">
        <v>1115</v>
      </c>
      <c r="C624" s="3">
        <v>4.2</v>
      </c>
      <c r="D624" s="3">
        <v>779</v>
      </c>
      <c r="E624" t="s">
        <v>1116</v>
      </c>
      <c r="F624" s="3">
        <v>19.1781215</v>
      </c>
      <c r="G624">
        <v>72.94426</v>
      </c>
      <c r="H624">
        <f t="shared" si="45"/>
        <v>3271.8</v>
      </c>
      <c r="I624" s="3">
        <f t="shared" si="46"/>
        <v>19475</v>
      </c>
      <c r="J624" s="1">
        <f t="shared" si="47"/>
        <v>350</v>
      </c>
      <c r="K624" s="1">
        <f t="shared" si="48"/>
        <v>6816250</v>
      </c>
      <c r="L624" s="2" t="str">
        <f t="shared" si="49"/>
        <v>Popular</v>
      </c>
    </row>
    <row r="625" spans="1:12" x14ac:dyDescent="0.3">
      <c r="A625" t="s">
        <v>1075</v>
      </c>
      <c r="B625" t="s">
        <v>1117</v>
      </c>
      <c r="C625" s="3">
        <v>4.7</v>
      </c>
      <c r="D625" s="3">
        <v>1000</v>
      </c>
      <c r="E625" t="s">
        <v>1118</v>
      </c>
      <c r="F625" s="3">
        <v>19.164312299999999</v>
      </c>
      <c r="G625">
        <v>72.937183699999906</v>
      </c>
      <c r="H625">
        <f t="shared" si="45"/>
        <v>4700</v>
      </c>
      <c r="I625" s="3">
        <f t="shared" si="46"/>
        <v>25000</v>
      </c>
      <c r="J625" s="1">
        <f t="shared" si="47"/>
        <v>550</v>
      </c>
      <c r="K625" s="1">
        <f t="shared" si="48"/>
        <v>13750000</v>
      </c>
      <c r="L625" s="2" t="str">
        <f t="shared" si="49"/>
        <v>Premium</v>
      </c>
    </row>
    <row r="626" spans="1:12" x14ac:dyDescent="0.3">
      <c r="A626" t="s">
        <v>1075</v>
      </c>
      <c r="B626" t="s">
        <v>1119</v>
      </c>
      <c r="C626" s="3">
        <v>4.3</v>
      </c>
      <c r="D626" s="3">
        <v>3221</v>
      </c>
      <c r="E626" t="s">
        <v>1120</v>
      </c>
      <c r="F626" s="3">
        <v>19.1714503</v>
      </c>
      <c r="G626">
        <v>72.943235599999994</v>
      </c>
      <c r="H626">
        <f t="shared" si="45"/>
        <v>13850.3</v>
      </c>
      <c r="I626" s="3">
        <f t="shared" si="46"/>
        <v>80525</v>
      </c>
      <c r="J626" s="1">
        <f t="shared" si="47"/>
        <v>350</v>
      </c>
      <c r="K626" s="1">
        <f t="shared" si="48"/>
        <v>28183750</v>
      </c>
      <c r="L626" s="2" t="str">
        <f t="shared" si="49"/>
        <v>Popular</v>
      </c>
    </row>
    <row r="627" spans="1:12" x14ac:dyDescent="0.3">
      <c r="A627" t="s">
        <v>1075</v>
      </c>
      <c r="B627" t="s">
        <v>1091</v>
      </c>
      <c r="C627" s="3">
        <v>4.0999999999999996</v>
      </c>
      <c r="D627" s="3">
        <v>226</v>
      </c>
      <c r="E627" t="s">
        <v>1121</v>
      </c>
      <c r="F627" s="3">
        <v>19.166946100000001</v>
      </c>
      <c r="G627">
        <v>72.960529299999905</v>
      </c>
      <c r="H627">
        <f t="shared" si="45"/>
        <v>926.59999999999991</v>
      </c>
      <c r="I627" s="3">
        <f t="shared" si="46"/>
        <v>5650</v>
      </c>
      <c r="J627" s="1">
        <f t="shared" si="47"/>
        <v>350</v>
      </c>
      <c r="K627" s="1">
        <f t="shared" si="48"/>
        <v>1977500</v>
      </c>
      <c r="L627" s="2" t="str">
        <f t="shared" si="49"/>
        <v>Popular</v>
      </c>
    </row>
    <row r="628" spans="1:12" x14ac:dyDescent="0.3">
      <c r="A628" t="s">
        <v>1075</v>
      </c>
      <c r="B628" t="s">
        <v>1122</v>
      </c>
      <c r="C628" s="3">
        <v>4.0999999999999996</v>
      </c>
      <c r="D628" s="3">
        <v>324</v>
      </c>
      <c r="E628" t="s">
        <v>1123</v>
      </c>
      <c r="F628" s="3">
        <v>19.1607719</v>
      </c>
      <c r="G628">
        <v>72.945395899999994</v>
      </c>
      <c r="H628">
        <f t="shared" si="45"/>
        <v>1328.3999999999999</v>
      </c>
      <c r="I628" s="3">
        <f t="shared" si="46"/>
        <v>8100</v>
      </c>
      <c r="J628" s="1">
        <f t="shared" si="47"/>
        <v>350</v>
      </c>
      <c r="K628" s="1">
        <f t="shared" si="48"/>
        <v>2835000</v>
      </c>
      <c r="L628" s="2" t="str">
        <f t="shared" si="49"/>
        <v>Popular</v>
      </c>
    </row>
    <row r="629" spans="1:12" x14ac:dyDescent="0.3">
      <c r="A629" t="s">
        <v>1075</v>
      </c>
      <c r="B629" t="s">
        <v>1124</v>
      </c>
      <c r="C629" s="3">
        <v>4.2</v>
      </c>
      <c r="D629" s="3">
        <v>719</v>
      </c>
      <c r="E629" t="s">
        <v>1125</v>
      </c>
      <c r="F629" s="3">
        <v>19.170562</v>
      </c>
      <c r="G629">
        <v>72.942765199999997</v>
      </c>
      <c r="H629">
        <f t="shared" si="45"/>
        <v>3019.8</v>
      </c>
      <c r="I629" s="3">
        <f t="shared" si="46"/>
        <v>17975</v>
      </c>
      <c r="J629" s="1">
        <f t="shared" si="47"/>
        <v>350</v>
      </c>
      <c r="K629" s="1">
        <f t="shared" si="48"/>
        <v>6291250</v>
      </c>
      <c r="L629" s="2" t="str">
        <f t="shared" si="49"/>
        <v>Popular</v>
      </c>
    </row>
    <row r="630" spans="1:12" x14ac:dyDescent="0.3">
      <c r="A630" t="s">
        <v>1075</v>
      </c>
      <c r="B630" t="s">
        <v>1126</v>
      </c>
      <c r="C630" s="3">
        <v>4.5999999999999996</v>
      </c>
      <c r="D630" s="3">
        <v>123</v>
      </c>
      <c r="E630" t="s">
        <v>1127</v>
      </c>
      <c r="F630" s="3">
        <v>19.180570299999999</v>
      </c>
      <c r="G630">
        <v>72.9400531</v>
      </c>
      <c r="H630">
        <f t="shared" si="45"/>
        <v>565.79999999999995</v>
      </c>
      <c r="I630" s="3">
        <f t="shared" si="46"/>
        <v>3075</v>
      </c>
      <c r="J630" s="1">
        <f t="shared" si="47"/>
        <v>450</v>
      </c>
      <c r="K630" s="1">
        <f t="shared" si="48"/>
        <v>1383750</v>
      </c>
      <c r="L630" s="2" t="str">
        <f t="shared" si="49"/>
        <v>Premium</v>
      </c>
    </row>
    <row r="631" spans="1:12" x14ac:dyDescent="0.3">
      <c r="A631" t="s">
        <v>1075</v>
      </c>
      <c r="B631" t="s">
        <v>1128</v>
      </c>
      <c r="C631" s="3">
        <v>4.3</v>
      </c>
      <c r="D631" s="3">
        <v>53</v>
      </c>
      <c r="E631" t="s">
        <v>1129</v>
      </c>
      <c r="F631" s="3">
        <v>19.183879099999999</v>
      </c>
      <c r="G631">
        <v>72.951723299999998</v>
      </c>
      <c r="H631">
        <f t="shared" si="45"/>
        <v>227.89999999999998</v>
      </c>
      <c r="I631" s="3">
        <f t="shared" si="46"/>
        <v>1325</v>
      </c>
      <c r="J631" s="1">
        <f t="shared" si="47"/>
        <v>350</v>
      </c>
      <c r="K631" s="1">
        <f t="shared" si="48"/>
        <v>463750</v>
      </c>
      <c r="L631" s="2" t="str">
        <f t="shared" si="49"/>
        <v>Popular</v>
      </c>
    </row>
    <row r="632" spans="1:12" x14ac:dyDescent="0.3">
      <c r="A632" t="s">
        <v>1075</v>
      </c>
      <c r="B632" t="s">
        <v>1130</v>
      </c>
      <c r="C632" s="3">
        <v>4</v>
      </c>
      <c r="D632" s="3">
        <v>1061</v>
      </c>
      <c r="E632" t="s">
        <v>1131</v>
      </c>
      <c r="F632" s="3">
        <v>19.161019599999999</v>
      </c>
      <c r="G632">
        <v>72.944760700000003</v>
      </c>
      <c r="H632">
        <f t="shared" si="45"/>
        <v>4244</v>
      </c>
      <c r="I632" s="3">
        <f t="shared" si="46"/>
        <v>26525</v>
      </c>
      <c r="J632" s="1">
        <f t="shared" si="47"/>
        <v>350</v>
      </c>
      <c r="K632" s="1">
        <f t="shared" si="48"/>
        <v>9283750</v>
      </c>
      <c r="L632" s="2" t="str">
        <f t="shared" si="49"/>
        <v>Popular</v>
      </c>
    </row>
    <row r="633" spans="1:12" x14ac:dyDescent="0.3">
      <c r="A633" t="s">
        <v>1075</v>
      </c>
      <c r="B633" t="s">
        <v>1132</v>
      </c>
      <c r="C633" s="3">
        <v>4.3</v>
      </c>
      <c r="D633" s="3">
        <v>2196</v>
      </c>
      <c r="E633" t="s">
        <v>1133</v>
      </c>
      <c r="F633" s="3">
        <v>19.175779599999998</v>
      </c>
      <c r="G633">
        <v>72.951496899999995</v>
      </c>
      <c r="H633">
        <f t="shared" si="45"/>
        <v>9442.7999999999993</v>
      </c>
      <c r="I633" s="3">
        <f t="shared" si="46"/>
        <v>54900</v>
      </c>
      <c r="J633" s="1">
        <f t="shared" si="47"/>
        <v>350</v>
      </c>
      <c r="K633" s="1">
        <f t="shared" si="48"/>
        <v>19215000</v>
      </c>
      <c r="L633" s="2" t="str">
        <f t="shared" si="49"/>
        <v>Popular</v>
      </c>
    </row>
    <row r="634" spans="1:12" x14ac:dyDescent="0.3">
      <c r="A634" t="s">
        <v>1075</v>
      </c>
      <c r="B634" t="s">
        <v>1134</v>
      </c>
      <c r="C634" s="3">
        <v>4.4000000000000004</v>
      </c>
      <c r="D634" s="3">
        <v>1856</v>
      </c>
      <c r="E634" t="s">
        <v>1135</v>
      </c>
      <c r="F634" s="3">
        <v>19.1719714</v>
      </c>
      <c r="G634">
        <v>72.941849399999995</v>
      </c>
      <c r="H634">
        <f t="shared" si="45"/>
        <v>8166.4000000000005</v>
      </c>
      <c r="I634" s="3">
        <f t="shared" si="46"/>
        <v>46400</v>
      </c>
      <c r="J634" s="1">
        <f t="shared" si="47"/>
        <v>450</v>
      </c>
      <c r="K634" s="1">
        <f t="shared" si="48"/>
        <v>20880000</v>
      </c>
      <c r="L634" s="2" t="str">
        <f t="shared" si="49"/>
        <v>Popular</v>
      </c>
    </row>
    <row r="635" spans="1:12" x14ac:dyDescent="0.3">
      <c r="A635" t="s">
        <v>1075</v>
      </c>
      <c r="B635" t="s">
        <v>1136</v>
      </c>
      <c r="C635" s="3">
        <v>3.9</v>
      </c>
      <c r="D635" s="3">
        <v>769</v>
      </c>
      <c r="E635" t="s">
        <v>1137</v>
      </c>
      <c r="F635" s="3">
        <v>19.174689900000001</v>
      </c>
      <c r="G635">
        <v>72.965934899999993</v>
      </c>
      <c r="H635">
        <f t="shared" si="45"/>
        <v>2999.1</v>
      </c>
      <c r="I635" s="3">
        <f t="shared" si="46"/>
        <v>19225</v>
      </c>
      <c r="J635" s="1">
        <f t="shared" si="47"/>
        <v>350</v>
      </c>
      <c r="K635" s="1">
        <f t="shared" si="48"/>
        <v>6728750</v>
      </c>
      <c r="L635" s="2" t="str">
        <f t="shared" si="49"/>
        <v>Average</v>
      </c>
    </row>
    <row r="636" spans="1:12" x14ac:dyDescent="0.3">
      <c r="A636" t="s">
        <v>1075</v>
      </c>
      <c r="B636" t="s">
        <v>195</v>
      </c>
      <c r="C636" s="3">
        <v>4</v>
      </c>
      <c r="D636" s="3">
        <v>160</v>
      </c>
      <c r="E636" t="s">
        <v>1138</v>
      </c>
      <c r="F636" s="3">
        <v>19.160776899999998</v>
      </c>
      <c r="G636">
        <v>72.945376400000001</v>
      </c>
      <c r="H636">
        <f t="shared" si="45"/>
        <v>640</v>
      </c>
      <c r="I636" s="3">
        <f t="shared" si="46"/>
        <v>4000</v>
      </c>
      <c r="J636" s="1">
        <f t="shared" si="47"/>
        <v>350</v>
      </c>
      <c r="K636" s="1">
        <f t="shared" si="48"/>
        <v>1400000</v>
      </c>
      <c r="L636" s="2" t="str">
        <f t="shared" si="49"/>
        <v>Popular</v>
      </c>
    </row>
    <row r="637" spans="1:12" x14ac:dyDescent="0.3">
      <c r="A637" t="s">
        <v>1075</v>
      </c>
      <c r="B637" t="s">
        <v>1139</v>
      </c>
      <c r="C637" s="3">
        <v>4.2</v>
      </c>
      <c r="D637" s="3">
        <v>1621</v>
      </c>
      <c r="E637" t="s">
        <v>1140</v>
      </c>
      <c r="F637" s="3">
        <v>19.1763105</v>
      </c>
      <c r="G637">
        <v>72.951663699999997</v>
      </c>
      <c r="H637">
        <f t="shared" si="45"/>
        <v>6808.2000000000007</v>
      </c>
      <c r="I637" s="3">
        <f t="shared" si="46"/>
        <v>40525</v>
      </c>
      <c r="J637" s="1">
        <f t="shared" si="47"/>
        <v>350</v>
      </c>
      <c r="K637" s="1">
        <f t="shared" si="48"/>
        <v>14183750</v>
      </c>
      <c r="L637" s="2" t="str">
        <f t="shared" si="49"/>
        <v>Popular</v>
      </c>
    </row>
    <row r="638" spans="1:12" x14ac:dyDescent="0.3">
      <c r="A638" t="s">
        <v>1075</v>
      </c>
      <c r="B638" t="s">
        <v>145</v>
      </c>
      <c r="C638" s="3">
        <v>3.9</v>
      </c>
      <c r="D638" s="3">
        <v>703</v>
      </c>
      <c r="E638" t="s">
        <v>1141</v>
      </c>
      <c r="F638" s="3">
        <v>19.167837299999999</v>
      </c>
      <c r="G638">
        <v>72.9610062</v>
      </c>
      <c r="H638">
        <f t="shared" si="45"/>
        <v>2741.7</v>
      </c>
      <c r="I638" s="3">
        <f t="shared" si="46"/>
        <v>17575</v>
      </c>
      <c r="J638" s="1">
        <f t="shared" si="47"/>
        <v>350</v>
      </c>
      <c r="K638" s="1">
        <f t="shared" si="48"/>
        <v>6151250</v>
      </c>
      <c r="L638" s="2" t="str">
        <f t="shared" si="49"/>
        <v>Average</v>
      </c>
    </row>
    <row r="639" spans="1:12" x14ac:dyDescent="0.3">
      <c r="A639" t="s">
        <v>1075</v>
      </c>
      <c r="B639" t="s">
        <v>1142</v>
      </c>
      <c r="C639" s="3">
        <v>5</v>
      </c>
      <c r="D639" s="3">
        <v>12</v>
      </c>
      <c r="E639" t="s">
        <v>1143</v>
      </c>
      <c r="F639" s="3">
        <v>19.165175300000001</v>
      </c>
      <c r="G639">
        <v>72.958810599999893</v>
      </c>
      <c r="H639">
        <f t="shared" si="45"/>
        <v>60</v>
      </c>
      <c r="I639" s="3">
        <f t="shared" si="46"/>
        <v>300</v>
      </c>
      <c r="J639" s="1">
        <f t="shared" si="47"/>
        <v>550</v>
      </c>
      <c r="K639" s="1">
        <f t="shared" si="48"/>
        <v>165000</v>
      </c>
      <c r="L639" s="2" t="str">
        <f t="shared" si="49"/>
        <v>Premium</v>
      </c>
    </row>
    <row r="640" spans="1:12" x14ac:dyDescent="0.3">
      <c r="A640" t="s">
        <v>1075</v>
      </c>
      <c r="B640" t="s">
        <v>1144</v>
      </c>
      <c r="C640" s="3">
        <v>4.7</v>
      </c>
      <c r="D640" s="3">
        <v>143</v>
      </c>
      <c r="E640" t="s">
        <v>1145</v>
      </c>
      <c r="F640" s="3">
        <v>19.1808403</v>
      </c>
      <c r="G640">
        <v>72.939138299999996</v>
      </c>
      <c r="H640">
        <f t="shared" si="45"/>
        <v>672.1</v>
      </c>
      <c r="I640" s="3">
        <f t="shared" si="46"/>
        <v>3575</v>
      </c>
      <c r="J640" s="1">
        <f t="shared" si="47"/>
        <v>550</v>
      </c>
      <c r="K640" s="1">
        <f t="shared" si="48"/>
        <v>1966250</v>
      </c>
      <c r="L640" s="2" t="str">
        <f t="shared" si="49"/>
        <v>Premium</v>
      </c>
    </row>
    <row r="641" spans="1:12" x14ac:dyDescent="0.3">
      <c r="A641" t="s">
        <v>1075</v>
      </c>
      <c r="B641" t="s">
        <v>1146</v>
      </c>
      <c r="C641" s="3">
        <v>4.2</v>
      </c>
      <c r="D641" s="3">
        <v>3157</v>
      </c>
      <c r="E641" t="s">
        <v>1147</v>
      </c>
      <c r="F641" s="3">
        <v>19.1757122</v>
      </c>
      <c r="G641">
        <v>72.952114399999999</v>
      </c>
      <c r="H641">
        <f t="shared" si="45"/>
        <v>13259.400000000001</v>
      </c>
      <c r="I641" s="3">
        <f t="shared" si="46"/>
        <v>78925</v>
      </c>
      <c r="J641" s="1">
        <f t="shared" si="47"/>
        <v>350</v>
      </c>
      <c r="K641" s="1">
        <f t="shared" si="48"/>
        <v>27623750</v>
      </c>
      <c r="L641" s="2" t="str">
        <f t="shared" si="49"/>
        <v>Popular</v>
      </c>
    </row>
    <row r="642" spans="1:12" x14ac:dyDescent="0.3">
      <c r="A642" t="s">
        <v>1075</v>
      </c>
      <c r="B642" t="s">
        <v>1148</v>
      </c>
      <c r="C642" s="3">
        <v>4.9000000000000004</v>
      </c>
      <c r="D642" s="3">
        <v>70</v>
      </c>
      <c r="E642" t="s">
        <v>1149</v>
      </c>
      <c r="F642" s="3">
        <v>19.164366999999999</v>
      </c>
      <c r="G642">
        <v>72.937244100000001</v>
      </c>
      <c r="H642">
        <f t="shared" ref="H642:H705" si="50">C642*D642</f>
        <v>343</v>
      </c>
      <c r="I642" s="3">
        <f t="shared" ref="I642:I705" si="51">D642*25</f>
        <v>1750</v>
      </c>
      <c r="J642" s="1">
        <f t="shared" ref="J642:J705" si="52">IF(C642&gt;=4.7,550,IF(C642&gt;=4.4,450,IF(C642&gt;=O644,350,250)))</f>
        <v>550</v>
      </c>
      <c r="K642" s="1">
        <f t="shared" ref="K642:K705" si="53">I642*J642</f>
        <v>962500</v>
      </c>
      <c r="L642" s="2" t="str">
        <f t="shared" ref="L642:L705" si="54">IF(C642&gt;=4.5,"Premium",IF(C642&gt;=4,"Popular","Average"))</f>
        <v>Premium</v>
      </c>
    </row>
    <row r="643" spans="1:12" x14ac:dyDescent="0.3">
      <c r="A643" t="s">
        <v>1075</v>
      </c>
      <c r="B643" t="s">
        <v>1150</v>
      </c>
      <c r="C643" s="3">
        <v>3.8</v>
      </c>
      <c r="D643" s="3">
        <v>72</v>
      </c>
      <c r="E643" t="s">
        <v>1151</v>
      </c>
      <c r="F643" s="3">
        <v>19.159556299999998</v>
      </c>
      <c r="G643">
        <v>72.944882899999996</v>
      </c>
      <c r="H643">
        <f t="shared" si="50"/>
        <v>273.59999999999997</v>
      </c>
      <c r="I643" s="3">
        <f t="shared" si="51"/>
        <v>1800</v>
      </c>
      <c r="J643" s="1">
        <f t="shared" si="52"/>
        <v>350</v>
      </c>
      <c r="K643" s="1">
        <f t="shared" si="53"/>
        <v>630000</v>
      </c>
      <c r="L643" s="2" t="str">
        <f t="shared" si="54"/>
        <v>Average</v>
      </c>
    </row>
    <row r="644" spans="1:12" x14ac:dyDescent="0.3">
      <c r="A644" t="s">
        <v>1075</v>
      </c>
      <c r="B644" t="s">
        <v>1152</v>
      </c>
      <c r="C644" s="3">
        <v>4.3</v>
      </c>
      <c r="D644" s="3">
        <v>50</v>
      </c>
      <c r="E644" t="s">
        <v>1153</v>
      </c>
      <c r="F644" s="3">
        <v>19.170681800000001</v>
      </c>
      <c r="G644">
        <v>72.956671399999905</v>
      </c>
      <c r="H644">
        <f t="shared" si="50"/>
        <v>215</v>
      </c>
      <c r="I644" s="3">
        <f t="shared" si="51"/>
        <v>1250</v>
      </c>
      <c r="J644" s="1">
        <f t="shared" si="52"/>
        <v>350</v>
      </c>
      <c r="K644" s="1">
        <f t="shared" si="53"/>
        <v>437500</v>
      </c>
      <c r="L644" s="2" t="str">
        <f t="shared" si="54"/>
        <v>Popular</v>
      </c>
    </row>
    <row r="645" spans="1:12" x14ac:dyDescent="0.3">
      <c r="A645" t="s">
        <v>1075</v>
      </c>
      <c r="B645" t="s">
        <v>1154</v>
      </c>
      <c r="C645" s="3">
        <v>4.2</v>
      </c>
      <c r="D645" s="3">
        <v>848</v>
      </c>
      <c r="E645" t="s">
        <v>1155</v>
      </c>
      <c r="F645" s="3">
        <v>19.1719112</v>
      </c>
      <c r="G645">
        <v>72.941999999999993</v>
      </c>
      <c r="H645">
        <f t="shared" si="50"/>
        <v>3561.6000000000004</v>
      </c>
      <c r="I645" s="3">
        <f t="shared" si="51"/>
        <v>21200</v>
      </c>
      <c r="J645" s="1">
        <f t="shared" si="52"/>
        <v>350</v>
      </c>
      <c r="K645" s="1">
        <f t="shared" si="53"/>
        <v>7420000</v>
      </c>
      <c r="L645" s="2" t="str">
        <f t="shared" si="54"/>
        <v>Popular</v>
      </c>
    </row>
    <row r="646" spans="1:12" x14ac:dyDescent="0.3">
      <c r="A646" t="s">
        <v>1075</v>
      </c>
      <c r="B646" t="s">
        <v>1025</v>
      </c>
      <c r="C646" s="3">
        <v>4.7</v>
      </c>
      <c r="D646" s="3">
        <v>99</v>
      </c>
      <c r="E646" t="s">
        <v>1156</v>
      </c>
      <c r="F646" s="3">
        <v>19.1722176</v>
      </c>
      <c r="G646">
        <v>72.962598399999905</v>
      </c>
      <c r="H646">
        <f t="shared" si="50"/>
        <v>465.3</v>
      </c>
      <c r="I646" s="3">
        <f t="shared" si="51"/>
        <v>2475</v>
      </c>
      <c r="J646" s="1">
        <f t="shared" si="52"/>
        <v>550</v>
      </c>
      <c r="K646" s="1">
        <f t="shared" si="53"/>
        <v>1361250</v>
      </c>
      <c r="L646" s="2" t="str">
        <f t="shared" si="54"/>
        <v>Premium</v>
      </c>
    </row>
    <row r="647" spans="1:12" x14ac:dyDescent="0.3">
      <c r="A647" t="s">
        <v>1075</v>
      </c>
      <c r="B647" t="s">
        <v>1157</v>
      </c>
      <c r="C647" s="3">
        <v>4.4000000000000004</v>
      </c>
      <c r="D647" s="3">
        <v>845</v>
      </c>
      <c r="E647" t="s">
        <v>1158</v>
      </c>
      <c r="F647" s="3">
        <v>19.1687625</v>
      </c>
      <c r="G647">
        <v>72.946007799999904</v>
      </c>
      <c r="H647">
        <f t="shared" si="50"/>
        <v>3718.0000000000005</v>
      </c>
      <c r="I647" s="3">
        <f t="shared" si="51"/>
        <v>21125</v>
      </c>
      <c r="J647" s="1">
        <f t="shared" si="52"/>
        <v>450</v>
      </c>
      <c r="K647" s="1">
        <f t="shared" si="53"/>
        <v>9506250</v>
      </c>
      <c r="L647" s="2" t="str">
        <f t="shared" si="54"/>
        <v>Popular</v>
      </c>
    </row>
    <row r="648" spans="1:12" x14ac:dyDescent="0.3">
      <c r="A648" t="s">
        <v>1075</v>
      </c>
      <c r="B648" t="s">
        <v>128</v>
      </c>
      <c r="C648" s="3">
        <v>4.4000000000000004</v>
      </c>
      <c r="D648" s="3">
        <v>2035</v>
      </c>
      <c r="E648" t="s">
        <v>1159</v>
      </c>
      <c r="F648" s="3">
        <v>19.161275</v>
      </c>
      <c r="G648">
        <v>72.944356999999997</v>
      </c>
      <c r="H648">
        <f t="shared" si="50"/>
        <v>8954</v>
      </c>
      <c r="I648" s="3">
        <f t="shared" si="51"/>
        <v>50875</v>
      </c>
      <c r="J648" s="1">
        <f t="shared" si="52"/>
        <v>450</v>
      </c>
      <c r="K648" s="1">
        <f t="shared" si="53"/>
        <v>22893750</v>
      </c>
      <c r="L648" s="2" t="str">
        <f t="shared" si="54"/>
        <v>Popular</v>
      </c>
    </row>
    <row r="649" spans="1:12" x14ac:dyDescent="0.3">
      <c r="A649" t="s">
        <v>1075</v>
      </c>
      <c r="B649" t="s">
        <v>1160</v>
      </c>
      <c r="C649" s="3">
        <v>4.8</v>
      </c>
      <c r="D649" s="3">
        <v>522</v>
      </c>
      <c r="E649" t="s">
        <v>1161</v>
      </c>
      <c r="F649" s="3">
        <v>19.171229199999999</v>
      </c>
      <c r="G649">
        <v>72.933519599999997</v>
      </c>
      <c r="H649">
        <f t="shared" si="50"/>
        <v>2505.6</v>
      </c>
      <c r="I649" s="3">
        <f t="shared" si="51"/>
        <v>13050</v>
      </c>
      <c r="J649" s="1">
        <f t="shared" si="52"/>
        <v>550</v>
      </c>
      <c r="K649" s="1">
        <f t="shared" si="53"/>
        <v>7177500</v>
      </c>
      <c r="L649" s="2" t="str">
        <f t="shared" si="54"/>
        <v>Premium</v>
      </c>
    </row>
    <row r="650" spans="1:12" x14ac:dyDescent="0.3">
      <c r="A650" t="s">
        <v>1075</v>
      </c>
      <c r="B650" t="s">
        <v>1162</v>
      </c>
      <c r="C650" s="3">
        <v>4.8</v>
      </c>
      <c r="D650" s="3">
        <v>143</v>
      </c>
      <c r="E650" t="s">
        <v>1163</v>
      </c>
      <c r="F650" s="3">
        <v>19.189578300000001</v>
      </c>
      <c r="G650">
        <v>72.945082900000003</v>
      </c>
      <c r="H650">
        <f t="shared" si="50"/>
        <v>686.4</v>
      </c>
      <c r="I650" s="3">
        <f t="shared" si="51"/>
        <v>3575</v>
      </c>
      <c r="J650" s="1">
        <f t="shared" si="52"/>
        <v>550</v>
      </c>
      <c r="K650" s="1">
        <f t="shared" si="53"/>
        <v>1966250</v>
      </c>
      <c r="L650" s="2" t="str">
        <f t="shared" si="54"/>
        <v>Premium</v>
      </c>
    </row>
    <row r="651" spans="1:12" x14ac:dyDescent="0.3">
      <c r="A651" t="s">
        <v>1075</v>
      </c>
      <c r="B651" t="s">
        <v>1164</v>
      </c>
      <c r="C651" s="3">
        <v>4.5</v>
      </c>
      <c r="D651" s="3">
        <v>233</v>
      </c>
      <c r="E651" t="s">
        <v>1165</v>
      </c>
      <c r="F651" s="3">
        <v>19.1756879</v>
      </c>
      <c r="G651">
        <v>72.948129100000003</v>
      </c>
      <c r="H651">
        <f t="shared" si="50"/>
        <v>1048.5</v>
      </c>
      <c r="I651" s="3">
        <f t="shared" si="51"/>
        <v>5825</v>
      </c>
      <c r="J651" s="1">
        <f t="shared" si="52"/>
        <v>450</v>
      </c>
      <c r="K651" s="1">
        <f t="shared" si="53"/>
        <v>2621250</v>
      </c>
      <c r="L651" s="2" t="str">
        <f t="shared" si="54"/>
        <v>Premium</v>
      </c>
    </row>
    <row r="652" spans="1:12" x14ac:dyDescent="0.3">
      <c r="A652" t="s">
        <v>1075</v>
      </c>
      <c r="B652" t="s">
        <v>1166</v>
      </c>
      <c r="C652" s="3">
        <v>4.5</v>
      </c>
      <c r="D652" s="3">
        <v>514</v>
      </c>
      <c r="E652" t="s">
        <v>1167</v>
      </c>
      <c r="F652" s="3">
        <v>19.191727199999999</v>
      </c>
      <c r="G652">
        <v>72.954816600000001</v>
      </c>
      <c r="H652">
        <f t="shared" si="50"/>
        <v>2313</v>
      </c>
      <c r="I652" s="3">
        <f t="shared" si="51"/>
        <v>12850</v>
      </c>
      <c r="J652" s="1">
        <f t="shared" si="52"/>
        <v>450</v>
      </c>
      <c r="K652" s="1">
        <f t="shared" si="53"/>
        <v>5782500</v>
      </c>
      <c r="L652" s="2" t="str">
        <f t="shared" si="54"/>
        <v>Premium</v>
      </c>
    </row>
    <row r="653" spans="1:12" x14ac:dyDescent="0.3">
      <c r="A653" t="s">
        <v>1075</v>
      </c>
      <c r="B653" t="s">
        <v>1168</v>
      </c>
      <c r="C653" s="3">
        <v>4.0999999999999996</v>
      </c>
      <c r="D653" s="3">
        <v>2445</v>
      </c>
      <c r="E653" t="s">
        <v>1169</v>
      </c>
      <c r="F653" s="3">
        <v>19.1648526</v>
      </c>
      <c r="G653">
        <v>72.938122499999906</v>
      </c>
      <c r="H653">
        <f t="shared" si="50"/>
        <v>10024.5</v>
      </c>
      <c r="I653" s="3">
        <f t="shared" si="51"/>
        <v>61125</v>
      </c>
      <c r="J653" s="1">
        <f t="shared" si="52"/>
        <v>350</v>
      </c>
      <c r="K653" s="1">
        <f t="shared" si="53"/>
        <v>21393750</v>
      </c>
      <c r="L653" s="2" t="str">
        <f t="shared" si="54"/>
        <v>Popular</v>
      </c>
    </row>
    <row r="654" spans="1:12" x14ac:dyDescent="0.3">
      <c r="A654" t="s">
        <v>1075</v>
      </c>
      <c r="B654" t="s">
        <v>1170</v>
      </c>
      <c r="C654" s="3">
        <v>4.4000000000000004</v>
      </c>
      <c r="D654" s="3">
        <v>19</v>
      </c>
      <c r="E654" t="s">
        <v>1171</v>
      </c>
      <c r="F654" s="3">
        <v>19.172131400000001</v>
      </c>
      <c r="G654">
        <v>72.950681700000004</v>
      </c>
      <c r="H654">
        <f t="shared" si="50"/>
        <v>83.600000000000009</v>
      </c>
      <c r="I654" s="3">
        <f t="shared" si="51"/>
        <v>475</v>
      </c>
      <c r="J654" s="1">
        <f t="shared" si="52"/>
        <v>450</v>
      </c>
      <c r="K654" s="1">
        <f t="shared" si="53"/>
        <v>213750</v>
      </c>
      <c r="L654" s="2" t="str">
        <f t="shared" si="54"/>
        <v>Popular</v>
      </c>
    </row>
    <row r="655" spans="1:12" x14ac:dyDescent="0.3">
      <c r="A655" t="s">
        <v>1075</v>
      </c>
      <c r="B655" t="s">
        <v>1172</v>
      </c>
      <c r="C655" s="3">
        <v>4.9000000000000004</v>
      </c>
      <c r="D655" s="3">
        <v>15</v>
      </c>
      <c r="E655" t="s">
        <v>1173</v>
      </c>
      <c r="F655" s="3">
        <v>19.1731601</v>
      </c>
      <c r="G655">
        <v>72.949538699999906</v>
      </c>
      <c r="H655">
        <f t="shared" si="50"/>
        <v>73.5</v>
      </c>
      <c r="I655" s="3">
        <f t="shared" si="51"/>
        <v>375</v>
      </c>
      <c r="J655" s="1">
        <f t="shared" si="52"/>
        <v>550</v>
      </c>
      <c r="K655" s="1">
        <f t="shared" si="53"/>
        <v>206250</v>
      </c>
      <c r="L655" s="2" t="str">
        <f t="shared" si="54"/>
        <v>Premium</v>
      </c>
    </row>
    <row r="656" spans="1:12" x14ac:dyDescent="0.3">
      <c r="A656" t="s">
        <v>1075</v>
      </c>
      <c r="B656" t="s">
        <v>1174</v>
      </c>
      <c r="C656" s="3">
        <v>4.8</v>
      </c>
      <c r="D656" s="3">
        <v>436</v>
      </c>
      <c r="E656" t="s">
        <v>1175</v>
      </c>
      <c r="F656" s="3">
        <v>19.172881100000001</v>
      </c>
      <c r="G656">
        <v>72.9566236</v>
      </c>
      <c r="H656">
        <f t="shared" si="50"/>
        <v>2092.7999999999997</v>
      </c>
      <c r="I656" s="3">
        <f t="shared" si="51"/>
        <v>10900</v>
      </c>
      <c r="J656" s="1">
        <f t="shared" si="52"/>
        <v>550</v>
      </c>
      <c r="K656" s="1">
        <f t="shared" si="53"/>
        <v>5995000</v>
      </c>
      <c r="L656" s="2" t="str">
        <f t="shared" si="54"/>
        <v>Premium</v>
      </c>
    </row>
    <row r="657" spans="1:12" x14ac:dyDescent="0.3">
      <c r="A657" t="s">
        <v>1075</v>
      </c>
      <c r="B657" t="s">
        <v>1176</v>
      </c>
      <c r="C657" s="3">
        <v>3.5</v>
      </c>
      <c r="D657" s="3">
        <v>6</v>
      </c>
      <c r="E657" t="s">
        <v>1177</v>
      </c>
      <c r="F657" s="3">
        <v>19.180919899999999</v>
      </c>
      <c r="G657">
        <v>72.939210399999993</v>
      </c>
      <c r="H657">
        <f t="shared" si="50"/>
        <v>21</v>
      </c>
      <c r="I657" s="3">
        <f t="shared" si="51"/>
        <v>150</v>
      </c>
      <c r="J657" s="1">
        <f t="shared" si="52"/>
        <v>350</v>
      </c>
      <c r="K657" s="1">
        <f t="shared" si="53"/>
        <v>52500</v>
      </c>
      <c r="L657" s="2" t="str">
        <f t="shared" si="54"/>
        <v>Average</v>
      </c>
    </row>
    <row r="658" spans="1:12" x14ac:dyDescent="0.3">
      <c r="A658" t="s">
        <v>1075</v>
      </c>
      <c r="B658" t="s">
        <v>1178</v>
      </c>
      <c r="C658" s="3">
        <v>4.9000000000000004</v>
      </c>
      <c r="D658" s="3">
        <v>50</v>
      </c>
      <c r="E658" t="s">
        <v>1179</v>
      </c>
      <c r="F658" s="3">
        <v>19.175964</v>
      </c>
      <c r="G658">
        <v>72.937445199999999</v>
      </c>
      <c r="H658">
        <f t="shared" si="50"/>
        <v>245.00000000000003</v>
      </c>
      <c r="I658" s="3">
        <f t="shared" si="51"/>
        <v>1250</v>
      </c>
      <c r="J658" s="1">
        <f t="shared" si="52"/>
        <v>550</v>
      </c>
      <c r="K658" s="1">
        <f t="shared" si="53"/>
        <v>687500</v>
      </c>
      <c r="L658" s="2" t="str">
        <f t="shared" si="54"/>
        <v>Premium</v>
      </c>
    </row>
    <row r="659" spans="1:12" x14ac:dyDescent="0.3">
      <c r="A659" t="s">
        <v>1075</v>
      </c>
      <c r="B659" t="s">
        <v>1180</v>
      </c>
      <c r="C659" s="3">
        <v>5</v>
      </c>
      <c r="D659" s="3">
        <v>22</v>
      </c>
      <c r="E659" t="s">
        <v>1181</v>
      </c>
      <c r="F659" s="3">
        <v>19.175011000000001</v>
      </c>
      <c r="G659">
        <v>72.950225000000003</v>
      </c>
      <c r="H659">
        <f t="shared" si="50"/>
        <v>110</v>
      </c>
      <c r="I659" s="3">
        <f t="shared" si="51"/>
        <v>550</v>
      </c>
      <c r="J659" s="1">
        <f t="shared" si="52"/>
        <v>550</v>
      </c>
      <c r="K659" s="1">
        <f t="shared" si="53"/>
        <v>302500</v>
      </c>
      <c r="L659" s="2" t="str">
        <f t="shared" si="54"/>
        <v>Premium</v>
      </c>
    </row>
    <row r="660" spans="1:12" x14ac:dyDescent="0.3">
      <c r="A660" t="s">
        <v>1075</v>
      </c>
      <c r="B660" t="s">
        <v>1182</v>
      </c>
      <c r="C660" s="3">
        <v>3.8</v>
      </c>
      <c r="D660" s="3">
        <v>1763</v>
      </c>
      <c r="E660" t="s">
        <v>1183</v>
      </c>
      <c r="F660" s="3">
        <v>19.177381400000002</v>
      </c>
      <c r="G660">
        <v>72.951298899999998</v>
      </c>
      <c r="H660">
        <f t="shared" si="50"/>
        <v>6699.4</v>
      </c>
      <c r="I660" s="3">
        <f t="shared" si="51"/>
        <v>44075</v>
      </c>
      <c r="J660" s="1">
        <f t="shared" si="52"/>
        <v>350</v>
      </c>
      <c r="K660" s="1">
        <f t="shared" si="53"/>
        <v>15426250</v>
      </c>
      <c r="L660" s="2" t="str">
        <f t="shared" si="54"/>
        <v>Average</v>
      </c>
    </row>
    <row r="661" spans="1:12" x14ac:dyDescent="0.3">
      <c r="A661" t="s">
        <v>1075</v>
      </c>
      <c r="B661" t="s">
        <v>1184</v>
      </c>
      <c r="C661" s="3">
        <v>4.0999999999999996</v>
      </c>
      <c r="D661" s="3">
        <v>1187</v>
      </c>
      <c r="E661" t="s">
        <v>1185</v>
      </c>
      <c r="F661" s="3">
        <v>19.176058600000001</v>
      </c>
      <c r="G661">
        <v>72.950677200000001</v>
      </c>
      <c r="H661">
        <f t="shared" si="50"/>
        <v>4866.7</v>
      </c>
      <c r="I661" s="3">
        <f t="shared" si="51"/>
        <v>29675</v>
      </c>
      <c r="J661" s="1">
        <f t="shared" si="52"/>
        <v>350</v>
      </c>
      <c r="K661" s="1">
        <f t="shared" si="53"/>
        <v>10386250</v>
      </c>
      <c r="L661" s="2" t="str">
        <f t="shared" si="54"/>
        <v>Popular</v>
      </c>
    </row>
    <row r="662" spans="1:12" x14ac:dyDescent="0.3">
      <c r="A662" t="s">
        <v>1186</v>
      </c>
      <c r="B662" t="s">
        <v>1187</v>
      </c>
      <c r="C662" s="3">
        <v>4.4000000000000004</v>
      </c>
      <c r="D662" s="3">
        <v>2370</v>
      </c>
      <c r="E662" t="s">
        <v>1188</v>
      </c>
      <c r="F662" s="3">
        <v>19.084952300000001</v>
      </c>
      <c r="G662">
        <v>73.007646100000002</v>
      </c>
      <c r="H662">
        <f t="shared" si="50"/>
        <v>10428</v>
      </c>
      <c r="I662" s="3">
        <f t="shared" si="51"/>
        <v>59250</v>
      </c>
      <c r="J662" s="1">
        <f t="shared" si="52"/>
        <v>450</v>
      </c>
      <c r="K662" s="1">
        <f t="shared" si="53"/>
        <v>26662500</v>
      </c>
      <c r="L662" s="2" t="str">
        <f t="shared" si="54"/>
        <v>Popular</v>
      </c>
    </row>
    <row r="663" spans="1:12" x14ac:dyDescent="0.3">
      <c r="A663" t="s">
        <v>1186</v>
      </c>
      <c r="B663" t="s">
        <v>1189</v>
      </c>
      <c r="C663" s="3">
        <v>4.4000000000000004</v>
      </c>
      <c r="D663" s="3">
        <v>1246</v>
      </c>
      <c r="E663" t="s">
        <v>1190</v>
      </c>
      <c r="F663" s="3">
        <v>19.091699200000001</v>
      </c>
      <c r="G663">
        <v>73.005358000000001</v>
      </c>
      <c r="H663">
        <f t="shared" si="50"/>
        <v>5482.4000000000005</v>
      </c>
      <c r="I663" s="3">
        <f t="shared" si="51"/>
        <v>31150</v>
      </c>
      <c r="J663" s="1">
        <f t="shared" si="52"/>
        <v>450</v>
      </c>
      <c r="K663" s="1">
        <f t="shared" si="53"/>
        <v>14017500</v>
      </c>
      <c r="L663" s="2" t="str">
        <f t="shared" si="54"/>
        <v>Popular</v>
      </c>
    </row>
    <row r="664" spans="1:12" x14ac:dyDescent="0.3">
      <c r="A664" t="s">
        <v>1186</v>
      </c>
      <c r="B664" t="s">
        <v>1191</v>
      </c>
      <c r="C664" s="3">
        <v>4.2</v>
      </c>
      <c r="D664" s="3">
        <v>846</v>
      </c>
      <c r="E664" t="s">
        <v>1192</v>
      </c>
      <c r="F664" s="3">
        <v>19.089621699999999</v>
      </c>
      <c r="G664">
        <v>73.007448099999905</v>
      </c>
      <c r="H664">
        <f t="shared" si="50"/>
        <v>3553.2000000000003</v>
      </c>
      <c r="I664" s="3">
        <f t="shared" si="51"/>
        <v>21150</v>
      </c>
      <c r="J664" s="1">
        <f t="shared" si="52"/>
        <v>350</v>
      </c>
      <c r="K664" s="1">
        <f t="shared" si="53"/>
        <v>7402500</v>
      </c>
      <c r="L664" s="2" t="str">
        <f t="shared" si="54"/>
        <v>Popular</v>
      </c>
    </row>
    <row r="665" spans="1:12" x14ac:dyDescent="0.3">
      <c r="A665" t="s">
        <v>1186</v>
      </c>
      <c r="B665" t="s">
        <v>1193</v>
      </c>
      <c r="C665" s="3">
        <v>4.0999999999999996</v>
      </c>
      <c r="D665" s="3">
        <v>658</v>
      </c>
      <c r="E665" t="s">
        <v>1194</v>
      </c>
      <c r="F665" s="3">
        <v>19.0845637</v>
      </c>
      <c r="G665">
        <v>73.007719399999999</v>
      </c>
      <c r="H665">
        <f t="shared" si="50"/>
        <v>2697.7999999999997</v>
      </c>
      <c r="I665" s="3">
        <f t="shared" si="51"/>
        <v>16450</v>
      </c>
      <c r="J665" s="1">
        <f t="shared" si="52"/>
        <v>350</v>
      </c>
      <c r="K665" s="1">
        <f t="shared" si="53"/>
        <v>5757500</v>
      </c>
      <c r="L665" s="2" t="str">
        <f t="shared" si="54"/>
        <v>Popular</v>
      </c>
    </row>
    <row r="666" spans="1:12" x14ac:dyDescent="0.3">
      <c r="A666" t="s">
        <v>1186</v>
      </c>
      <c r="B666" t="s">
        <v>1195</v>
      </c>
      <c r="C666" s="3">
        <v>4.4000000000000004</v>
      </c>
      <c r="D666" s="3">
        <v>523</v>
      </c>
      <c r="E666" t="s">
        <v>1196</v>
      </c>
      <c r="F666" s="3">
        <v>19.056582800000001</v>
      </c>
      <c r="G666">
        <v>73.0032037</v>
      </c>
      <c r="H666">
        <f t="shared" si="50"/>
        <v>2301.2000000000003</v>
      </c>
      <c r="I666" s="3">
        <f t="shared" si="51"/>
        <v>13075</v>
      </c>
      <c r="J666" s="1">
        <f t="shared" si="52"/>
        <v>450</v>
      </c>
      <c r="K666" s="1">
        <f t="shared" si="53"/>
        <v>5883750</v>
      </c>
      <c r="L666" s="2" t="str">
        <f t="shared" si="54"/>
        <v>Popular</v>
      </c>
    </row>
    <row r="667" spans="1:12" x14ac:dyDescent="0.3">
      <c r="A667" t="s">
        <v>1186</v>
      </c>
      <c r="B667" t="s">
        <v>1197</v>
      </c>
      <c r="C667" s="3">
        <v>3.9</v>
      </c>
      <c r="D667" s="3">
        <v>95</v>
      </c>
      <c r="E667" t="s">
        <v>1198</v>
      </c>
      <c r="F667" s="3">
        <v>19.086806800000002</v>
      </c>
      <c r="G667">
        <v>73.008460499999998</v>
      </c>
      <c r="H667">
        <f t="shared" si="50"/>
        <v>370.5</v>
      </c>
      <c r="I667" s="3">
        <f t="shared" si="51"/>
        <v>2375</v>
      </c>
      <c r="J667" s="1">
        <f t="shared" si="52"/>
        <v>350</v>
      </c>
      <c r="K667" s="1">
        <f t="shared" si="53"/>
        <v>831250</v>
      </c>
      <c r="L667" s="2" t="str">
        <f t="shared" si="54"/>
        <v>Average</v>
      </c>
    </row>
    <row r="668" spans="1:12" x14ac:dyDescent="0.3">
      <c r="A668" t="s">
        <v>1186</v>
      </c>
      <c r="B668" t="s">
        <v>1199</v>
      </c>
      <c r="C668" s="3">
        <v>4</v>
      </c>
      <c r="D668" s="3">
        <v>1724</v>
      </c>
      <c r="E668" t="s">
        <v>1200</v>
      </c>
      <c r="F668" s="3">
        <v>19.070995700000001</v>
      </c>
      <c r="G668">
        <v>73.0093478</v>
      </c>
      <c r="H668">
        <f t="shared" si="50"/>
        <v>6896</v>
      </c>
      <c r="I668" s="3">
        <f t="shared" si="51"/>
        <v>43100</v>
      </c>
      <c r="J668" s="1">
        <f t="shared" si="52"/>
        <v>350</v>
      </c>
      <c r="K668" s="1">
        <f t="shared" si="53"/>
        <v>15085000</v>
      </c>
      <c r="L668" s="2" t="str">
        <f t="shared" si="54"/>
        <v>Popular</v>
      </c>
    </row>
    <row r="669" spans="1:12" x14ac:dyDescent="0.3">
      <c r="A669" t="s">
        <v>1186</v>
      </c>
      <c r="B669" t="s">
        <v>1201</v>
      </c>
      <c r="C669" s="3">
        <v>4.5</v>
      </c>
      <c r="D669" s="3">
        <v>257</v>
      </c>
      <c r="E669" t="s">
        <v>1202</v>
      </c>
      <c r="F669" s="3">
        <v>19.074182</v>
      </c>
      <c r="G669">
        <v>72.998292199999995</v>
      </c>
      <c r="H669">
        <f t="shared" si="50"/>
        <v>1156.5</v>
      </c>
      <c r="I669" s="3">
        <f t="shared" si="51"/>
        <v>6425</v>
      </c>
      <c r="J669" s="1">
        <f t="shared" si="52"/>
        <v>450</v>
      </c>
      <c r="K669" s="1">
        <f t="shared" si="53"/>
        <v>2891250</v>
      </c>
      <c r="L669" s="2" t="str">
        <f t="shared" si="54"/>
        <v>Premium</v>
      </c>
    </row>
    <row r="670" spans="1:12" x14ac:dyDescent="0.3">
      <c r="A670" t="s">
        <v>1186</v>
      </c>
      <c r="B670" t="s">
        <v>1203</v>
      </c>
      <c r="C670" s="3">
        <v>4.0999999999999996</v>
      </c>
      <c r="D670" s="3">
        <v>2331</v>
      </c>
      <c r="E670" t="s">
        <v>1204</v>
      </c>
      <c r="F670" s="3">
        <v>19.0676557</v>
      </c>
      <c r="G670">
        <v>72.992965999999996</v>
      </c>
      <c r="H670">
        <f t="shared" si="50"/>
        <v>9557.0999999999985</v>
      </c>
      <c r="I670" s="3">
        <f t="shared" si="51"/>
        <v>58275</v>
      </c>
      <c r="J670" s="1">
        <f t="shared" si="52"/>
        <v>350</v>
      </c>
      <c r="K670" s="1">
        <f t="shared" si="53"/>
        <v>20396250</v>
      </c>
      <c r="L670" s="2" t="str">
        <f t="shared" si="54"/>
        <v>Popular</v>
      </c>
    </row>
    <row r="671" spans="1:12" x14ac:dyDescent="0.3">
      <c r="A671" t="s">
        <v>1186</v>
      </c>
      <c r="B671" t="s">
        <v>53</v>
      </c>
      <c r="C671" s="3">
        <v>4.9000000000000004</v>
      </c>
      <c r="D671" s="3">
        <v>82</v>
      </c>
      <c r="E671" t="s">
        <v>1205</v>
      </c>
      <c r="F671" s="3">
        <v>19.065485800000001</v>
      </c>
      <c r="G671">
        <v>73.000705799999906</v>
      </c>
      <c r="H671">
        <f t="shared" si="50"/>
        <v>401.8</v>
      </c>
      <c r="I671" s="3">
        <f t="shared" si="51"/>
        <v>2050</v>
      </c>
      <c r="J671" s="1">
        <f t="shared" si="52"/>
        <v>550</v>
      </c>
      <c r="K671" s="1">
        <f t="shared" si="53"/>
        <v>1127500</v>
      </c>
      <c r="L671" s="2" t="str">
        <f t="shared" si="54"/>
        <v>Premium</v>
      </c>
    </row>
    <row r="672" spans="1:12" x14ac:dyDescent="0.3">
      <c r="A672" t="s">
        <v>1186</v>
      </c>
      <c r="B672" t="s">
        <v>128</v>
      </c>
      <c r="C672" s="3">
        <v>4.5999999999999996</v>
      </c>
      <c r="D672" s="3">
        <v>582</v>
      </c>
      <c r="E672" t="s">
        <v>1206</v>
      </c>
      <c r="F672" s="3">
        <v>19.072171000000001</v>
      </c>
      <c r="G672">
        <v>72.9978014</v>
      </c>
      <c r="H672">
        <f t="shared" si="50"/>
        <v>2677.2</v>
      </c>
      <c r="I672" s="3">
        <f t="shared" si="51"/>
        <v>14550</v>
      </c>
      <c r="J672" s="1">
        <f t="shared" si="52"/>
        <v>450</v>
      </c>
      <c r="K672" s="1">
        <f t="shared" si="53"/>
        <v>6547500</v>
      </c>
      <c r="L672" s="2" t="str">
        <f t="shared" si="54"/>
        <v>Premium</v>
      </c>
    </row>
    <row r="673" spans="1:12" x14ac:dyDescent="0.3">
      <c r="A673" t="s">
        <v>1186</v>
      </c>
      <c r="B673" t="s">
        <v>1207</v>
      </c>
      <c r="C673" s="3">
        <v>4.5</v>
      </c>
      <c r="D673" s="3">
        <v>739</v>
      </c>
      <c r="E673" t="s">
        <v>1208</v>
      </c>
      <c r="F673" s="3">
        <v>19.055643400000001</v>
      </c>
      <c r="G673">
        <v>73.015022399999907</v>
      </c>
      <c r="H673">
        <f t="shared" si="50"/>
        <v>3325.5</v>
      </c>
      <c r="I673" s="3">
        <f t="shared" si="51"/>
        <v>18475</v>
      </c>
      <c r="J673" s="1">
        <f t="shared" si="52"/>
        <v>450</v>
      </c>
      <c r="K673" s="1">
        <f t="shared" si="53"/>
        <v>8313750</v>
      </c>
      <c r="L673" s="2" t="str">
        <f t="shared" si="54"/>
        <v>Premium</v>
      </c>
    </row>
    <row r="674" spans="1:12" x14ac:dyDescent="0.3">
      <c r="A674" t="s">
        <v>1186</v>
      </c>
      <c r="B674" t="s">
        <v>1209</v>
      </c>
      <c r="C674" s="3">
        <v>4.7</v>
      </c>
      <c r="D674" s="3">
        <v>442</v>
      </c>
      <c r="E674" t="s">
        <v>1210</v>
      </c>
      <c r="F674" s="3">
        <v>19.065708999999998</v>
      </c>
      <c r="G674">
        <v>73.001230899999996</v>
      </c>
      <c r="H674">
        <f t="shared" si="50"/>
        <v>2077.4</v>
      </c>
      <c r="I674" s="3">
        <f t="shared" si="51"/>
        <v>11050</v>
      </c>
      <c r="J674" s="1">
        <f t="shared" si="52"/>
        <v>550</v>
      </c>
      <c r="K674" s="1">
        <f t="shared" si="53"/>
        <v>6077500</v>
      </c>
      <c r="L674" s="2" t="str">
        <f t="shared" si="54"/>
        <v>Premium</v>
      </c>
    </row>
    <row r="675" spans="1:12" x14ac:dyDescent="0.3">
      <c r="A675" t="s">
        <v>1186</v>
      </c>
      <c r="B675" t="s">
        <v>1211</v>
      </c>
      <c r="C675" s="3">
        <v>4.5</v>
      </c>
      <c r="D675" s="3">
        <v>1296</v>
      </c>
      <c r="E675" t="s">
        <v>1212</v>
      </c>
      <c r="F675" s="3">
        <v>19.0662366</v>
      </c>
      <c r="G675">
        <v>72.999246299999996</v>
      </c>
      <c r="H675">
        <f t="shared" si="50"/>
        <v>5832</v>
      </c>
      <c r="I675" s="3">
        <f t="shared" si="51"/>
        <v>32400</v>
      </c>
      <c r="J675" s="1">
        <f t="shared" si="52"/>
        <v>450</v>
      </c>
      <c r="K675" s="1">
        <f t="shared" si="53"/>
        <v>14580000</v>
      </c>
      <c r="L675" s="2" t="str">
        <f t="shared" si="54"/>
        <v>Premium</v>
      </c>
    </row>
    <row r="676" spans="1:12" x14ac:dyDescent="0.3">
      <c r="A676" t="s">
        <v>1186</v>
      </c>
      <c r="B676" t="s">
        <v>128</v>
      </c>
      <c r="C676" s="3">
        <v>4.3</v>
      </c>
      <c r="D676" s="3">
        <v>4193</v>
      </c>
      <c r="E676" t="s">
        <v>1213</v>
      </c>
      <c r="F676" s="3">
        <v>19.065691399999999</v>
      </c>
      <c r="G676">
        <v>72.999819299999999</v>
      </c>
      <c r="H676">
        <f t="shared" si="50"/>
        <v>18029.899999999998</v>
      </c>
      <c r="I676" s="3">
        <f t="shared" si="51"/>
        <v>104825</v>
      </c>
      <c r="J676" s="1">
        <f t="shared" si="52"/>
        <v>350</v>
      </c>
      <c r="K676" s="1">
        <f t="shared" si="53"/>
        <v>36688750</v>
      </c>
      <c r="L676" s="2" t="str">
        <f t="shared" si="54"/>
        <v>Popular</v>
      </c>
    </row>
    <row r="677" spans="1:12" x14ac:dyDescent="0.3">
      <c r="A677" t="s">
        <v>1186</v>
      </c>
      <c r="B677" t="s">
        <v>1214</v>
      </c>
      <c r="C677" s="3">
        <v>4.0999999999999996</v>
      </c>
      <c r="D677" s="3">
        <v>2550</v>
      </c>
      <c r="E677" t="s">
        <v>1215</v>
      </c>
      <c r="F677" s="3">
        <v>19.065827800000001</v>
      </c>
      <c r="G677">
        <v>73.001049699999996</v>
      </c>
      <c r="H677">
        <f t="shared" si="50"/>
        <v>10455</v>
      </c>
      <c r="I677" s="3">
        <f t="shared" si="51"/>
        <v>63750</v>
      </c>
      <c r="J677" s="1">
        <f t="shared" si="52"/>
        <v>350</v>
      </c>
      <c r="K677" s="1">
        <f t="shared" si="53"/>
        <v>22312500</v>
      </c>
      <c r="L677" s="2" t="str">
        <f t="shared" si="54"/>
        <v>Popular</v>
      </c>
    </row>
    <row r="678" spans="1:12" x14ac:dyDescent="0.3">
      <c r="A678" t="s">
        <v>1186</v>
      </c>
      <c r="B678" t="s">
        <v>1216</v>
      </c>
      <c r="C678" s="3">
        <v>4.8</v>
      </c>
      <c r="D678" s="3">
        <v>113</v>
      </c>
      <c r="E678" t="s">
        <v>1217</v>
      </c>
      <c r="F678" s="3">
        <v>19.065326800000001</v>
      </c>
      <c r="G678">
        <v>73.002129099999905</v>
      </c>
      <c r="H678">
        <f t="shared" si="50"/>
        <v>542.4</v>
      </c>
      <c r="I678" s="3">
        <f t="shared" si="51"/>
        <v>2825</v>
      </c>
      <c r="J678" s="1">
        <f t="shared" si="52"/>
        <v>550</v>
      </c>
      <c r="K678" s="1">
        <f t="shared" si="53"/>
        <v>1553750</v>
      </c>
      <c r="L678" s="2" t="str">
        <f t="shared" si="54"/>
        <v>Premium</v>
      </c>
    </row>
    <row r="679" spans="1:12" x14ac:dyDescent="0.3">
      <c r="A679" t="s">
        <v>1186</v>
      </c>
      <c r="B679" t="s">
        <v>1218</v>
      </c>
      <c r="C679" s="3">
        <v>4.3</v>
      </c>
      <c r="D679" s="3">
        <v>3080</v>
      </c>
      <c r="E679" t="s">
        <v>1219</v>
      </c>
      <c r="F679" s="3">
        <v>19.066978200000001</v>
      </c>
      <c r="G679">
        <v>72.999138899999906</v>
      </c>
      <c r="H679">
        <f t="shared" si="50"/>
        <v>13244</v>
      </c>
      <c r="I679" s="3">
        <f t="shared" si="51"/>
        <v>77000</v>
      </c>
      <c r="J679" s="1">
        <f t="shared" si="52"/>
        <v>350</v>
      </c>
      <c r="K679" s="1">
        <f t="shared" si="53"/>
        <v>26950000</v>
      </c>
      <c r="L679" s="2" t="str">
        <f t="shared" si="54"/>
        <v>Popular</v>
      </c>
    </row>
    <row r="680" spans="1:12" x14ac:dyDescent="0.3">
      <c r="A680" t="s">
        <v>1186</v>
      </c>
      <c r="B680" t="s">
        <v>1220</v>
      </c>
      <c r="C680" s="3">
        <v>4.8</v>
      </c>
      <c r="D680" s="3">
        <v>19</v>
      </c>
      <c r="E680" t="s">
        <v>1221</v>
      </c>
      <c r="F680" s="3">
        <v>19.074826300000002</v>
      </c>
      <c r="G680">
        <v>72.997605499999906</v>
      </c>
      <c r="H680">
        <f t="shared" si="50"/>
        <v>91.2</v>
      </c>
      <c r="I680" s="3">
        <f t="shared" si="51"/>
        <v>475</v>
      </c>
      <c r="J680" s="1">
        <f t="shared" si="52"/>
        <v>550</v>
      </c>
      <c r="K680" s="1">
        <f t="shared" si="53"/>
        <v>261250</v>
      </c>
      <c r="L680" s="2" t="str">
        <f t="shared" si="54"/>
        <v>Premium</v>
      </c>
    </row>
    <row r="681" spans="1:12" x14ac:dyDescent="0.3">
      <c r="A681" t="s">
        <v>1186</v>
      </c>
      <c r="B681" t="s">
        <v>1222</v>
      </c>
      <c r="C681" s="3">
        <v>4.5</v>
      </c>
      <c r="D681" s="3">
        <v>10</v>
      </c>
      <c r="E681" t="s">
        <v>1223</v>
      </c>
      <c r="F681" s="3">
        <v>19.066336</v>
      </c>
      <c r="G681">
        <v>72.998512399999996</v>
      </c>
      <c r="H681">
        <f t="shared" si="50"/>
        <v>45</v>
      </c>
      <c r="I681" s="3">
        <f t="shared" si="51"/>
        <v>250</v>
      </c>
      <c r="J681" s="1">
        <f t="shared" si="52"/>
        <v>450</v>
      </c>
      <c r="K681" s="1">
        <f t="shared" si="53"/>
        <v>112500</v>
      </c>
      <c r="L681" s="2" t="str">
        <f t="shared" si="54"/>
        <v>Premium</v>
      </c>
    </row>
    <row r="682" spans="1:12" x14ac:dyDescent="0.3">
      <c r="A682" t="s">
        <v>1186</v>
      </c>
      <c r="B682" t="s">
        <v>1224</v>
      </c>
      <c r="C682" s="3">
        <v>4</v>
      </c>
      <c r="D682" s="3">
        <v>1567</v>
      </c>
      <c r="E682" t="s">
        <v>1225</v>
      </c>
      <c r="F682" s="3">
        <v>19.083051600000001</v>
      </c>
      <c r="G682">
        <v>73.005971700000003</v>
      </c>
      <c r="H682">
        <f t="shared" si="50"/>
        <v>6268</v>
      </c>
      <c r="I682" s="3">
        <f t="shared" si="51"/>
        <v>39175</v>
      </c>
      <c r="J682" s="1">
        <f t="shared" si="52"/>
        <v>350</v>
      </c>
      <c r="K682" s="1">
        <f t="shared" si="53"/>
        <v>13711250</v>
      </c>
      <c r="L682" s="2" t="str">
        <f t="shared" si="54"/>
        <v>Popular</v>
      </c>
    </row>
    <row r="683" spans="1:12" x14ac:dyDescent="0.3">
      <c r="A683" t="s">
        <v>1186</v>
      </c>
      <c r="B683" t="s">
        <v>1226</v>
      </c>
      <c r="C683" s="3">
        <v>4.0999999999999996</v>
      </c>
      <c r="D683" s="3">
        <v>3862</v>
      </c>
      <c r="E683" t="s">
        <v>1227</v>
      </c>
      <c r="F683" s="3">
        <v>19.065547599999999</v>
      </c>
      <c r="G683">
        <v>73.001178699999997</v>
      </c>
      <c r="H683">
        <f t="shared" si="50"/>
        <v>15834.199999999999</v>
      </c>
      <c r="I683" s="3">
        <f t="shared" si="51"/>
        <v>96550</v>
      </c>
      <c r="J683" s="1">
        <f t="shared" si="52"/>
        <v>350</v>
      </c>
      <c r="K683" s="1">
        <f t="shared" si="53"/>
        <v>33792500</v>
      </c>
      <c r="L683" s="2" t="str">
        <f t="shared" si="54"/>
        <v>Popular</v>
      </c>
    </row>
    <row r="684" spans="1:12" x14ac:dyDescent="0.3">
      <c r="A684" t="s">
        <v>1186</v>
      </c>
      <c r="B684" t="s">
        <v>1228</v>
      </c>
      <c r="C684" s="3">
        <v>3.8</v>
      </c>
      <c r="D684" s="3">
        <v>835</v>
      </c>
      <c r="E684" t="s">
        <v>1229</v>
      </c>
      <c r="F684" s="3">
        <v>19.086683600000001</v>
      </c>
      <c r="G684">
        <v>72.999505799999994</v>
      </c>
      <c r="H684">
        <f t="shared" si="50"/>
        <v>3173</v>
      </c>
      <c r="I684" s="3">
        <f t="shared" si="51"/>
        <v>20875</v>
      </c>
      <c r="J684" s="1">
        <f t="shared" si="52"/>
        <v>350</v>
      </c>
      <c r="K684" s="1">
        <f t="shared" si="53"/>
        <v>7306250</v>
      </c>
      <c r="L684" s="2" t="str">
        <f t="shared" si="54"/>
        <v>Average</v>
      </c>
    </row>
    <row r="685" spans="1:12" x14ac:dyDescent="0.3">
      <c r="A685" t="s">
        <v>1186</v>
      </c>
      <c r="B685" t="s">
        <v>1230</v>
      </c>
      <c r="C685" s="3">
        <v>4.4000000000000004</v>
      </c>
      <c r="D685" s="3">
        <v>4769</v>
      </c>
      <c r="E685" t="s">
        <v>1231</v>
      </c>
      <c r="F685" s="3">
        <v>19.073132900000001</v>
      </c>
      <c r="G685">
        <v>72.998255700000001</v>
      </c>
      <c r="H685">
        <f t="shared" si="50"/>
        <v>20983.600000000002</v>
      </c>
      <c r="I685" s="3">
        <f t="shared" si="51"/>
        <v>119225</v>
      </c>
      <c r="J685" s="1">
        <f t="shared" si="52"/>
        <v>450</v>
      </c>
      <c r="K685" s="1">
        <f t="shared" si="53"/>
        <v>53651250</v>
      </c>
      <c r="L685" s="2" t="str">
        <f t="shared" si="54"/>
        <v>Popular</v>
      </c>
    </row>
    <row r="686" spans="1:12" x14ac:dyDescent="0.3">
      <c r="A686" t="s">
        <v>1186</v>
      </c>
      <c r="B686" t="s">
        <v>1232</v>
      </c>
      <c r="C686" s="3">
        <v>4.0999999999999996</v>
      </c>
      <c r="D686" s="3">
        <v>1133</v>
      </c>
      <c r="E686" t="s">
        <v>1233</v>
      </c>
      <c r="F686" s="3">
        <v>19.083490000000001</v>
      </c>
      <c r="G686">
        <v>73.006404699999905</v>
      </c>
      <c r="H686">
        <f t="shared" si="50"/>
        <v>4645.2999999999993</v>
      </c>
      <c r="I686" s="3">
        <f t="shared" si="51"/>
        <v>28325</v>
      </c>
      <c r="J686" s="1">
        <f t="shared" si="52"/>
        <v>350</v>
      </c>
      <c r="K686" s="1">
        <f t="shared" si="53"/>
        <v>9913750</v>
      </c>
      <c r="L686" s="2" t="str">
        <f t="shared" si="54"/>
        <v>Popular</v>
      </c>
    </row>
    <row r="687" spans="1:12" x14ac:dyDescent="0.3">
      <c r="A687" t="s">
        <v>1186</v>
      </c>
      <c r="B687" t="s">
        <v>1234</v>
      </c>
      <c r="C687" s="3">
        <v>4.9000000000000004</v>
      </c>
      <c r="D687" s="3">
        <v>112</v>
      </c>
      <c r="E687" t="s">
        <v>1235</v>
      </c>
      <c r="F687" s="3">
        <v>19.0893196</v>
      </c>
      <c r="G687">
        <v>73.014051999999893</v>
      </c>
      <c r="H687">
        <f t="shared" si="50"/>
        <v>548.80000000000007</v>
      </c>
      <c r="I687" s="3">
        <f t="shared" si="51"/>
        <v>2800</v>
      </c>
      <c r="J687" s="1">
        <f t="shared" si="52"/>
        <v>550</v>
      </c>
      <c r="K687" s="1">
        <f t="shared" si="53"/>
        <v>1540000</v>
      </c>
      <c r="L687" s="2" t="str">
        <f t="shared" si="54"/>
        <v>Premium</v>
      </c>
    </row>
    <row r="688" spans="1:12" x14ac:dyDescent="0.3">
      <c r="A688" t="s">
        <v>1186</v>
      </c>
      <c r="B688" t="s">
        <v>1236</v>
      </c>
      <c r="C688" s="3">
        <v>4.0999999999999996</v>
      </c>
      <c r="D688" s="3">
        <v>920</v>
      </c>
      <c r="E688" t="s">
        <v>1237</v>
      </c>
      <c r="F688" s="3">
        <v>19.065710500000002</v>
      </c>
      <c r="G688">
        <v>73.000793099999996</v>
      </c>
      <c r="H688">
        <f t="shared" si="50"/>
        <v>3771.9999999999995</v>
      </c>
      <c r="I688" s="3">
        <f t="shared" si="51"/>
        <v>23000</v>
      </c>
      <c r="J688" s="1">
        <f t="shared" si="52"/>
        <v>350</v>
      </c>
      <c r="K688" s="1">
        <f t="shared" si="53"/>
        <v>8050000</v>
      </c>
      <c r="L688" s="2" t="str">
        <f t="shared" si="54"/>
        <v>Popular</v>
      </c>
    </row>
    <row r="689" spans="1:12" x14ac:dyDescent="0.3">
      <c r="A689" t="s">
        <v>1186</v>
      </c>
      <c r="B689" t="s">
        <v>1238</v>
      </c>
      <c r="C689" s="3">
        <v>4.2</v>
      </c>
      <c r="D689" s="3">
        <v>1040</v>
      </c>
      <c r="E689" t="s">
        <v>1239</v>
      </c>
      <c r="F689" s="3">
        <v>19.066102399999998</v>
      </c>
      <c r="G689">
        <v>73.000553299999893</v>
      </c>
      <c r="H689">
        <f t="shared" si="50"/>
        <v>4368</v>
      </c>
      <c r="I689" s="3">
        <f t="shared" si="51"/>
        <v>26000</v>
      </c>
      <c r="J689" s="1">
        <f t="shared" si="52"/>
        <v>350</v>
      </c>
      <c r="K689" s="1">
        <f t="shared" si="53"/>
        <v>9100000</v>
      </c>
      <c r="L689" s="2" t="str">
        <f t="shared" si="54"/>
        <v>Popular</v>
      </c>
    </row>
    <row r="690" spans="1:12" x14ac:dyDescent="0.3">
      <c r="A690" t="s">
        <v>1186</v>
      </c>
      <c r="B690" t="s">
        <v>1240</v>
      </c>
      <c r="C690" s="3">
        <v>4.0999999999999996</v>
      </c>
      <c r="D690" s="3">
        <v>6337</v>
      </c>
      <c r="E690" t="s">
        <v>1241</v>
      </c>
      <c r="F690" s="3">
        <v>19.082450900000001</v>
      </c>
      <c r="G690">
        <v>73.005690999999999</v>
      </c>
      <c r="H690">
        <f t="shared" si="50"/>
        <v>25981.699999999997</v>
      </c>
      <c r="I690" s="3">
        <f t="shared" si="51"/>
        <v>158425</v>
      </c>
      <c r="J690" s="1">
        <f t="shared" si="52"/>
        <v>350</v>
      </c>
      <c r="K690" s="1">
        <f t="shared" si="53"/>
        <v>55448750</v>
      </c>
      <c r="L690" s="2" t="str">
        <f t="shared" si="54"/>
        <v>Popular</v>
      </c>
    </row>
    <row r="691" spans="1:12" x14ac:dyDescent="0.3">
      <c r="A691" t="s">
        <v>1186</v>
      </c>
      <c r="B691" t="s">
        <v>1242</v>
      </c>
      <c r="C691" s="3">
        <v>4.3</v>
      </c>
      <c r="D691" s="3">
        <v>189</v>
      </c>
      <c r="E691" t="s">
        <v>1243</v>
      </c>
      <c r="F691" s="3">
        <v>19.082727500000001</v>
      </c>
      <c r="G691">
        <v>73.006421099999997</v>
      </c>
      <c r="H691">
        <f t="shared" si="50"/>
        <v>812.69999999999993</v>
      </c>
      <c r="I691" s="3">
        <f t="shared" si="51"/>
        <v>4725</v>
      </c>
      <c r="J691" s="1">
        <f t="shared" si="52"/>
        <v>350</v>
      </c>
      <c r="K691" s="1">
        <f t="shared" si="53"/>
        <v>1653750</v>
      </c>
      <c r="L691" s="2" t="str">
        <f t="shared" si="54"/>
        <v>Popular</v>
      </c>
    </row>
    <row r="692" spans="1:12" x14ac:dyDescent="0.3">
      <c r="A692" t="s">
        <v>1186</v>
      </c>
      <c r="B692" t="s">
        <v>145</v>
      </c>
      <c r="C692" s="3">
        <v>4.3</v>
      </c>
      <c r="D692" s="3">
        <v>1169</v>
      </c>
      <c r="E692" t="s">
        <v>1244</v>
      </c>
      <c r="F692" s="3">
        <v>19.0973389</v>
      </c>
      <c r="G692">
        <v>73.005842399999906</v>
      </c>
      <c r="H692">
        <f t="shared" si="50"/>
        <v>5026.7</v>
      </c>
      <c r="I692" s="3">
        <f t="shared" si="51"/>
        <v>29225</v>
      </c>
      <c r="J692" s="1">
        <f t="shared" si="52"/>
        <v>350</v>
      </c>
      <c r="K692" s="1">
        <f t="shared" si="53"/>
        <v>10228750</v>
      </c>
      <c r="L692" s="2" t="str">
        <f t="shared" si="54"/>
        <v>Popular</v>
      </c>
    </row>
    <row r="693" spans="1:12" x14ac:dyDescent="0.3">
      <c r="A693" t="s">
        <v>1186</v>
      </c>
      <c r="B693" t="s">
        <v>1245</v>
      </c>
      <c r="C693" s="3">
        <v>4.3</v>
      </c>
      <c r="D693" s="3">
        <v>5040</v>
      </c>
      <c r="E693" t="s">
        <v>1246</v>
      </c>
      <c r="F693" s="3">
        <v>19.066737199999999</v>
      </c>
      <c r="G693">
        <v>72.992912099999998</v>
      </c>
      <c r="H693">
        <f t="shared" si="50"/>
        <v>21672</v>
      </c>
      <c r="I693" s="3">
        <f t="shared" si="51"/>
        <v>126000</v>
      </c>
      <c r="J693" s="1">
        <f t="shared" si="52"/>
        <v>350</v>
      </c>
      <c r="K693" s="1">
        <f t="shared" si="53"/>
        <v>44100000</v>
      </c>
      <c r="L693" s="2" t="str">
        <f t="shared" si="54"/>
        <v>Popular</v>
      </c>
    </row>
    <row r="694" spans="1:12" x14ac:dyDescent="0.3">
      <c r="A694" t="s">
        <v>1186</v>
      </c>
      <c r="B694" t="s">
        <v>1247</v>
      </c>
      <c r="C694" s="3">
        <v>4.8</v>
      </c>
      <c r="D694" s="3">
        <v>39</v>
      </c>
      <c r="E694" t="s">
        <v>1248</v>
      </c>
      <c r="F694" s="3">
        <v>19.078833700000001</v>
      </c>
      <c r="G694">
        <v>73.013362799999996</v>
      </c>
      <c r="H694">
        <f t="shared" si="50"/>
        <v>187.2</v>
      </c>
      <c r="I694" s="3">
        <f t="shared" si="51"/>
        <v>975</v>
      </c>
      <c r="J694" s="1">
        <f t="shared" si="52"/>
        <v>550</v>
      </c>
      <c r="K694" s="1">
        <f t="shared" si="53"/>
        <v>536250</v>
      </c>
      <c r="L694" s="2" t="str">
        <f t="shared" si="54"/>
        <v>Premium</v>
      </c>
    </row>
    <row r="695" spans="1:12" x14ac:dyDescent="0.3">
      <c r="A695" t="s">
        <v>1186</v>
      </c>
      <c r="B695" t="s">
        <v>1249</v>
      </c>
      <c r="C695" s="3">
        <v>4</v>
      </c>
      <c r="D695" s="3">
        <v>2532</v>
      </c>
      <c r="E695" t="s">
        <v>1250</v>
      </c>
      <c r="F695" s="3">
        <v>19.065773499999999</v>
      </c>
      <c r="G695">
        <v>73.000738599999906</v>
      </c>
      <c r="H695">
        <f t="shared" si="50"/>
        <v>10128</v>
      </c>
      <c r="I695" s="3">
        <f t="shared" si="51"/>
        <v>63300</v>
      </c>
      <c r="J695" s="1">
        <f t="shared" si="52"/>
        <v>350</v>
      </c>
      <c r="K695" s="1">
        <f t="shared" si="53"/>
        <v>22155000</v>
      </c>
      <c r="L695" s="2" t="str">
        <f t="shared" si="54"/>
        <v>Popular</v>
      </c>
    </row>
    <row r="696" spans="1:12" x14ac:dyDescent="0.3">
      <c r="A696" t="s">
        <v>1186</v>
      </c>
      <c r="B696" t="s">
        <v>1251</v>
      </c>
      <c r="C696" s="3">
        <v>4.4000000000000004</v>
      </c>
      <c r="D696" s="3">
        <v>383</v>
      </c>
      <c r="E696" t="s">
        <v>1252</v>
      </c>
      <c r="F696" s="3">
        <v>19.065708999999998</v>
      </c>
      <c r="G696">
        <v>73.001230899999996</v>
      </c>
      <c r="H696">
        <f t="shared" si="50"/>
        <v>1685.2</v>
      </c>
      <c r="I696" s="3">
        <f t="shared" si="51"/>
        <v>9575</v>
      </c>
      <c r="J696" s="1">
        <f t="shared" si="52"/>
        <v>450</v>
      </c>
      <c r="K696" s="1">
        <f t="shared" si="53"/>
        <v>4308750</v>
      </c>
      <c r="L696" s="2" t="str">
        <f t="shared" si="54"/>
        <v>Popular</v>
      </c>
    </row>
    <row r="697" spans="1:12" x14ac:dyDescent="0.3">
      <c r="A697" t="s">
        <v>1186</v>
      </c>
      <c r="B697" t="s">
        <v>1253</v>
      </c>
      <c r="C697" s="3">
        <v>4.5</v>
      </c>
      <c r="D697" s="3">
        <v>208</v>
      </c>
      <c r="E697" t="s">
        <v>1254</v>
      </c>
      <c r="F697" s="3">
        <v>19.087420900000001</v>
      </c>
      <c r="G697">
        <v>73.007493099999905</v>
      </c>
      <c r="H697">
        <f t="shared" si="50"/>
        <v>936</v>
      </c>
      <c r="I697" s="3">
        <f t="shared" si="51"/>
        <v>5200</v>
      </c>
      <c r="J697" s="1">
        <f t="shared" si="52"/>
        <v>450</v>
      </c>
      <c r="K697" s="1">
        <f t="shared" si="53"/>
        <v>2340000</v>
      </c>
      <c r="L697" s="2" t="str">
        <f t="shared" si="54"/>
        <v>Premium</v>
      </c>
    </row>
    <row r="698" spans="1:12" x14ac:dyDescent="0.3">
      <c r="A698" t="s">
        <v>1186</v>
      </c>
      <c r="B698" t="s">
        <v>1255</v>
      </c>
      <c r="C698" s="3">
        <v>4.5999999999999996</v>
      </c>
      <c r="D698" s="3">
        <v>163</v>
      </c>
      <c r="E698" t="s">
        <v>1256</v>
      </c>
      <c r="F698" s="3">
        <v>19.0629895</v>
      </c>
      <c r="G698">
        <v>73.005710399999998</v>
      </c>
      <c r="H698">
        <f t="shared" si="50"/>
        <v>749.8</v>
      </c>
      <c r="I698" s="3">
        <f t="shared" si="51"/>
        <v>4075</v>
      </c>
      <c r="J698" s="1">
        <f t="shared" si="52"/>
        <v>450</v>
      </c>
      <c r="K698" s="1">
        <f t="shared" si="53"/>
        <v>1833750</v>
      </c>
      <c r="L698" s="2" t="str">
        <f t="shared" si="54"/>
        <v>Premium</v>
      </c>
    </row>
    <row r="699" spans="1:12" x14ac:dyDescent="0.3">
      <c r="A699" t="s">
        <v>1186</v>
      </c>
      <c r="B699" t="s">
        <v>1257</v>
      </c>
      <c r="C699" s="3">
        <v>4.5</v>
      </c>
      <c r="D699" s="3">
        <v>250</v>
      </c>
      <c r="E699" t="s">
        <v>1258</v>
      </c>
      <c r="F699" s="3">
        <v>19.08229</v>
      </c>
      <c r="G699">
        <v>73.005936899999995</v>
      </c>
      <c r="H699">
        <f t="shared" si="50"/>
        <v>1125</v>
      </c>
      <c r="I699" s="3">
        <f t="shared" si="51"/>
        <v>6250</v>
      </c>
      <c r="J699" s="1">
        <f t="shared" si="52"/>
        <v>450</v>
      </c>
      <c r="K699" s="1">
        <f t="shared" si="53"/>
        <v>2812500</v>
      </c>
      <c r="L699" s="2" t="str">
        <f t="shared" si="54"/>
        <v>Premium</v>
      </c>
    </row>
    <row r="700" spans="1:12" x14ac:dyDescent="0.3">
      <c r="A700" t="s">
        <v>1186</v>
      </c>
      <c r="B700" t="s">
        <v>1259</v>
      </c>
      <c r="C700" s="3">
        <v>4.5</v>
      </c>
      <c r="D700" s="3">
        <v>1577</v>
      </c>
      <c r="E700" t="s">
        <v>1260</v>
      </c>
      <c r="F700" s="3">
        <v>19.091576700000001</v>
      </c>
      <c r="G700">
        <v>73.005654300000003</v>
      </c>
      <c r="H700">
        <f t="shared" si="50"/>
        <v>7096.5</v>
      </c>
      <c r="I700" s="3">
        <f t="shared" si="51"/>
        <v>39425</v>
      </c>
      <c r="J700" s="1">
        <f t="shared" si="52"/>
        <v>450</v>
      </c>
      <c r="K700" s="1">
        <f t="shared" si="53"/>
        <v>17741250</v>
      </c>
      <c r="L700" s="2" t="str">
        <f t="shared" si="54"/>
        <v>Premium</v>
      </c>
    </row>
    <row r="701" spans="1:12" x14ac:dyDescent="0.3">
      <c r="A701" t="s">
        <v>1186</v>
      </c>
      <c r="B701" t="s">
        <v>1261</v>
      </c>
      <c r="C701" s="3">
        <v>3</v>
      </c>
      <c r="D701" s="3">
        <v>13</v>
      </c>
      <c r="E701" t="s">
        <v>1262</v>
      </c>
      <c r="F701" s="3">
        <v>19.065766499999999</v>
      </c>
      <c r="G701">
        <v>73.000945199999904</v>
      </c>
      <c r="H701">
        <f t="shared" si="50"/>
        <v>39</v>
      </c>
      <c r="I701" s="3">
        <f t="shared" si="51"/>
        <v>325</v>
      </c>
      <c r="J701" s="1">
        <f t="shared" si="52"/>
        <v>350</v>
      </c>
      <c r="K701" s="1">
        <f t="shared" si="53"/>
        <v>113750</v>
      </c>
      <c r="L701" s="2" t="str">
        <f t="shared" si="54"/>
        <v>Average</v>
      </c>
    </row>
    <row r="702" spans="1:12" x14ac:dyDescent="0.3">
      <c r="A702" t="s">
        <v>1186</v>
      </c>
      <c r="B702" t="s">
        <v>1263</v>
      </c>
      <c r="C702" s="3">
        <v>4.2</v>
      </c>
      <c r="D702" s="3">
        <v>5593</v>
      </c>
      <c r="E702" t="s">
        <v>1264</v>
      </c>
      <c r="F702" s="3">
        <v>19.073940700000001</v>
      </c>
      <c r="G702">
        <v>72.999619099999904</v>
      </c>
      <c r="H702">
        <f t="shared" si="50"/>
        <v>23490.600000000002</v>
      </c>
      <c r="I702" s="3">
        <f t="shared" si="51"/>
        <v>139825</v>
      </c>
      <c r="J702" s="1">
        <f t="shared" si="52"/>
        <v>350</v>
      </c>
      <c r="K702" s="1">
        <f t="shared" si="53"/>
        <v>48938750</v>
      </c>
      <c r="L702" s="2" t="str">
        <f t="shared" si="54"/>
        <v>Popular</v>
      </c>
    </row>
    <row r="703" spans="1:12" x14ac:dyDescent="0.3">
      <c r="A703" t="s">
        <v>1186</v>
      </c>
      <c r="B703" t="s">
        <v>1265</v>
      </c>
      <c r="C703" s="3">
        <v>3.9</v>
      </c>
      <c r="D703" s="3">
        <v>4911</v>
      </c>
      <c r="E703" t="s">
        <v>1266</v>
      </c>
      <c r="F703" s="3">
        <v>19.075427099999999</v>
      </c>
      <c r="G703">
        <v>72.985011799999995</v>
      </c>
      <c r="H703">
        <f t="shared" si="50"/>
        <v>19152.899999999998</v>
      </c>
      <c r="I703" s="3">
        <f t="shared" si="51"/>
        <v>122775</v>
      </c>
      <c r="J703" s="1">
        <f t="shared" si="52"/>
        <v>350</v>
      </c>
      <c r="K703" s="1">
        <f t="shared" si="53"/>
        <v>42971250</v>
      </c>
      <c r="L703" s="2" t="str">
        <f t="shared" si="54"/>
        <v>Average</v>
      </c>
    </row>
    <row r="704" spans="1:12" x14ac:dyDescent="0.3">
      <c r="A704" t="s">
        <v>1186</v>
      </c>
      <c r="B704" t="s">
        <v>1267</v>
      </c>
      <c r="C704" s="3">
        <v>4.3</v>
      </c>
      <c r="D704" s="3">
        <v>75</v>
      </c>
      <c r="E704" t="s">
        <v>1268</v>
      </c>
      <c r="F704" s="3">
        <v>19.0539673</v>
      </c>
      <c r="G704">
        <v>73.006282599999906</v>
      </c>
      <c r="H704">
        <f t="shared" si="50"/>
        <v>322.5</v>
      </c>
      <c r="I704" s="3">
        <f t="shared" si="51"/>
        <v>1875</v>
      </c>
      <c r="J704" s="1">
        <f t="shared" si="52"/>
        <v>350</v>
      </c>
      <c r="K704" s="1">
        <f t="shared" si="53"/>
        <v>656250</v>
      </c>
      <c r="L704" s="2" t="str">
        <f t="shared" si="54"/>
        <v>Popular</v>
      </c>
    </row>
    <row r="705" spans="1:12" x14ac:dyDescent="0.3">
      <c r="A705" t="s">
        <v>1186</v>
      </c>
      <c r="B705" t="s">
        <v>1269</v>
      </c>
      <c r="C705" s="3">
        <v>4.3</v>
      </c>
      <c r="D705" s="3">
        <v>1618</v>
      </c>
      <c r="E705" t="s">
        <v>1270</v>
      </c>
      <c r="F705" s="3">
        <v>19.0835328</v>
      </c>
      <c r="G705">
        <v>73.0063873</v>
      </c>
      <c r="H705">
        <f t="shared" si="50"/>
        <v>6957.4</v>
      </c>
      <c r="I705" s="3">
        <f t="shared" si="51"/>
        <v>40450</v>
      </c>
      <c r="J705" s="1">
        <f t="shared" si="52"/>
        <v>350</v>
      </c>
      <c r="K705" s="1">
        <f t="shared" si="53"/>
        <v>14157500</v>
      </c>
      <c r="L705" s="2" t="str">
        <f t="shared" si="54"/>
        <v>Popular</v>
      </c>
    </row>
    <row r="706" spans="1:12" x14ac:dyDescent="0.3">
      <c r="A706" t="s">
        <v>1186</v>
      </c>
      <c r="B706" t="s">
        <v>1271</v>
      </c>
      <c r="C706" s="3">
        <v>4.4000000000000004</v>
      </c>
      <c r="D706" s="3">
        <v>117</v>
      </c>
      <c r="E706" t="s">
        <v>1272</v>
      </c>
      <c r="F706" s="3">
        <v>19.100381500000001</v>
      </c>
      <c r="G706">
        <v>73.009225299999997</v>
      </c>
      <c r="H706">
        <f t="shared" ref="H706:H769" si="55">C706*D706</f>
        <v>514.80000000000007</v>
      </c>
      <c r="I706" s="3">
        <f t="shared" ref="I706:I769" si="56">D706*25</f>
        <v>2925</v>
      </c>
      <c r="J706" s="1">
        <f t="shared" ref="J706:J769" si="57">IF(C706&gt;=4.7,550,IF(C706&gt;=4.4,450,IF(C706&gt;=O708,350,250)))</f>
        <v>450</v>
      </c>
      <c r="K706" s="1">
        <f t="shared" ref="K706:K769" si="58">I706*J706</f>
        <v>1316250</v>
      </c>
      <c r="L706" s="2" t="str">
        <f t="shared" ref="L706:L769" si="59">IF(C706&gt;=4.5,"Premium",IF(C706&gt;=4,"Popular","Average"))</f>
        <v>Popular</v>
      </c>
    </row>
    <row r="707" spans="1:12" x14ac:dyDescent="0.3">
      <c r="A707" t="s">
        <v>1186</v>
      </c>
      <c r="B707" t="s">
        <v>1273</v>
      </c>
      <c r="C707" s="3">
        <v>4.3</v>
      </c>
      <c r="D707" s="3">
        <v>123</v>
      </c>
      <c r="E707" t="s">
        <v>1274</v>
      </c>
      <c r="F707" s="3">
        <v>19.057032299999999</v>
      </c>
      <c r="G707">
        <v>73.016008099999993</v>
      </c>
      <c r="H707">
        <f t="shared" si="55"/>
        <v>528.9</v>
      </c>
      <c r="I707" s="3">
        <f t="shared" si="56"/>
        <v>3075</v>
      </c>
      <c r="J707" s="1">
        <f t="shared" si="57"/>
        <v>350</v>
      </c>
      <c r="K707" s="1">
        <f t="shared" si="58"/>
        <v>1076250</v>
      </c>
      <c r="L707" s="2" t="str">
        <f t="shared" si="59"/>
        <v>Popular</v>
      </c>
    </row>
    <row r="708" spans="1:12" x14ac:dyDescent="0.3">
      <c r="A708" t="s">
        <v>1186</v>
      </c>
      <c r="B708" t="s">
        <v>1275</v>
      </c>
      <c r="C708" s="3">
        <v>4.5999999999999996</v>
      </c>
      <c r="D708" s="3">
        <v>10</v>
      </c>
      <c r="E708" t="s">
        <v>1276</v>
      </c>
      <c r="F708" s="3">
        <v>19.0658025</v>
      </c>
      <c r="G708">
        <v>72.998540300000002</v>
      </c>
      <c r="H708">
        <f t="shared" si="55"/>
        <v>46</v>
      </c>
      <c r="I708" s="3">
        <f t="shared" si="56"/>
        <v>250</v>
      </c>
      <c r="J708" s="1">
        <f t="shared" si="57"/>
        <v>450</v>
      </c>
      <c r="K708" s="1">
        <f t="shared" si="58"/>
        <v>112500</v>
      </c>
      <c r="L708" s="2" t="str">
        <f t="shared" si="59"/>
        <v>Premium</v>
      </c>
    </row>
    <row r="709" spans="1:12" x14ac:dyDescent="0.3">
      <c r="A709" t="s">
        <v>1186</v>
      </c>
      <c r="B709" t="s">
        <v>1277</v>
      </c>
      <c r="C709" s="3">
        <v>4.7</v>
      </c>
      <c r="D709" s="3">
        <v>6</v>
      </c>
      <c r="E709" t="s">
        <v>1278</v>
      </c>
      <c r="F709" s="3">
        <v>19.075148299999999</v>
      </c>
      <c r="G709">
        <v>73.0079183</v>
      </c>
      <c r="H709">
        <f t="shared" si="55"/>
        <v>28.200000000000003</v>
      </c>
      <c r="I709" s="3">
        <f t="shared" si="56"/>
        <v>150</v>
      </c>
      <c r="J709" s="1">
        <f t="shared" si="57"/>
        <v>550</v>
      </c>
      <c r="K709" s="1">
        <f t="shared" si="58"/>
        <v>82500</v>
      </c>
      <c r="L709" s="2" t="str">
        <f t="shared" si="59"/>
        <v>Premium</v>
      </c>
    </row>
    <row r="710" spans="1:12" x14ac:dyDescent="0.3">
      <c r="A710" t="s">
        <v>1186</v>
      </c>
      <c r="B710" t="s">
        <v>1279</v>
      </c>
      <c r="C710" s="3">
        <v>4</v>
      </c>
      <c r="D710" s="3">
        <v>1</v>
      </c>
      <c r="E710" t="s">
        <v>1280</v>
      </c>
      <c r="F710" s="3">
        <v>19.080896500000001</v>
      </c>
      <c r="G710">
        <v>73.000470300000003</v>
      </c>
      <c r="H710">
        <f t="shared" si="55"/>
        <v>4</v>
      </c>
      <c r="I710" s="3">
        <f t="shared" si="56"/>
        <v>25</v>
      </c>
      <c r="J710" s="1">
        <f t="shared" si="57"/>
        <v>350</v>
      </c>
      <c r="K710" s="1">
        <f t="shared" si="58"/>
        <v>8750</v>
      </c>
      <c r="L710" s="2" t="str">
        <f t="shared" si="59"/>
        <v>Popular</v>
      </c>
    </row>
    <row r="711" spans="1:12" x14ac:dyDescent="0.3">
      <c r="A711" t="s">
        <v>1186</v>
      </c>
      <c r="B711" t="s">
        <v>1281</v>
      </c>
      <c r="C711" s="3">
        <v>4.4000000000000004</v>
      </c>
      <c r="D711" s="3">
        <v>4544</v>
      </c>
      <c r="E711" t="s">
        <v>1282</v>
      </c>
      <c r="F711" s="3">
        <v>19.0827299</v>
      </c>
      <c r="G711">
        <v>73.006397100000001</v>
      </c>
      <c r="H711">
        <f t="shared" si="55"/>
        <v>19993.600000000002</v>
      </c>
      <c r="I711" s="3">
        <f t="shared" si="56"/>
        <v>113600</v>
      </c>
      <c r="J711" s="1">
        <f t="shared" si="57"/>
        <v>450</v>
      </c>
      <c r="K711" s="1">
        <f t="shared" si="58"/>
        <v>51120000</v>
      </c>
      <c r="L711" s="2" t="str">
        <f t="shared" si="59"/>
        <v>Popular</v>
      </c>
    </row>
    <row r="712" spans="1:12" x14ac:dyDescent="0.3">
      <c r="A712" t="s">
        <v>1186</v>
      </c>
      <c r="B712" t="s">
        <v>149</v>
      </c>
      <c r="C712" s="3">
        <v>3.7</v>
      </c>
      <c r="D712" s="3">
        <v>149</v>
      </c>
      <c r="E712" t="s">
        <v>1283</v>
      </c>
      <c r="F712" s="3">
        <v>19.065738799999998</v>
      </c>
      <c r="G712">
        <v>73.000942699999996</v>
      </c>
      <c r="H712">
        <f t="shared" si="55"/>
        <v>551.30000000000007</v>
      </c>
      <c r="I712" s="3">
        <f t="shared" si="56"/>
        <v>3725</v>
      </c>
      <c r="J712" s="1">
        <f t="shared" si="57"/>
        <v>350</v>
      </c>
      <c r="K712" s="1">
        <f t="shared" si="58"/>
        <v>1303750</v>
      </c>
      <c r="L712" s="2" t="str">
        <f t="shared" si="59"/>
        <v>Average</v>
      </c>
    </row>
    <row r="713" spans="1:12" x14ac:dyDescent="0.3">
      <c r="A713" t="s">
        <v>1186</v>
      </c>
      <c r="B713" t="s">
        <v>1284</v>
      </c>
      <c r="C713" s="3">
        <v>4.2</v>
      </c>
      <c r="D713" s="3">
        <v>6536</v>
      </c>
      <c r="E713" t="s">
        <v>1285</v>
      </c>
      <c r="F713" s="3">
        <v>19.067298000000001</v>
      </c>
      <c r="G713">
        <v>72.999228700000003</v>
      </c>
      <c r="H713">
        <f t="shared" si="55"/>
        <v>27451.200000000001</v>
      </c>
      <c r="I713" s="3">
        <f t="shared" si="56"/>
        <v>163400</v>
      </c>
      <c r="J713" s="1">
        <f t="shared" si="57"/>
        <v>350</v>
      </c>
      <c r="K713" s="1">
        <f t="shared" si="58"/>
        <v>57190000</v>
      </c>
      <c r="L713" s="2" t="str">
        <f t="shared" si="59"/>
        <v>Popular</v>
      </c>
    </row>
    <row r="714" spans="1:12" x14ac:dyDescent="0.3">
      <c r="A714" t="s">
        <v>1186</v>
      </c>
      <c r="B714" t="s">
        <v>1286</v>
      </c>
      <c r="C714" s="3">
        <v>4.0999999999999996</v>
      </c>
      <c r="D714" s="3">
        <v>356</v>
      </c>
      <c r="E714" t="s">
        <v>1287</v>
      </c>
      <c r="F714" s="3">
        <v>19.065708999999998</v>
      </c>
      <c r="G714">
        <v>73.001230899999996</v>
      </c>
      <c r="H714">
        <f t="shared" si="55"/>
        <v>1459.6</v>
      </c>
      <c r="I714" s="3">
        <f t="shared" si="56"/>
        <v>8900</v>
      </c>
      <c r="J714" s="1">
        <f t="shared" si="57"/>
        <v>350</v>
      </c>
      <c r="K714" s="1">
        <f t="shared" si="58"/>
        <v>3115000</v>
      </c>
      <c r="L714" s="2" t="str">
        <f t="shared" si="59"/>
        <v>Popular</v>
      </c>
    </row>
    <row r="715" spans="1:12" x14ac:dyDescent="0.3">
      <c r="A715" t="s">
        <v>1186</v>
      </c>
      <c r="B715" t="s">
        <v>1288</v>
      </c>
      <c r="C715" s="3">
        <v>4.3</v>
      </c>
      <c r="D715" s="3">
        <v>1180</v>
      </c>
      <c r="E715" t="s">
        <v>1289</v>
      </c>
      <c r="F715" s="3">
        <v>19.015790599999999</v>
      </c>
      <c r="G715">
        <v>73.041221499999907</v>
      </c>
      <c r="H715">
        <f t="shared" si="55"/>
        <v>5074</v>
      </c>
      <c r="I715" s="3">
        <f t="shared" si="56"/>
        <v>29500</v>
      </c>
      <c r="J715" s="1">
        <f t="shared" si="57"/>
        <v>350</v>
      </c>
      <c r="K715" s="1">
        <f t="shared" si="58"/>
        <v>10325000</v>
      </c>
      <c r="L715" s="2" t="str">
        <f t="shared" si="59"/>
        <v>Popular</v>
      </c>
    </row>
    <row r="716" spans="1:12" x14ac:dyDescent="0.3">
      <c r="A716" t="s">
        <v>1186</v>
      </c>
      <c r="B716" t="s">
        <v>1290</v>
      </c>
      <c r="C716" s="3">
        <v>3.8</v>
      </c>
      <c r="D716" s="3">
        <v>348</v>
      </c>
      <c r="E716" t="s">
        <v>1291</v>
      </c>
      <c r="F716" s="3">
        <v>19.064215699999998</v>
      </c>
      <c r="G716">
        <v>73.010543099999893</v>
      </c>
      <c r="H716">
        <f t="shared" si="55"/>
        <v>1322.3999999999999</v>
      </c>
      <c r="I716" s="3">
        <f t="shared" si="56"/>
        <v>8700</v>
      </c>
      <c r="J716" s="1">
        <f t="shared" si="57"/>
        <v>350</v>
      </c>
      <c r="K716" s="1">
        <f t="shared" si="58"/>
        <v>3045000</v>
      </c>
      <c r="L716" s="2" t="str">
        <f t="shared" si="59"/>
        <v>Average</v>
      </c>
    </row>
    <row r="717" spans="1:12" x14ac:dyDescent="0.3">
      <c r="A717" t="s">
        <v>1186</v>
      </c>
      <c r="B717" t="s">
        <v>53</v>
      </c>
      <c r="C717" s="3">
        <v>4.9000000000000004</v>
      </c>
      <c r="D717" s="3">
        <v>33</v>
      </c>
      <c r="E717" t="s">
        <v>1292</v>
      </c>
      <c r="F717" s="3">
        <v>19.085107099999998</v>
      </c>
      <c r="G717">
        <v>73.007780799999907</v>
      </c>
      <c r="H717">
        <f t="shared" si="55"/>
        <v>161.70000000000002</v>
      </c>
      <c r="I717" s="3">
        <f t="shared" si="56"/>
        <v>825</v>
      </c>
      <c r="J717" s="1">
        <f t="shared" si="57"/>
        <v>550</v>
      </c>
      <c r="K717" s="1">
        <f t="shared" si="58"/>
        <v>453750</v>
      </c>
      <c r="L717" s="2" t="str">
        <f t="shared" si="59"/>
        <v>Premium</v>
      </c>
    </row>
    <row r="718" spans="1:12" x14ac:dyDescent="0.3">
      <c r="A718" t="s">
        <v>1186</v>
      </c>
      <c r="B718" t="s">
        <v>1293</v>
      </c>
      <c r="C718" s="3">
        <v>4.3</v>
      </c>
      <c r="D718" s="3">
        <v>209</v>
      </c>
      <c r="E718" t="s">
        <v>1294</v>
      </c>
      <c r="F718" s="3">
        <v>19.103729900000001</v>
      </c>
      <c r="G718">
        <v>73.001069900000005</v>
      </c>
      <c r="H718">
        <f t="shared" si="55"/>
        <v>898.69999999999993</v>
      </c>
      <c r="I718" s="3">
        <f t="shared" si="56"/>
        <v>5225</v>
      </c>
      <c r="J718" s="1">
        <f t="shared" si="57"/>
        <v>350</v>
      </c>
      <c r="K718" s="1">
        <f t="shared" si="58"/>
        <v>1828750</v>
      </c>
      <c r="L718" s="2" t="str">
        <f t="shared" si="59"/>
        <v>Popular</v>
      </c>
    </row>
    <row r="719" spans="1:12" x14ac:dyDescent="0.3">
      <c r="A719" t="s">
        <v>1186</v>
      </c>
      <c r="B719" t="s">
        <v>1295</v>
      </c>
      <c r="C719" s="3">
        <v>4.5</v>
      </c>
      <c r="D719" s="3">
        <v>14</v>
      </c>
      <c r="E719" t="s">
        <v>1296</v>
      </c>
      <c r="F719" s="3">
        <v>19.079420299999999</v>
      </c>
      <c r="G719">
        <v>73.0053743</v>
      </c>
      <c r="H719">
        <f t="shared" si="55"/>
        <v>63</v>
      </c>
      <c r="I719" s="3">
        <f t="shared" si="56"/>
        <v>350</v>
      </c>
      <c r="J719" s="1">
        <f t="shared" si="57"/>
        <v>450</v>
      </c>
      <c r="K719" s="1">
        <f t="shared" si="58"/>
        <v>157500</v>
      </c>
      <c r="L719" s="2" t="str">
        <f t="shared" si="59"/>
        <v>Premium</v>
      </c>
    </row>
    <row r="720" spans="1:12" x14ac:dyDescent="0.3">
      <c r="A720" t="s">
        <v>1186</v>
      </c>
      <c r="B720" t="s">
        <v>1297</v>
      </c>
      <c r="C720" s="3">
        <v>4.3</v>
      </c>
      <c r="D720" s="3">
        <v>12</v>
      </c>
      <c r="E720" t="s">
        <v>1298</v>
      </c>
      <c r="F720" s="3">
        <v>19.0664221</v>
      </c>
      <c r="G720">
        <v>73.008458699999906</v>
      </c>
      <c r="H720">
        <f t="shared" si="55"/>
        <v>51.599999999999994</v>
      </c>
      <c r="I720" s="3">
        <f t="shared" si="56"/>
        <v>300</v>
      </c>
      <c r="J720" s="1">
        <f t="shared" si="57"/>
        <v>350</v>
      </c>
      <c r="K720" s="1">
        <f t="shared" si="58"/>
        <v>105000</v>
      </c>
      <c r="L720" s="2" t="str">
        <f t="shared" si="59"/>
        <v>Popular</v>
      </c>
    </row>
    <row r="721" spans="1:12" x14ac:dyDescent="0.3">
      <c r="A721" t="s">
        <v>1186</v>
      </c>
      <c r="B721" t="s">
        <v>1299</v>
      </c>
      <c r="C721" s="3">
        <v>4.2</v>
      </c>
      <c r="D721" s="3">
        <v>1791</v>
      </c>
      <c r="E721" t="s">
        <v>1237</v>
      </c>
      <c r="F721" s="3">
        <v>19.0657973</v>
      </c>
      <c r="G721">
        <v>73.000631999999996</v>
      </c>
      <c r="H721">
        <f t="shared" si="55"/>
        <v>7522.2000000000007</v>
      </c>
      <c r="I721" s="3">
        <f t="shared" si="56"/>
        <v>44775</v>
      </c>
      <c r="J721" s="1">
        <f t="shared" si="57"/>
        <v>350</v>
      </c>
      <c r="K721" s="1">
        <f t="shared" si="58"/>
        <v>15671250</v>
      </c>
      <c r="L721" s="2" t="str">
        <f t="shared" si="59"/>
        <v>Popular</v>
      </c>
    </row>
    <row r="722" spans="1:12" x14ac:dyDescent="0.3">
      <c r="A722" t="s">
        <v>1300</v>
      </c>
      <c r="B722" t="s">
        <v>1301</v>
      </c>
      <c r="C722" s="3">
        <v>4.0999999999999996</v>
      </c>
      <c r="D722" s="3">
        <v>1368</v>
      </c>
      <c r="E722" t="s">
        <v>1302</v>
      </c>
      <c r="F722" s="3">
        <v>19.042125899999998</v>
      </c>
      <c r="G722">
        <v>73.024180799999996</v>
      </c>
      <c r="H722">
        <f t="shared" si="55"/>
        <v>5608.7999999999993</v>
      </c>
      <c r="I722" s="3">
        <f t="shared" si="56"/>
        <v>34200</v>
      </c>
      <c r="J722" s="1">
        <f t="shared" si="57"/>
        <v>350</v>
      </c>
      <c r="K722" s="1">
        <f t="shared" si="58"/>
        <v>11970000</v>
      </c>
      <c r="L722" s="2" t="str">
        <f t="shared" si="59"/>
        <v>Popular</v>
      </c>
    </row>
    <row r="723" spans="1:12" x14ac:dyDescent="0.3">
      <c r="A723" t="s">
        <v>1300</v>
      </c>
      <c r="B723" t="s">
        <v>1303</v>
      </c>
      <c r="C723" s="3">
        <v>4.5999999999999996</v>
      </c>
      <c r="D723" s="3">
        <v>263</v>
      </c>
      <c r="E723" t="s">
        <v>1304</v>
      </c>
      <c r="F723" s="3">
        <v>19.040775499999999</v>
      </c>
      <c r="G723">
        <v>73.020984999999996</v>
      </c>
      <c r="H723">
        <f t="shared" si="55"/>
        <v>1209.8</v>
      </c>
      <c r="I723" s="3">
        <f t="shared" si="56"/>
        <v>6575</v>
      </c>
      <c r="J723" s="1">
        <f t="shared" si="57"/>
        <v>450</v>
      </c>
      <c r="K723" s="1">
        <f t="shared" si="58"/>
        <v>2958750</v>
      </c>
      <c r="L723" s="2" t="str">
        <f t="shared" si="59"/>
        <v>Premium</v>
      </c>
    </row>
    <row r="724" spans="1:12" x14ac:dyDescent="0.3">
      <c r="A724" t="s">
        <v>1300</v>
      </c>
      <c r="B724" t="s">
        <v>1305</v>
      </c>
      <c r="C724" s="3">
        <v>4.9000000000000004</v>
      </c>
      <c r="D724" s="3">
        <v>192</v>
      </c>
      <c r="E724" t="s">
        <v>1306</v>
      </c>
      <c r="F724" s="3">
        <v>19.035841699999999</v>
      </c>
      <c r="G724">
        <v>73.024197200000003</v>
      </c>
      <c r="H724">
        <f t="shared" si="55"/>
        <v>940.80000000000007</v>
      </c>
      <c r="I724" s="3">
        <f t="shared" si="56"/>
        <v>4800</v>
      </c>
      <c r="J724" s="1">
        <f t="shared" si="57"/>
        <v>550</v>
      </c>
      <c r="K724" s="1">
        <f t="shared" si="58"/>
        <v>2640000</v>
      </c>
      <c r="L724" s="2" t="str">
        <f t="shared" si="59"/>
        <v>Premium</v>
      </c>
    </row>
    <row r="725" spans="1:12" x14ac:dyDescent="0.3">
      <c r="A725" t="s">
        <v>1300</v>
      </c>
      <c r="B725" t="s">
        <v>1307</v>
      </c>
      <c r="C725" s="3">
        <v>4.2</v>
      </c>
      <c r="D725" s="3">
        <v>28</v>
      </c>
      <c r="E725" t="s">
        <v>1308</v>
      </c>
      <c r="F725" s="3">
        <v>19.043312499999999</v>
      </c>
      <c r="G725">
        <v>73.0270625</v>
      </c>
      <c r="H725">
        <f t="shared" si="55"/>
        <v>117.60000000000001</v>
      </c>
      <c r="I725" s="3">
        <f t="shared" si="56"/>
        <v>700</v>
      </c>
      <c r="J725" s="1">
        <f t="shared" si="57"/>
        <v>350</v>
      </c>
      <c r="K725" s="1">
        <f t="shared" si="58"/>
        <v>245000</v>
      </c>
      <c r="L725" s="2" t="str">
        <f t="shared" si="59"/>
        <v>Popular</v>
      </c>
    </row>
    <row r="726" spans="1:12" x14ac:dyDescent="0.3">
      <c r="A726" t="s">
        <v>1300</v>
      </c>
      <c r="B726" t="s">
        <v>1309</v>
      </c>
      <c r="C726" s="3">
        <v>5</v>
      </c>
      <c r="D726" s="3">
        <v>139</v>
      </c>
      <c r="E726" t="s">
        <v>1310</v>
      </c>
      <c r="F726" s="3">
        <v>19.025829999999999</v>
      </c>
      <c r="G726">
        <v>73.021027000000004</v>
      </c>
      <c r="H726">
        <f t="shared" si="55"/>
        <v>695</v>
      </c>
      <c r="I726" s="3">
        <f t="shared" si="56"/>
        <v>3475</v>
      </c>
      <c r="J726" s="1">
        <f t="shared" si="57"/>
        <v>550</v>
      </c>
      <c r="K726" s="1">
        <f t="shared" si="58"/>
        <v>1911250</v>
      </c>
      <c r="L726" s="2" t="str">
        <f t="shared" si="59"/>
        <v>Premium</v>
      </c>
    </row>
    <row r="727" spans="1:12" x14ac:dyDescent="0.3">
      <c r="A727" t="s">
        <v>1300</v>
      </c>
      <c r="B727" t="s">
        <v>1311</v>
      </c>
      <c r="C727" s="3">
        <v>4.5</v>
      </c>
      <c r="D727" s="3">
        <v>113</v>
      </c>
      <c r="E727" t="s">
        <v>1312</v>
      </c>
      <c r="F727" s="3">
        <v>19.043808500000001</v>
      </c>
      <c r="G727">
        <v>73.009150899999995</v>
      </c>
      <c r="H727">
        <f t="shared" si="55"/>
        <v>508.5</v>
      </c>
      <c r="I727" s="3">
        <f t="shared" si="56"/>
        <v>2825</v>
      </c>
      <c r="J727" s="1">
        <f t="shared" si="57"/>
        <v>450</v>
      </c>
      <c r="K727" s="1">
        <f t="shared" si="58"/>
        <v>1271250</v>
      </c>
      <c r="L727" s="2" t="str">
        <f t="shared" si="59"/>
        <v>Premium</v>
      </c>
    </row>
    <row r="728" spans="1:12" x14ac:dyDescent="0.3">
      <c r="A728" t="s">
        <v>1300</v>
      </c>
      <c r="B728" t="s">
        <v>1313</v>
      </c>
      <c r="C728" s="3">
        <v>4.8</v>
      </c>
      <c r="D728" s="3">
        <v>237</v>
      </c>
      <c r="E728" t="s">
        <v>1314</v>
      </c>
      <c r="F728" s="3">
        <v>19.0217691</v>
      </c>
      <c r="G728">
        <v>73.015452999999994</v>
      </c>
      <c r="H728">
        <f t="shared" si="55"/>
        <v>1137.5999999999999</v>
      </c>
      <c r="I728" s="3">
        <f t="shared" si="56"/>
        <v>5925</v>
      </c>
      <c r="J728" s="1">
        <f t="shared" si="57"/>
        <v>550</v>
      </c>
      <c r="K728" s="1">
        <f t="shared" si="58"/>
        <v>3258750</v>
      </c>
      <c r="L728" s="2" t="str">
        <f t="shared" si="59"/>
        <v>Premium</v>
      </c>
    </row>
    <row r="729" spans="1:12" x14ac:dyDescent="0.3">
      <c r="A729" t="s">
        <v>1300</v>
      </c>
      <c r="B729" t="s">
        <v>1195</v>
      </c>
      <c r="C729" s="3">
        <v>4.4000000000000004</v>
      </c>
      <c r="D729" s="3">
        <v>523</v>
      </c>
      <c r="E729" t="s">
        <v>1196</v>
      </c>
      <c r="F729" s="3">
        <v>19.056582800000001</v>
      </c>
      <c r="G729">
        <v>73.0032037</v>
      </c>
      <c r="H729">
        <f t="shared" si="55"/>
        <v>2301.2000000000003</v>
      </c>
      <c r="I729" s="3">
        <f t="shared" si="56"/>
        <v>13075</v>
      </c>
      <c r="J729" s="1">
        <f t="shared" si="57"/>
        <v>450</v>
      </c>
      <c r="K729" s="1">
        <f t="shared" si="58"/>
        <v>5883750</v>
      </c>
      <c r="L729" s="2" t="str">
        <f t="shared" si="59"/>
        <v>Popular</v>
      </c>
    </row>
    <row r="730" spans="1:12" x14ac:dyDescent="0.3">
      <c r="A730" t="s">
        <v>1300</v>
      </c>
      <c r="B730" t="s">
        <v>1315</v>
      </c>
      <c r="C730" s="3">
        <v>4.8</v>
      </c>
      <c r="D730" s="3">
        <v>79</v>
      </c>
      <c r="E730" t="s">
        <v>1316</v>
      </c>
      <c r="F730" s="3">
        <v>19.0329871</v>
      </c>
      <c r="G730">
        <v>73.012118700000002</v>
      </c>
      <c r="H730">
        <f t="shared" si="55"/>
        <v>379.2</v>
      </c>
      <c r="I730" s="3">
        <f t="shared" si="56"/>
        <v>1975</v>
      </c>
      <c r="J730" s="1">
        <f t="shared" si="57"/>
        <v>550</v>
      </c>
      <c r="K730" s="1">
        <f t="shared" si="58"/>
        <v>1086250</v>
      </c>
      <c r="L730" s="2" t="str">
        <f t="shared" si="59"/>
        <v>Premium</v>
      </c>
    </row>
    <row r="731" spans="1:12" x14ac:dyDescent="0.3">
      <c r="A731" t="s">
        <v>1300</v>
      </c>
      <c r="B731" t="s">
        <v>1317</v>
      </c>
      <c r="C731" s="3">
        <v>4.8</v>
      </c>
      <c r="D731" s="3">
        <v>134</v>
      </c>
      <c r="E731" t="s">
        <v>1318</v>
      </c>
      <c r="F731" s="3">
        <v>19.022916299999999</v>
      </c>
      <c r="G731">
        <v>73.021074799999994</v>
      </c>
      <c r="H731">
        <f t="shared" si="55"/>
        <v>643.19999999999993</v>
      </c>
      <c r="I731" s="3">
        <f t="shared" si="56"/>
        <v>3350</v>
      </c>
      <c r="J731" s="1">
        <f t="shared" si="57"/>
        <v>550</v>
      </c>
      <c r="K731" s="1">
        <f t="shared" si="58"/>
        <v>1842500</v>
      </c>
      <c r="L731" s="2" t="str">
        <f t="shared" si="59"/>
        <v>Premium</v>
      </c>
    </row>
    <row r="732" spans="1:12" x14ac:dyDescent="0.3">
      <c r="A732" t="s">
        <v>1300</v>
      </c>
      <c r="B732" t="s">
        <v>1319</v>
      </c>
      <c r="C732" s="3">
        <v>4.5999999999999996</v>
      </c>
      <c r="D732" s="3">
        <v>124</v>
      </c>
      <c r="E732" t="s">
        <v>1320</v>
      </c>
      <c r="F732" s="3">
        <v>19.024753499999999</v>
      </c>
      <c r="G732">
        <v>73.022224499999993</v>
      </c>
      <c r="H732">
        <f t="shared" si="55"/>
        <v>570.4</v>
      </c>
      <c r="I732" s="3">
        <f t="shared" si="56"/>
        <v>3100</v>
      </c>
      <c r="J732" s="1">
        <f t="shared" si="57"/>
        <v>450</v>
      </c>
      <c r="K732" s="1">
        <f t="shared" si="58"/>
        <v>1395000</v>
      </c>
      <c r="L732" s="2" t="str">
        <f t="shared" si="59"/>
        <v>Premium</v>
      </c>
    </row>
    <row r="733" spans="1:12" x14ac:dyDescent="0.3">
      <c r="A733" t="s">
        <v>1300</v>
      </c>
      <c r="B733" t="s">
        <v>1321</v>
      </c>
      <c r="C733" s="3">
        <v>4</v>
      </c>
      <c r="D733" s="3">
        <v>127</v>
      </c>
      <c r="E733" t="s">
        <v>1322</v>
      </c>
      <c r="F733" s="3">
        <v>19.037030900000001</v>
      </c>
      <c r="G733">
        <v>73.018918599999907</v>
      </c>
      <c r="H733">
        <f t="shared" si="55"/>
        <v>508</v>
      </c>
      <c r="I733" s="3">
        <f t="shared" si="56"/>
        <v>3175</v>
      </c>
      <c r="J733" s="1">
        <f t="shared" si="57"/>
        <v>350</v>
      </c>
      <c r="K733" s="1">
        <f t="shared" si="58"/>
        <v>1111250</v>
      </c>
      <c r="L733" s="2" t="str">
        <f t="shared" si="59"/>
        <v>Popular</v>
      </c>
    </row>
    <row r="734" spans="1:12" x14ac:dyDescent="0.3">
      <c r="A734" t="s">
        <v>1300</v>
      </c>
      <c r="B734" t="s">
        <v>1323</v>
      </c>
      <c r="C734" s="3">
        <v>4.8</v>
      </c>
      <c r="D734" s="3">
        <v>1395</v>
      </c>
      <c r="E734" t="s">
        <v>1324</v>
      </c>
      <c r="F734" s="3">
        <v>19.006477</v>
      </c>
      <c r="G734">
        <v>73.033076399999999</v>
      </c>
      <c r="H734">
        <f t="shared" si="55"/>
        <v>6696</v>
      </c>
      <c r="I734" s="3">
        <f t="shared" si="56"/>
        <v>34875</v>
      </c>
      <c r="J734" s="1">
        <f t="shared" si="57"/>
        <v>550</v>
      </c>
      <c r="K734" s="1">
        <f t="shared" si="58"/>
        <v>19181250</v>
      </c>
      <c r="L734" s="2" t="str">
        <f t="shared" si="59"/>
        <v>Premium</v>
      </c>
    </row>
    <row r="735" spans="1:12" x14ac:dyDescent="0.3">
      <c r="A735" t="s">
        <v>1300</v>
      </c>
      <c r="B735" t="s">
        <v>1207</v>
      </c>
      <c r="C735" s="3">
        <v>4.5</v>
      </c>
      <c r="D735" s="3">
        <v>739</v>
      </c>
      <c r="E735" t="s">
        <v>1208</v>
      </c>
      <c r="F735" s="3">
        <v>19.055643400000001</v>
      </c>
      <c r="G735">
        <v>73.015022399999907</v>
      </c>
      <c r="H735">
        <f t="shared" si="55"/>
        <v>3325.5</v>
      </c>
      <c r="I735" s="3">
        <f t="shared" si="56"/>
        <v>18475</v>
      </c>
      <c r="J735" s="1">
        <f t="shared" si="57"/>
        <v>450</v>
      </c>
      <c r="K735" s="1">
        <f t="shared" si="58"/>
        <v>8313750</v>
      </c>
      <c r="L735" s="2" t="str">
        <f t="shared" si="59"/>
        <v>Premium</v>
      </c>
    </row>
    <row r="736" spans="1:12" x14ac:dyDescent="0.3">
      <c r="A736" t="s">
        <v>1300</v>
      </c>
      <c r="B736" t="s">
        <v>1325</v>
      </c>
      <c r="C736" s="3">
        <v>4.7</v>
      </c>
      <c r="D736" s="3">
        <v>35</v>
      </c>
      <c r="E736" t="s">
        <v>1326</v>
      </c>
      <c r="F736" s="3">
        <v>19.031068699999999</v>
      </c>
      <c r="G736">
        <v>73.027243499999997</v>
      </c>
      <c r="H736">
        <f t="shared" si="55"/>
        <v>164.5</v>
      </c>
      <c r="I736" s="3">
        <f t="shared" si="56"/>
        <v>875</v>
      </c>
      <c r="J736" s="1">
        <f t="shared" si="57"/>
        <v>550</v>
      </c>
      <c r="K736" s="1">
        <f t="shared" si="58"/>
        <v>481250</v>
      </c>
      <c r="L736" s="2" t="str">
        <f t="shared" si="59"/>
        <v>Premium</v>
      </c>
    </row>
    <row r="737" spans="1:12" x14ac:dyDescent="0.3">
      <c r="A737" t="s">
        <v>1300</v>
      </c>
      <c r="B737" t="s">
        <v>1327</v>
      </c>
      <c r="C737" s="3">
        <v>4.2</v>
      </c>
      <c r="D737" s="3">
        <v>1160</v>
      </c>
      <c r="E737" t="s">
        <v>1328</v>
      </c>
      <c r="F737" s="3">
        <v>19.029653</v>
      </c>
      <c r="G737">
        <v>73.023086399999997</v>
      </c>
      <c r="H737">
        <f t="shared" si="55"/>
        <v>4872</v>
      </c>
      <c r="I737" s="3">
        <f t="shared" si="56"/>
        <v>29000</v>
      </c>
      <c r="J737" s="1">
        <f t="shared" si="57"/>
        <v>350</v>
      </c>
      <c r="K737" s="1">
        <f t="shared" si="58"/>
        <v>10150000</v>
      </c>
      <c r="L737" s="2" t="str">
        <f t="shared" si="59"/>
        <v>Popular</v>
      </c>
    </row>
    <row r="738" spans="1:12" x14ac:dyDescent="0.3">
      <c r="A738" t="s">
        <v>1300</v>
      </c>
      <c r="B738" t="s">
        <v>1329</v>
      </c>
      <c r="C738" s="3">
        <v>4.8</v>
      </c>
      <c r="D738" s="3">
        <v>20</v>
      </c>
      <c r="E738" t="s">
        <v>1330</v>
      </c>
      <c r="F738" s="3">
        <v>19.0339052</v>
      </c>
      <c r="G738">
        <v>73.026971000000003</v>
      </c>
      <c r="H738">
        <f t="shared" si="55"/>
        <v>96</v>
      </c>
      <c r="I738" s="3">
        <f t="shared" si="56"/>
        <v>500</v>
      </c>
      <c r="J738" s="1">
        <f t="shared" si="57"/>
        <v>550</v>
      </c>
      <c r="K738" s="1">
        <f t="shared" si="58"/>
        <v>275000</v>
      </c>
      <c r="L738" s="2" t="str">
        <f t="shared" si="59"/>
        <v>Premium</v>
      </c>
    </row>
    <row r="739" spans="1:12" x14ac:dyDescent="0.3">
      <c r="A739" t="s">
        <v>1300</v>
      </c>
      <c r="B739" t="s">
        <v>1331</v>
      </c>
      <c r="C739" s="3">
        <v>4.9000000000000004</v>
      </c>
      <c r="D739" s="3">
        <v>104</v>
      </c>
      <c r="E739" t="s">
        <v>1332</v>
      </c>
      <c r="F739" s="3">
        <v>19.0237658</v>
      </c>
      <c r="G739">
        <v>73.019487900000001</v>
      </c>
      <c r="H739">
        <f t="shared" si="55"/>
        <v>509.6</v>
      </c>
      <c r="I739" s="3">
        <f t="shared" si="56"/>
        <v>2600</v>
      </c>
      <c r="J739" s="1">
        <f t="shared" si="57"/>
        <v>550</v>
      </c>
      <c r="K739" s="1">
        <f t="shared" si="58"/>
        <v>1430000</v>
      </c>
      <c r="L739" s="2" t="str">
        <f t="shared" si="59"/>
        <v>Premium</v>
      </c>
    </row>
    <row r="740" spans="1:12" x14ac:dyDescent="0.3">
      <c r="A740" t="s">
        <v>1300</v>
      </c>
      <c r="B740" t="s">
        <v>1333</v>
      </c>
      <c r="C740" s="3">
        <v>4.5999999999999996</v>
      </c>
      <c r="D740" s="3">
        <v>241</v>
      </c>
      <c r="E740" t="s">
        <v>1334</v>
      </c>
      <c r="F740" s="3">
        <v>19.019092499999999</v>
      </c>
      <c r="G740">
        <v>73.015524599999907</v>
      </c>
      <c r="H740">
        <f t="shared" si="55"/>
        <v>1108.5999999999999</v>
      </c>
      <c r="I740" s="3">
        <f t="shared" si="56"/>
        <v>6025</v>
      </c>
      <c r="J740" s="1">
        <f t="shared" si="57"/>
        <v>450</v>
      </c>
      <c r="K740" s="1">
        <f t="shared" si="58"/>
        <v>2711250</v>
      </c>
      <c r="L740" s="2" t="str">
        <f t="shared" si="59"/>
        <v>Premium</v>
      </c>
    </row>
    <row r="741" spans="1:12" x14ac:dyDescent="0.3">
      <c r="A741" t="s">
        <v>1300</v>
      </c>
      <c r="B741" t="s">
        <v>533</v>
      </c>
      <c r="C741" s="3">
        <v>4</v>
      </c>
      <c r="D741" s="3">
        <v>384</v>
      </c>
      <c r="E741" t="s">
        <v>1335</v>
      </c>
      <c r="F741" s="3">
        <v>19.0211857</v>
      </c>
      <c r="G741">
        <v>73.019555299999993</v>
      </c>
      <c r="H741">
        <f t="shared" si="55"/>
        <v>1536</v>
      </c>
      <c r="I741" s="3">
        <f t="shared" si="56"/>
        <v>9600</v>
      </c>
      <c r="J741" s="1">
        <f t="shared" si="57"/>
        <v>350</v>
      </c>
      <c r="K741" s="1">
        <f t="shared" si="58"/>
        <v>3360000</v>
      </c>
      <c r="L741" s="2" t="str">
        <f t="shared" si="59"/>
        <v>Popular</v>
      </c>
    </row>
    <row r="742" spans="1:12" x14ac:dyDescent="0.3">
      <c r="A742" t="s">
        <v>1300</v>
      </c>
      <c r="B742" t="s">
        <v>1336</v>
      </c>
      <c r="C742" s="3">
        <v>4.5999999999999996</v>
      </c>
      <c r="D742" s="3">
        <v>152</v>
      </c>
      <c r="E742" t="s">
        <v>1308</v>
      </c>
      <c r="F742" s="3">
        <v>19.043336199999999</v>
      </c>
      <c r="G742">
        <v>73.027075600000003</v>
      </c>
      <c r="H742">
        <f t="shared" si="55"/>
        <v>699.19999999999993</v>
      </c>
      <c r="I742" s="3">
        <f t="shared" si="56"/>
        <v>3800</v>
      </c>
      <c r="J742" s="1">
        <f t="shared" si="57"/>
        <v>450</v>
      </c>
      <c r="K742" s="1">
        <f t="shared" si="58"/>
        <v>1710000</v>
      </c>
      <c r="L742" s="2" t="str">
        <f t="shared" si="59"/>
        <v>Premium</v>
      </c>
    </row>
    <row r="743" spans="1:12" x14ac:dyDescent="0.3">
      <c r="A743" t="s">
        <v>1300</v>
      </c>
      <c r="B743" t="s">
        <v>1337</v>
      </c>
      <c r="C743" s="3">
        <v>4.4000000000000004</v>
      </c>
      <c r="D743" s="3">
        <v>54</v>
      </c>
      <c r="E743" t="s">
        <v>1338</v>
      </c>
      <c r="F743" s="3">
        <v>19.048749600000001</v>
      </c>
      <c r="G743">
        <v>73.020482700000002</v>
      </c>
      <c r="H743">
        <f t="shared" si="55"/>
        <v>237.60000000000002</v>
      </c>
      <c r="I743" s="3">
        <f t="shared" si="56"/>
        <v>1350</v>
      </c>
      <c r="J743" s="1">
        <f t="shared" si="57"/>
        <v>450</v>
      </c>
      <c r="K743" s="1">
        <f t="shared" si="58"/>
        <v>607500</v>
      </c>
      <c r="L743" s="2" t="str">
        <f t="shared" si="59"/>
        <v>Popular</v>
      </c>
    </row>
    <row r="744" spans="1:12" x14ac:dyDescent="0.3">
      <c r="A744" t="s">
        <v>1300</v>
      </c>
      <c r="B744" t="s">
        <v>1339</v>
      </c>
      <c r="C744" s="3">
        <v>4.4000000000000004</v>
      </c>
      <c r="D744" s="3">
        <v>96</v>
      </c>
      <c r="E744" t="s">
        <v>1340</v>
      </c>
      <c r="F744" s="3">
        <v>19.023695</v>
      </c>
      <c r="G744">
        <v>73.0317656</v>
      </c>
      <c r="H744">
        <f t="shared" si="55"/>
        <v>422.40000000000003</v>
      </c>
      <c r="I744" s="3">
        <f t="shared" si="56"/>
        <v>2400</v>
      </c>
      <c r="J744" s="1">
        <f t="shared" si="57"/>
        <v>450</v>
      </c>
      <c r="K744" s="1">
        <f t="shared" si="58"/>
        <v>1080000</v>
      </c>
      <c r="L744" s="2" t="str">
        <f t="shared" si="59"/>
        <v>Popular</v>
      </c>
    </row>
    <row r="745" spans="1:12" x14ac:dyDescent="0.3">
      <c r="A745" t="s">
        <v>1300</v>
      </c>
      <c r="B745" t="s">
        <v>1341</v>
      </c>
      <c r="C745" s="3">
        <v>4.2</v>
      </c>
      <c r="D745" s="3">
        <v>2630</v>
      </c>
      <c r="E745" t="s">
        <v>1342</v>
      </c>
      <c r="F745" s="3">
        <v>19.057972100000001</v>
      </c>
      <c r="G745">
        <v>73.0021244</v>
      </c>
      <c r="H745">
        <f t="shared" si="55"/>
        <v>11046</v>
      </c>
      <c r="I745" s="3">
        <f t="shared" si="56"/>
        <v>65750</v>
      </c>
      <c r="J745" s="1">
        <f t="shared" si="57"/>
        <v>350</v>
      </c>
      <c r="K745" s="1">
        <f t="shared" si="58"/>
        <v>23012500</v>
      </c>
      <c r="L745" s="2" t="str">
        <f t="shared" si="59"/>
        <v>Popular</v>
      </c>
    </row>
    <row r="746" spans="1:12" x14ac:dyDescent="0.3">
      <c r="A746" t="s">
        <v>1300</v>
      </c>
      <c r="B746" t="s">
        <v>1343</v>
      </c>
      <c r="C746" s="3">
        <v>4.4000000000000004</v>
      </c>
      <c r="D746" s="3">
        <v>1068</v>
      </c>
      <c r="E746" t="s">
        <v>1344</v>
      </c>
      <c r="F746" s="3">
        <v>19.007045699999999</v>
      </c>
      <c r="G746">
        <v>73.033661699999996</v>
      </c>
      <c r="H746">
        <f t="shared" si="55"/>
        <v>4699.2000000000007</v>
      </c>
      <c r="I746" s="3">
        <f t="shared" si="56"/>
        <v>26700</v>
      </c>
      <c r="J746" s="1">
        <f t="shared" si="57"/>
        <v>450</v>
      </c>
      <c r="K746" s="1">
        <f t="shared" si="58"/>
        <v>12015000</v>
      </c>
      <c r="L746" s="2" t="str">
        <f t="shared" si="59"/>
        <v>Popular</v>
      </c>
    </row>
    <row r="747" spans="1:12" x14ac:dyDescent="0.3">
      <c r="A747" t="s">
        <v>1300</v>
      </c>
      <c r="B747" t="s">
        <v>1345</v>
      </c>
      <c r="C747" s="3">
        <v>4.4000000000000004</v>
      </c>
      <c r="D747" s="3">
        <v>208</v>
      </c>
      <c r="E747" t="s">
        <v>1346</v>
      </c>
      <c r="F747" s="3">
        <v>19.010544700000001</v>
      </c>
      <c r="G747">
        <v>73.011974100000003</v>
      </c>
      <c r="H747">
        <f t="shared" si="55"/>
        <v>915.2</v>
      </c>
      <c r="I747" s="3">
        <f t="shared" si="56"/>
        <v>5200</v>
      </c>
      <c r="J747" s="1">
        <f t="shared" si="57"/>
        <v>450</v>
      </c>
      <c r="K747" s="1">
        <f t="shared" si="58"/>
        <v>2340000</v>
      </c>
      <c r="L747" s="2" t="str">
        <f t="shared" si="59"/>
        <v>Popular</v>
      </c>
    </row>
    <row r="748" spans="1:12" x14ac:dyDescent="0.3">
      <c r="A748" t="s">
        <v>1300</v>
      </c>
      <c r="B748" t="s">
        <v>1347</v>
      </c>
      <c r="C748" s="3">
        <v>4.2</v>
      </c>
      <c r="D748" s="3">
        <v>322</v>
      </c>
      <c r="E748" t="s">
        <v>1348</v>
      </c>
      <c r="F748" s="3">
        <v>19.0331084</v>
      </c>
      <c r="G748">
        <v>73.014905499999998</v>
      </c>
      <c r="H748">
        <f t="shared" si="55"/>
        <v>1352.4</v>
      </c>
      <c r="I748" s="3">
        <f t="shared" si="56"/>
        <v>8050</v>
      </c>
      <c r="J748" s="1">
        <f t="shared" si="57"/>
        <v>350</v>
      </c>
      <c r="K748" s="1">
        <f t="shared" si="58"/>
        <v>2817500</v>
      </c>
      <c r="L748" s="2" t="str">
        <f t="shared" si="59"/>
        <v>Popular</v>
      </c>
    </row>
    <row r="749" spans="1:12" x14ac:dyDescent="0.3">
      <c r="A749" t="s">
        <v>1300</v>
      </c>
      <c r="B749" t="s">
        <v>1349</v>
      </c>
      <c r="C749" s="3">
        <v>4.9000000000000004</v>
      </c>
      <c r="D749" s="3">
        <v>201</v>
      </c>
      <c r="E749" t="s">
        <v>1350</v>
      </c>
      <c r="F749" s="3">
        <v>19.0112536</v>
      </c>
      <c r="G749">
        <v>73.012016299999999</v>
      </c>
      <c r="H749">
        <f t="shared" si="55"/>
        <v>984.90000000000009</v>
      </c>
      <c r="I749" s="3">
        <f t="shared" si="56"/>
        <v>5025</v>
      </c>
      <c r="J749" s="1">
        <f t="shared" si="57"/>
        <v>550</v>
      </c>
      <c r="K749" s="1">
        <f t="shared" si="58"/>
        <v>2763750</v>
      </c>
      <c r="L749" s="2" t="str">
        <f t="shared" si="59"/>
        <v>Premium</v>
      </c>
    </row>
    <row r="750" spans="1:12" x14ac:dyDescent="0.3">
      <c r="A750" t="s">
        <v>1300</v>
      </c>
      <c r="B750" t="s">
        <v>1351</v>
      </c>
      <c r="C750" s="3">
        <v>4.2</v>
      </c>
      <c r="D750" s="3">
        <v>1599</v>
      </c>
      <c r="E750" t="s">
        <v>1352</v>
      </c>
      <c r="F750" s="3">
        <v>19.010225200000001</v>
      </c>
      <c r="G750">
        <v>73.012336500000004</v>
      </c>
      <c r="H750">
        <f t="shared" si="55"/>
        <v>6715.8</v>
      </c>
      <c r="I750" s="3">
        <f t="shared" si="56"/>
        <v>39975</v>
      </c>
      <c r="J750" s="1">
        <f t="shared" si="57"/>
        <v>350</v>
      </c>
      <c r="K750" s="1">
        <f t="shared" si="58"/>
        <v>13991250</v>
      </c>
      <c r="L750" s="2" t="str">
        <f t="shared" si="59"/>
        <v>Popular</v>
      </c>
    </row>
    <row r="751" spans="1:12" x14ac:dyDescent="0.3">
      <c r="A751" t="s">
        <v>1300</v>
      </c>
      <c r="B751" t="s">
        <v>1353</v>
      </c>
      <c r="C751" s="3">
        <v>3.7</v>
      </c>
      <c r="D751" s="3">
        <v>340</v>
      </c>
      <c r="E751" t="s">
        <v>1354</v>
      </c>
      <c r="F751" s="3">
        <v>19.033962899999999</v>
      </c>
      <c r="G751">
        <v>73.018720899999906</v>
      </c>
      <c r="H751">
        <f t="shared" si="55"/>
        <v>1258</v>
      </c>
      <c r="I751" s="3">
        <f t="shared" si="56"/>
        <v>8500</v>
      </c>
      <c r="J751" s="1">
        <f t="shared" si="57"/>
        <v>350</v>
      </c>
      <c r="K751" s="1">
        <f t="shared" si="58"/>
        <v>2975000</v>
      </c>
      <c r="L751" s="2" t="str">
        <f t="shared" si="59"/>
        <v>Average</v>
      </c>
    </row>
    <row r="752" spans="1:12" x14ac:dyDescent="0.3">
      <c r="A752" t="s">
        <v>1300</v>
      </c>
      <c r="B752" t="s">
        <v>1355</v>
      </c>
      <c r="C752" s="3">
        <v>4.4000000000000004</v>
      </c>
      <c r="D752" s="3">
        <v>37</v>
      </c>
      <c r="E752" t="s">
        <v>1356</v>
      </c>
      <c r="F752" s="3">
        <v>19.032525</v>
      </c>
      <c r="G752">
        <v>73.016647399999997</v>
      </c>
      <c r="H752">
        <f t="shared" si="55"/>
        <v>162.80000000000001</v>
      </c>
      <c r="I752" s="3">
        <f t="shared" si="56"/>
        <v>925</v>
      </c>
      <c r="J752" s="1">
        <f t="shared" si="57"/>
        <v>450</v>
      </c>
      <c r="K752" s="1">
        <f t="shared" si="58"/>
        <v>416250</v>
      </c>
      <c r="L752" s="2" t="str">
        <f t="shared" si="59"/>
        <v>Popular</v>
      </c>
    </row>
    <row r="753" spans="1:12" x14ac:dyDescent="0.3">
      <c r="A753" t="s">
        <v>1300</v>
      </c>
      <c r="B753" t="s">
        <v>1357</v>
      </c>
      <c r="C753" s="3">
        <v>4.4000000000000004</v>
      </c>
      <c r="D753" s="3">
        <v>565</v>
      </c>
      <c r="E753" t="s">
        <v>1358</v>
      </c>
      <c r="F753" s="3">
        <v>19.007391200000001</v>
      </c>
      <c r="G753">
        <v>73.034680999999907</v>
      </c>
      <c r="H753">
        <f t="shared" si="55"/>
        <v>2486</v>
      </c>
      <c r="I753" s="3">
        <f t="shared" si="56"/>
        <v>14125</v>
      </c>
      <c r="J753" s="1">
        <f t="shared" si="57"/>
        <v>450</v>
      </c>
      <c r="K753" s="1">
        <f t="shared" si="58"/>
        <v>6356250</v>
      </c>
      <c r="L753" s="2" t="str">
        <f t="shared" si="59"/>
        <v>Popular</v>
      </c>
    </row>
    <row r="754" spans="1:12" x14ac:dyDescent="0.3">
      <c r="A754" t="s">
        <v>1300</v>
      </c>
      <c r="B754" t="s">
        <v>1359</v>
      </c>
      <c r="C754" s="3">
        <v>4.2</v>
      </c>
      <c r="D754" s="3">
        <v>2443</v>
      </c>
      <c r="E754" t="s">
        <v>1360</v>
      </c>
      <c r="F754" s="3">
        <v>19.009949500000001</v>
      </c>
      <c r="G754">
        <v>73.0326412</v>
      </c>
      <c r="H754">
        <f t="shared" si="55"/>
        <v>10260.6</v>
      </c>
      <c r="I754" s="3">
        <f t="shared" si="56"/>
        <v>61075</v>
      </c>
      <c r="J754" s="1">
        <f t="shared" si="57"/>
        <v>350</v>
      </c>
      <c r="K754" s="1">
        <f t="shared" si="58"/>
        <v>21376250</v>
      </c>
      <c r="L754" s="2" t="str">
        <f t="shared" si="59"/>
        <v>Popular</v>
      </c>
    </row>
    <row r="755" spans="1:12" x14ac:dyDescent="0.3">
      <c r="A755" t="s">
        <v>1300</v>
      </c>
      <c r="B755" t="s">
        <v>1361</v>
      </c>
      <c r="C755" s="3">
        <v>4.4000000000000004</v>
      </c>
      <c r="D755" s="3">
        <v>487</v>
      </c>
      <c r="E755" t="s">
        <v>1362</v>
      </c>
      <c r="F755" s="3">
        <v>19.0077094</v>
      </c>
      <c r="G755">
        <v>73.035687999999993</v>
      </c>
      <c r="H755">
        <f t="shared" si="55"/>
        <v>2142.8000000000002</v>
      </c>
      <c r="I755" s="3">
        <f t="shared" si="56"/>
        <v>12175</v>
      </c>
      <c r="J755" s="1">
        <f t="shared" si="57"/>
        <v>450</v>
      </c>
      <c r="K755" s="1">
        <f t="shared" si="58"/>
        <v>5478750</v>
      </c>
      <c r="L755" s="2" t="str">
        <f t="shared" si="59"/>
        <v>Popular</v>
      </c>
    </row>
    <row r="756" spans="1:12" x14ac:dyDescent="0.3">
      <c r="A756" t="s">
        <v>1300</v>
      </c>
      <c r="B756" t="s">
        <v>1363</v>
      </c>
      <c r="C756" s="3">
        <v>4.3</v>
      </c>
      <c r="D756" s="3">
        <v>488</v>
      </c>
      <c r="E756" t="s">
        <v>1364</v>
      </c>
      <c r="F756" s="3">
        <v>19.0205099</v>
      </c>
      <c r="G756">
        <v>73.0174935</v>
      </c>
      <c r="H756">
        <f t="shared" si="55"/>
        <v>2098.4</v>
      </c>
      <c r="I756" s="3">
        <f t="shared" si="56"/>
        <v>12200</v>
      </c>
      <c r="J756" s="1">
        <f t="shared" si="57"/>
        <v>350</v>
      </c>
      <c r="K756" s="1">
        <f t="shared" si="58"/>
        <v>4270000</v>
      </c>
      <c r="L756" s="2" t="str">
        <f t="shared" si="59"/>
        <v>Popular</v>
      </c>
    </row>
    <row r="757" spans="1:12" x14ac:dyDescent="0.3">
      <c r="A757" t="s">
        <v>1300</v>
      </c>
      <c r="B757" t="s">
        <v>128</v>
      </c>
      <c r="C757" s="3">
        <v>4.9000000000000004</v>
      </c>
      <c r="D757" s="3">
        <v>89</v>
      </c>
      <c r="E757" t="s">
        <v>1365</v>
      </c>
      <c r="F757" s="3">
        <v>19.043410099999999</v>
      </c>
      <c r="G757">
        <v>73.008622000000003</v>
      </c>
      <c r="H757">
        <f t="shared" si="55"/>
        <v>436.1</v>
      </c>
      <c r="I757" s="3">
        <f t="shared" si="56"/>
        <v>2225</v>
      </c>
      <c r="J757" s="1">
        <f t="shared" si="57"/>
        <v>550</v>
      </c>
      <c r="K757" s="1">
        <f t="shared" si="58"/>
        <v>1223750</v>
      </c>
      <c r="L757" s="2" t="str">
        <f t="shared" si="59"/>
        <v>Premium</v>
      </c>
    </row>
    <row r="758" spans="1:12" x14ac:dyDescent="0.3">
      <c r="A758" t="s">
        <v>1300</v>
      </c>
      <c r="B758" t="s">
        <v>1366</v>
      </c>
      <c r="C758" s="3">
        <v>3.9</v>
      </c>
      <c r="D758" s="3">
        <v>1120</v>
      </c>
      <c r="E758" t="s">
        <v>1367</v>
      </c>
      <c r="F758" s="3">
        <v>19.022217600000001</v>
      </c>
      <c r="G758">
        <v>73.017619400000001</v>
      </c>
      <c r="H758">
        <f t="shared" si="55"/>
        <v>4368</v>
      </c>
      <c r="I758" s="3">
        <f t="shared" si="56"/>
        <v>28000</v>
      </c>
      <c r="J758" s="1">
        <f t="shared" si="57"/>
        <v>350</v>
      </c>
      <c r="K758" s="1">
        <f t="shared" si="58"/>
        <v>9800000</v>
      </c>
      <c r="L758" s="2" t="str">
        <f t="shared" si="59"/>
        <v>Average</v>
      </c>
    </row>
    <row r="759" spans="1:12" x14ac:dyDescent="0.3">
      <c r="A759" t="s">
        <v>1300</v>
      </c>
      <c r="B759" t="s">
        <v>1368</v>
      </c>
      <c r="C759" s="3">
        <v>4.3</v>
      </c>
      <c r="D759" s="3">
        <v>130</v>
      </c>
      <c r="E759" t="s">
        <v>1369</v>
      </c>
      <c r="F759" s="3">
        <v>19.0214441</v>
      </c>
      <c r="G759">
        <v>73.018523700000003</v>
      </c>
      <c r="H759">
        <f t="shared" si="55"/>
        <v>559</v>
      </c>
      <c r="I759" s="3">
        <f t="shared" si="56"/>
        <v>3250</v>
      </c>
      <c r="J759" s="1">
        <f t="shared" si="57"/>
        <v>350</v>
      </c>
      <c r="K759" s="1">
        <f t="shared" si="58"/>
        <v>1137500</v>
      </c>
      <c r="L759" s="2" t="str">
        <f t="shared" si="59"/>
        <v>Popular</v>
      </c>
    </row>
    <row r="760" spans="1:12" x14ac:dyDescent="0.3">
      <c r="A760" t="s">
        <v>1300</v>
      </c>
      <c r="B760" t="s">
        <v>1370</v>
      </c>
      <c r="C760" s="3">
        <v>4.3</v>
      </c>
      <c r="D760" s="3">
        <v>114</v>
      </c>
      <c r="E760" t="s">
        <v>1371</v>
      </c>
      <c r="F760" s="3">
        <v>19.021365100000001</v>
      </c>
      <c r="G760">
        <v>73.021175399999905</v>
      </c>
      <c r="H760">
        <f t="shared" si="55"/>
        <v>490.2</v>
      </c>
      <c r="I760" s="3">
        <f t="shared" si="56"/>
        <v>2850</v>
      </c>
      <c r="J760" s="1">
        <f t="shared" si="57"/>
        <v>350</v>
      </c>
      <c r="K760" s="1">
        <f t="shared" si="58"/>
        <v>997500</v>
      </c>
      <c r="L760" s="2" t="str">
        <f t="shared" si="59"/>
        <v>Popular</v>
      </c>
    </row>
    <row r="761" spans="1:12" x14ac:dyDescent="0.3">
      <c r="A761" t="s">
        <v>1300</v>
      </c>
      <c r="B761" t="s">
        <v>1372</v>
      </c>
      <c r="C761" s="3">
        <v>4.8</v>
      </c>
      <c r="D761" s="3">
        <v>5</v>
      </c>
      <c r="E761" t="s">
        <v>1373</v>
      </c>
      <c r="F761" s="3">
        <v>19.032508</v>
      </c>
      <c r="G761">
        <v>73.0167632</v>
      </c>
      <c r="H761">
        <f t="shared" si="55"/>
        <v>24</v>
      </c>
      <c r="I761" s="3">
        <f t="shared" si="56"/>
        <v>125</v>
      </c>
      <c r="J761" s="1">
        <f t="shared" si="57"/>
        <v>550</v>
      </c>
      <c r="K761" s="1">
        <f t="shared" si="58"/>
        <v>68750</v>
      </c>
      <c r="L761" s="2" t="str">
        <f t="shared" si="59"/>
        <v>Premium</v>
      </c>
    </row>
    <row r="762" spans="1:12" x14ac:dyDescent="0.3">
      <c r="A762" t="s">
        <v>1300</v>
      </c>
      <c r="B762" t="s">
        <v>1288</v>
      </c>
      <c r="C762" s="3">
        <v>4.3</v>
      </c>
      <c r="D762" s="3">
        <v>1180</v>
      </c>
      <c r="E762" t="s">
        <v>1289</v>
      </c>
      <c r="F762" s="3">
        <v>19.015790599999999</v>
      </c>
      <c r="G762">
        <v>73.041221499999907</v>
      </c>
      <c r="H762">
        <f t="shared" si="55"/>
        <v>5074</v>
      </c>
      <c r="I762" s="3">
        <f t="shared" si="56"/>
        <v>29500</v>
      </c>
      <c r="J762" s="1">
        <f t="shared" si="57"/>
        <v>350</v>
      </c>
      <c r="K762" s="1">
        <f t="shared" si="58"/>
        <v>10325000</v>
      </c>
      <c r="L762" s="2" t="str">
        <f t="shared" si="59"/>
        <v>Popular</v>
      </c>
    </row>
    <row r="763" spans="1:12" x14ac:dyDescent="0.3">
      <c r="A763" t="s">
        <v>1300</v>
      </c>
      <c r="B763" t="s">
        <v>1374</v>
      </c>
      <c r="C763" s="3">
        <v>4.8</v>
      </c>
      <c r="D763" s="3">
        <v>122</v>
      </c>
      <c r="E763" t="s">
        <v>1375</v>
      </c>
      <c r="F763" s="3">
        <v>19.052326499999999</v>
      </c>
      <c r="G763">
        <v>73.016473399999995</v>
      </c>
      <c r="H763">
        <f t="shared" si="55"/>
        <v>585.6</v>
      </c>
      <c r="I763" s="3">
        <f t="shared" si="56"/>
        <v>3050</v>
      </c>
      <c r="J763" s="1">
        <f t="shared" si="57"/>
        <v>550</v>
      </c>
      <c r="K763" s="1">
        <f t="shared" si="58"/>
        <v>1677500</v>
      </c>
      <c r="L763" s="2" t="str">
        <f t="shared" si="59"/>
        <v>Premium</v>
      </c>
    </row>
    <row r="764" spans="1:12" x14ac:dyDescent="0.3">
      <c r="A764" t="s">
        <v>1300</v>
      </c>
      <c r="B764" t="s">
        <v>1376</v>
      </c>
      <c r="C764" s="3">
        <v>4.7</v>
      </c>
      <c r="D764" s="3">
        <v>132</v>
      </c>
      <c r="E764" t="s">
        <v>1377</v>
      </c>
      <c r="F764" s="3">
        <v>19.023726700000001</v>
      </c>
      <c r="G764">
        <v>73.0235074</v>
      </c>
      <c r="H764">
        <f t="shared" si="55"/>
        <v>620.4</v>
      </c>
      <c r="I764" s="3">
        <f t="shared" si="56"/>
        <v>3300</v>
      </c>
      <c r="J764" s="1">
        <f t="shared" si="57"/>
        <v>550</v>
      </c>
      <c r="K764" s="1">
        <f t="shared" si="58"/>
        <v>1815000</v>
      </c>
      <c r="L764" s="2" t="str">
        <f t="shared" si="59"/>
        <v>Premium</v>
      </c>
    </row>
    <row r="765" spans="1:12" x14ac:dyDescent="0.3">
      <c r="A765" t="s">
        <v>1300</v>
      </c>
      <c r="B765" t="s">
        <v>1139</v>
      </c>
      <c r="C765" s="3">
        <v>4.2</v>
      </c>
      <c r="D765" s="3">
        <v>1216</v>
      </c>
      <c r="E765" t="s">
        <v>1378</v>
      </c>
      <c r="F765" s="3">
        <v>19.0391689</v>
      </c>
      <c r="G765">
        <v>73.020130399999999</v>
      </c>
      <c r="H765">
        <f t="shared" si="55"/>
        <v>5107.2</v>
      </c>
      <c r="I765" s="3">
        <f t="shared" si="56"/>
        <v>30400</v>
      </c>
      <c r="J765" s="1">
        <f t="shared" si="57"/>
        <v>350</v>
      </c>
      <c r="K765" s="1">
        <f t="shared" si="58"/>
        <v>10640000</v>
      </c>
      <c r="L765" s="2" t="str">
        <f t="shared" si="59"/>
        <v>Popular</v>
      </c>
    </row>
    <row r="766" spans="1:12" x14ac:dyDescent="0.3">
      <c r="A766" t="s">
        <v>1300</v>
      </c>
      <c r="B766" t="s">
        <v>53</v>
      </c>
      <c r="C766" s="3">
        <v>4.8</v>
      </c>
      <c r="D766" s="3">
        <v>330</v>
      </c>
      <c r="E766" t="s">
        <v>1379</v>
      </c>
      <c r="F766" s="3">
        <v>19.011971599999999</v>
      </c>
      <c r="G766">
        <v>73.035754400000002</v>
      </c>
      <c r="H766">
        <f t="shared" si="55"/>
        <v>1584</v>
      </c>
      <c r="I766" s="3">
        <f t="shared" si="56"/>
        <v>8250</v>
      </c>
      <c r="J766" s="1">
        <f t="shared" si="57"/>
        <v>550</v>
      </c>
      <c r="K766" s="1">
        <f t="shared" si="58"/>
        <v>4537500</v>
      </c>
      <c r="L766" s="2" t="str">
        <f t="shared" si="59"/>
        <v>Premium</v>
      </c>
    </row>
    <row r="767" spans="1:12" x14ac:dyDescent="0.3">
      <c r="A767" t="s">
        <v>1300</v>
      </c>
      <c r="B767" t="s">
        <v>1187</v>
      </c>
      <c r="C767" s="3">
        <v>4.5</v>
      </c>
      <c r="D767" s="3">
        <v>171</v>
      </c>
      <c r="E767" t="s">
        <v>1380</v>
      </c>
      <c r="F767" s="3">
        <v>19.009855900000002</v>
      </c>
      <c r="G767">
        <v>73.033355999999998</v>
      </c>
      <c r="H767">
        <f t="shared" si="55"/>
        <v>769.5</v>
      </c>
      <c r="I767" s="3">
        <f t="shared" si="56"/>
        <v>4275</v>
      </c>
      <c r="J767" s="1">
        <f t="shared" si="57"/>
        <v>450</v>
      </c>
      <c r="K767" s="1">
        <f t="shared" si="58"/>
        <v>1923750</v>
      </c>
      <c r="L767" s="2" t="str">
        <f t="shared" si="59"/>
        <v>Premium</v>
      </c>
    </row>
    <row r="768" spans="1:12" x14ac:dyDescent="0.3">
      <c r="A768" t="s">
        <v>1300</v>
      </c>
      <c r="B768" t="s">
        <v>1381</v>
      </c>
      <c r="C768" s="3">
        <v>4.4000000000000004</v>
      </c>
      <c r="D768" s="3">
        <v>34</v>
      </c>
      <c r="E768" t="s">
        <v>1382</v>
      </c>
      <c r="F768" s="3">
        <v>19.024813300000002</v>
      </c>
      <c r="G768">
        <v>73.021537899999998</v>
      </c>
      <c r="H768">
        <f t="shared" si="55"/>
        <v>149.60000000000002</v>
      </c>
      <c r="I768" s="3">
        <f t="shared" si="56"/>
        <v>850</v>
      </c>
      <c r="J768" s="1">
        <f t="shared" si="57"/>
        <v>450</v>
      </c>
      <c r="K768" s="1">
        <f t="shared" si="58"/>
        <v>382500</v>
      </c>
      <c r="L768" s="2" t="str">
        <f t="shared" si="59"/>
        <v>Popular</v>
      </c>
    </row>
    <row r="769" spans="1:12" x14ac:dyDescent="0.3">
      <c r="A769" t="s">
        <v>1300</v>
      </c>
      <c r="B769" t="s">
        <v>128</v>
      </c>
      <c r="C769" s="3">
        <v>4.4000000000000004</v>
      </c>
      <c r="D769" s="3">
        <v>4259</v>
      </c>
      <c r="E769" t="s">
        <v>1383</v>
      </c>
      <c r="F769" s="3">
        <v>19.021294000000001</v>
      </c>
      <c r="G769">
        <v>73.018042999999906</v>
      </c>
      <c r="H769">
        <f t="shared" si="55"/>
        <v>18739.600000000002</v>
      </c>
      <c r="I769" s="3">
        <f t="shared" si="56"/>
        <v>106475</v>
      </c>
      <c r="J769" s="1">
        <f t="shared" si="57"/>
        <v>450</v>
      </c>
      <c r="K769" s="1">
        <f t="shared" si="58"/>
        <v>47913750</v>
      </c>
      <c r="L769" s="2" t="str">
        <f t="shared" si="59"/>
        <v>Popular</v>
      </c>
    </row>
    <row r="770" spans="1:12" x14ac:dyDescent="0.3">
      <c r="A770" t="s">
        <v>1300</v>
      </c>
      <c r="B770" t="s">
        <v>1255</v>
      </c>
      <c r="C770" s="3">
        <v>4.5999999999999996</v>
      </c>
      <c r="D770" s="3">
        <v>163</v>
      </c>
      <c r="E770" t="s">
        <v>1256</v>
      </c>
      <c r="F770" s="3">
        <v>19.0629895</v>
      </c>
      <c r="G770">
        <v>73.005710399999998</v>
      </c>
      <c r="H770">
        <f t="shared" ref="H770:H833" si="60">C770*D770</f>
        <v>749.8</v>
      </c>
      <c r="I770" s="3">
        <f t="shared" ref="I770:I833" si="61">D770*25</f>
        <v>4075</v>
      </c>
      <c r="J770" s="1">
        <f t="shared" ref="J770:J833" si="62">IF(C770&gt;=4.7,550,IF(C770&gt;=4.4,450,IF(C770&gt;=O772,350,250)))</f>
        <v>450</v>
      </c>
      <c r="K770" s="1">
        <f t="shared" ref="K770:K833" si="63">I770*J770</f>
        <v>1833750</v>
      </c>
      <c r="L770" s="2" t="str">
        <f t="shared" ref="L770:L833" si="64">IF(C770&gt;=4.5,"Premium",IF(C770&gt;=4,"Popular","Average"))</f>
        <v>Premium</v>
      </c>
    </row>
    <row r="771" spans="1:12" x14ac:dyDescent="0.3">
      <c r="A771" t="s">
        <v>1300</v>
      </c>
      <c r="B771" t="s">
        <v>1384</v>
      </c>
      <c r="C771" s="3">
        <v>3.6</v>
      </c>
      <c r="D771" s="3">
        <v>168</v>
      </c>
      <c r="E771" t="s">
        <v>1385</v>
      </c>
      <c r="F771" s="3">
        <v>19.021276</v>
      </c>
      <c r="G771">
        <v>73.019064599999993</v>
      </c>
      <c r="H771">
        <f t="shared" si="60"/>
        <v>604.80000000000007</v>
      </c>
      <c r="I771" s="3">
        <f t="shared" si="61"/>
        <v>4200</v>
      </c>
      <c r="J771" s="1">
        <f t="shared" si="62"/>
        <v>350</v>
      </c>
      <c r="K771" s="1">
        <f t="shared" si="63"/>
        <v>1470000</v>
      </c>
      <c r="L771" s="2" t="str">
        <f t="shared" si="64"/>
        <v>Average</v>
      </c>
    </row>
    <row r="772" spans="1:12" x14ac:dyDescent="0.3">
      <c r="A772" t="s">
        <v>1300</v>
      </c>
      <c r="B772" t="s">
        <v>53</v>
      </c>
      <c r="C772" s="3">
        <v>4.8</v>
      </c>
      <c r="D772" s="3">
        <v>44</v>
      </c>
      <c r="E772" t="s">
        <v>1386</v>
      </c>
      <c r="F772" s="3">
        <v>19.010467299999998</v>
      </c>
      <c r="G772">
        <v>73.012030100000004</v>
      </c>
      <c r="H772">
        <f t="shared" si="60"/>
        <v>211.2</v>
      </c>
      <c r="I772" s="3">
        <f t="shared" si="61"/>
        <v>1100</v>
      </c>
      <c r="J772" s="1">
        <f t="shared" si="62"/>
        <v>550</v>
      </c>
      <c r="K772" s="1">
        <f t="shared" si="63"/>
        <v>605000</v>
      </c>
      <c r="L772" s="2" t="str">
        <f t="shared" si="64"/>
        <v>Premium</v>
      </c>
    </row>
    <row r="773" spans="1:12" x14ac:dyDescent="0.3">
      <c r="A773" t="s">
        <v>1300</v>
      </c>
      <c r="B773" t="s">
        <v>1387</v>
      </c>
      <c r="C773" s="3">
        <v>4.2</v>
      </c>
      <c r="D773" s="3">
        <v>539</v>
      </c>
      <c r="E773" t="s">
        <v>1388</v>
      </c>
      <c r="F773" s="3">
        <v>19.023741900000001</v>
      </c>
      <c r="G773">
        <v>73.031774799999994</v>
      </c>
      <c r="H773">
        <f t="shared" si="60"/>
        <v>2263.8000000000002</v>
      </c>
      <c r="I773" s="3">
        <f t="shared" si="61"/>
        <v>13475</v>
      </c>
      <c r="J773" s="1">
        <f t="shared" si="62"/>
        <v>350</v>
      </c>
      <c r="K773" s="1">
        <f t="shared" si="63"/>
        <v>4716250</v>
      </c>
      <c r="L773" s="2" t="str">
        <f t="shared" si="64"/>
        <v>Popular</v>
      </c>
    </row>
    <row r="774" spans="1:12" x14ac:dyDescent="0.3">
      <c r="A774" t="s">
        <v>1300</v>
      </c>
      <c r="B774" t="s">
        <v>1389</v>
      </c>
      <c r="C774" s="3">
        <v>4.2</v>
      </c>
      <c r="D774" s="3">
        <v>464</v>
      </c>
      <c r="E774" t="s">
        <v>1390</v>
      </c>
      <c r="F774" s="3">
        <v>19.0211355</v>
      </c>
      <c r="G774">
        <v>73.019169099999999</v>
      </c>
      <c r="H774">
        <f t="shared" si="60"/>
        <v>1948.8000000000002</v>
      </c>
      <c r="I774" s="3">
        <f t="shared" si="61"/>
        <v>11600</v>
      </c>
      <c r="J774" s="1">
        <f t="shared" si="62"/>
        <v>350</v>
      </c>
      <c r="K774" s="1">
        <f t="shared" si="63"/>
        <v>4060000</v>
      </c>
      <c r="L774" s="2" t="str">
        <f t="shared" si="64"/>
        <v>Popular</v>
      </c>
    </row>
    <row r="775" spans="1:12" x14ac:dyDescent="0.3">
      <c r="A775" t="s">
        <v>1300</v>
      </c>
      <c r="B775" t="s">
        <v>1391</v>
      </c>
      <c r="C775" s="3">
        <v>4.5</v>
      </c>
      <c r="D775" s="3">
        <v>692</v>
      </c>
      <c r="E775" t="s">
        <v>1392</v>
      </c>
      <c r="F775" s="3">
        <v>19.008059299999999</v>
      </c>
      <c r="G775">
        <v>73.035542499999906</v>
      </c>
      <c r="H775">
        <f t="shared" si="60"/>
        <v>3114</v>
      </c>
      <c r="I775" s="3">
        <f t="shared" si="61"/>
        <v>17300</v>
      </c>
      <c r="J775" s="1">
        <f t="shared" si="62"/>
        <v>450</v>
      </c>
      <c r="K775" s="1">
        <f t="shared" si="63"/>
        <v>7785000</v>
      </c>
      <c r="L775" s="2" t="str">
        <f t="shared" si="64"/>
        <v>Premium</v>
      </c>
    </row>
    <row r="776" spans="1:12" x14ac:dyDescent="0.3">
      <c r="A776" t="s">
        <v>1300</v>
      </c>
      <c r="B776" t="s">
        <v>1393</v>
      </c>
      <c r="C776" s="3">
        <v>4.5999999999999996</v>
      </c>
      <c r="D776" s="3">
        <v>7</v>
      </c>
      <c r="E776" t="s">
        <v>1394</v>
      </c>
      <c r="F776" s="3">
        <v>19.020203299999999</v>
      </c>
      <c r="G776">
        <v>73.029364000000001</v>
      </c>
      <c r="H776">
        <f t="shared" si="60"/>
        <v>32.199999999999996</v>
      </c>
      <c r="I776" s="3">
        <f t="shared" si="61"/>
        <v>175</v>
      </c>
      <c r="J776" s="1">
        <f t="shared" si="62"/>
        <v>450</v>
      </c>
      <c r="K776" s="1">
        <f t="shared" si="63"/>
        <v>78750</v>
      </c>
      <c r="L776" s="2" t="str">
        <f t="shared" si="64"/>
        <v>Premium</v>
      </c>
    </row>
    <row r="777" spans="1:12" x14ac:dyDescent="0.3">
      <c r="A777" t="s">
        <v>1300</v>
      </c>
      <c r="B777" t="s">
        <v>1395</v>
      </c>
      <c r="C777" s="3">
        <v>4.8</v>
      </c>
      <c r="D777" s="3">
        <v>66</v>
      </c>
      <c r="E777" t="s">
        <v>1396</v>
      </c>
      <c r="F777" s="3">
        <v>19.020493200000001</v>
      </c>
      <c r="G777">
        <v>73.017490699999996</v>
      </c>
      <c r="H777">
        <f t="shared" si="60"/>
        <v>316.8</v>
      </c>
      <c r="I777" s="3">
        <f t="shared" si="61"/>
        <v>1650</v>
      </c>
      <c r="J777" s="1">
        <f t="shared" si="62"/>
        <v>550</v>
      </c>
      <c r="K777" s="1">
        <f t="shared" si="63"/>
        <v>907500</v>
      </c>
      <c r="L777" s="2" t="str">
        <f t="shared" si="64"/>
        <v>Premium</v>
      </c>
    </row>
    <row r="778" spans="1:12" x14ac:dyDescent="0.3">
      <c r="A778" t="s">
        <v>1300</v>
      </c>
      <c r="B778" t="s">
        <v>1397</v>
      </c>
      <c r="C778" s="3">
        <v>4.8</v>
      </c>
      <c r="D778" s="3">
        <v>4</v>
      </c>
      <c r="E778" t="s">
        <v>1398</v>
      </c>
      <c r="F778" s="3">
        <v>19.032343300000001</v>
      </c>
      <c r="G778">
        <v>73.016746999999995</v>
      </c>
      <c r="H778">
        <f t="shared" si="60"/>
        <v>19.2</v>
      </c>
      <c r="I778" s="3">
        <f t="shared" si="61"/>
        <v>100</v>
      </c>
      <c r="J778" s="1">
        <f t="shared" si="62"/>
        <v>550</v>
      </c>
      <c r="K778" s="1">
        <f t="shared" si="63"/>
        <v>55000</v>
      </c>
      <c r="L778" s="2" t="str">
        <f t="shared" si="64"/>
        <v>Premium</v>
      </c>
    </row>
    <row r="779" spans="1:12" x14ac:dyDescent="0.3">
      <c r="A779" t="s">
        <v>1300</v>
      </c>
      <c r="B779" t="s">
        <v>1399</v>
      </c>
      <c r="C779" s="3">
        <v>4.4000000000000004</v>
      </c>
      <c r="D779" s="3">
        <v>7</v>
      </c>
      <c r="E779" t="s">
        <v>1400</v>
      </c>
      <c r="F779" s="3">
        <v>19.024648500000001</v>
      </c>
      <c r="G779">
        <v>73.022199299999997</v>
      </c>
      <c r="H779">
        <f t="shared" si="60"/>
        <v>30.800000000000004</v>
      </c>
      <c r="I779" s="3">
        <f t="shared" si="61"/>
        <v>175</v>
      </c>
      <c r="J779" s="1">
        <f t="shared" si="62"/>
        <v>450</v>
      </c>
      <c r="K779" s="1">
        <f t="shared" si="63"/>
        <v>78750</v>
      </c>
      <c r="L779" s="2" t="str">
        <f t="shared" si="64"/>
        <v>Popular</v>
      </c>
    </row>
    <row r="780" spans="1:12" x14ac:dyDescent="0.3">
      <c r="A780" t="s">
        <v>1300</v>
      </c>
      <c r="B780" t="s">
        <v>1401</v>
      </c>
      <c r="C780" s="3">
        <v>4.5999999999999996</v>
      </c>
      <c r="D780" s="3">
        <v>739</v>
      </c>
      <c r="E780" t="s">
        <v>1402</v>
      </c>
      <c r="F780" s="3">
        <v>19.0226994</v>
      </c>
      <c r="G780">
        <v>73.018271400000003</v>
      </c>
      <c r="H780">
        <f t="shared" si="60"/>
        <v>3399.3999999999996</v>
      </c>
      <c r="I780" s="3">
        <f t="shared" si="61"/>
        <v>18475</v>
      </c>
      <c r="J780" s="1">
        <f t="shared" si="62"/>
        <v>450</v>
      </c>
      <c r="K780" s="1">
        <f t="shared" si="63"/>
        <v>8313750</v>
      </c>
      <c r="L780" s="2" t="str">
        <f t="shared" si="64"/>
        <v>Premium</v>
      </c>
    </row>
    <row r="781" spans="1:12" x14ac:dyDescent="0.3">
      <c r="A781" t="s">
        <v>1300</v>
      </c>
      <c r="B781" t="s">
        <v>1403</v>
      </c>
      <c r="C781" s="3">
        <v>4.0999999999999996</v>
      </c>
      <c r="D781" s="3">
        <v>1273</v>
      </c>
      <c r="E781" t="s">
        <v>1404</v>
      </c>
      <c r="F781" s="3">
        <v>19.0337949</v>
      </c>
      <c r="G781">
        <v>73.063767099999893</v>
      </c>
      <c r="H781">
        <f t="shared" si="60"/>
        <v>5219.2999999999993</v>
      </c>
      <c r="I781" s="3">
        <f t="shared" si="61"/>
        <v>31825</v>
      </c>
      <c r="J781" s="1">
        <f t="shared" si="62"/>
        <v>350</v>
      </c>
      <c r="K781" s="1">
        <f t="shared" si="63"/>
        <v>11138750</v>
      </c>
      <c r="L781" s="2" t="str">
        <f t="shared" si="64"/>
        <v>Popular</v>
      </c>
    </row>
    <row r="782" spans="1:12" x14ac:dyDescent="0.3">
      <c r="A782" t="s">
        <v>1405</v>
      </c>
      <c r="B782" t="s">
        <v>1406</v>
      </c>
      <c r="C782" s="3">
        <v>4.3</v>
      </c>
      <c r="D782" s="3">
        <v>851</v>
      </c>
      <c r="E782" t="s">
        <v>1407</v>
      </c>
      <c r="F782" s="3">
        <v>19.0046845</v>
      </c>
      <c r="G782">
        <v>73.123357999999996</v>
      </c>
      <c r="H782">
        <f t="shared" si="60"/>
        <v>3659.2999999999997</v>
      </c>
      <c r="I782" s="3">
        <f t="shared" si="61"/>
        <v>21275</v>
      </c>
      <c r="J782" s="1">
        <f t="shared" si="62"/>
        <v>350</v>
      </c>
      <c r="K782" s="1">
        <f t="shared" si="63"/>
        <v>7446250</v>
      </c>
      <c r="L782" s="2" t="str">
        <f t="shared" si="64"/>
        <v>Popular</v>
      </c>
    </row>
    <row r="783" spans="1:12" x14ac:dyDescent="0.3">
      <c r="A783" t="s">
        <v>1405</v>
      </c>
      <c r="B783" t="s">
        <v>1408</v>
      </c>
      <c r="C783" s="3">
        <v>4.0999999999999996</v>
      </c>
      <c r="D783" s="3">
        <v>730</v>
      </c>
      <c r="E783" t="s">
        <v>1409</v>
      </c>
      <c r="F783" s="3">
        <v>18.991242700000001</v>
      </c>
      <c r="G783">
        <v>73.1241196</v>
      </c>
      <c r="H783">
        <f t="shared" si="60"/>
        <v>2992.9999999999995</v>
      </c>
      <c r="I783" s="3">
        <f t="shared" si="61"/>
        <v>18250</v>
      </c>
      <c r="J783" s="1">
        <f t="shared" si="62"/>
        <v>350</v>
      </c>
      <c r="K783" s="1">
        <f t="shared" si="63"/>
        <v>6387500</v>
      </c>
      <c r="L783" s="2" t="str">
        <f t="shared" si="64"/>
        <v>Popular</v>
      </c>
    </row>
    <row r="784" spans="1:12" x14ac:dyDescent="0.3">
      <c r="A784" t="s">
        <v>1405</v>
      </c>
      <c r="B784" t="s">
        <v>1410</v>
      </c>
      <c r="C784" s="3">
        <v>4.2</v>
      </c>
      <c r="D784" s="3">
        <v>194</v>
      </c>
      <c r="E784" t="s">
        <v>1411</v>
      </c>
      <c r="F784" s="3">
        <v>19.005620499999999</v>
      </c>
      <c r="G784">
        <v>73.119294299999893</v>
      </c>
      <c r="H784">
        <f t="shared" si="60"/>
        <v>814.80000000000007</v>
      </c>
      <c r="I784" s="3">
        <f t="shared" si="61"/>
        <v>4850</v>
      </c>
      <c r="J784" s="1">
        <f t="shared" si="62"/>
        <v>350</v>
      </c>
      <c r="K784" s="1">
        <f t="shared" si="63"/>
        <v>1697500</v>
      </c>
      <c r="L784" s="2" t="str">
        <f t="shared" si="64"/>
        <v>Popular</v>
      </c>
    </row>
    <row r="785" spans="1:12" x14ac:dyDescent="0.3">
      <c r="A785" t="s">
        <v>1405</v>
      </c>
      <c r="B785" t="s">
        <v>1412</v>
      </c>
      <c r="C785" s="3">
        <v>4.8</v>
      </c>
      <c r="D785" s="3">
        <v>183</v>
      </c>
      <c r="E785" t="s">
        <v>1413</v>
      </c>
      <c r="F785" s="3">
        <v>19.012565800000001</v>
      </c>
      <c r="G785">
        <v>73.092007899999999</v>
      </c>
      <c r="H785">
        <f t="shared" si="60"/>
        <v>878.4</v>
      </c>
      <c r="I785" s="3">
        <f t="shared" si="61"/>
        <v>4575</v>
      </c>
      <c r="J785" s="1">
        <f t="shared" si="62"/>
        <v>550</v>
      </c>
      <c r="K785" s="1">
        <f t="shared" si="63"/>
        <v>2516250</v>
      </c>
      <c r="L785" s="2" t="str">
        <f t="shared" si="64"/>
        <v>Premium</v>
      </c>
    </row>
    <row r="786" spans="1:12" x14ac:dyDescent="0.3">
      <c r="A786" t="s">
        <v>1405</v>
      </c>
      <c r="B786" t="s">
        <v>1414</v>
      </c>
      <c r="C786" s="3">
        <v>3.9</v>
      </c>
      <c r="D786" s="3">
        <v>172</v>
      </c>
      <c r="E786" t="s">
        <v>1415</v>
      </c>
      <c r="F786" s="3">
        <v>18.993385700000001</v>
      </c>
      <c r="G786">
        <v>73.114075700000001</v>
      </c>
      <c r="H786">
        <f t="shared" si="60"/>
        <v>670.8</v>
      </c>
      <c r="I786" s="3">
        <f t="shared" si="61"/>
        <v>4300</v>
      </c>
      <c r="J786" s="1">
        <f t="shared" si="62"/>
        <v>350</v>
      </c>
      <c r="K786" s="1">
        <f t="shared" si="63"/>
        <v>1505000</v>
      </c>
      <c r="L786" s="2" t="str">
        <f t="shared" si="64"/>
        <v>Average</v>
      </c>
    </row>
    <row r="787" spans="1:12" x14ac:dyDescent="0.3">
      <c r="A787" t="s">
        <v>1405</v>
      </c>
      <c r="B787" t="s">
        <v>1416</v>
      </c>
      <c r="C787" s="3">
        <v>4.2</v>
      </c>
      <c r="D787" s="3">
        <v>95</v>
      </c>
      <c r="E787" t="s">
        <v>1417</v>
      </c>
      <c r="F787" s="3">
        <v>18.997335199999998</v>
      </c>
      <c r="G787">
        <v>73.121928199999999</v>
      </c>
      <c r="H787">
        <f t="shared" si="60"/>
        <v>399</v>
      </c>
      <c r="I787" s="3">
        <f t="shared" si="61"/>
        <v>2375</v>
      </c>
      <c r="J787" s="1">
        <f t="shared" si="62"/>
        <v>350</v>
      </c>
      <c r="K787" s="1">
        <f t="shared" si="63"/>
        <v>831250</v>
      </c>
      <c r="L787" s="2" t="str">
        <f t="shared" si="64"/>
        <v>Popular</v>
      </c>
    </row>
    <row r="788" spans="1:12" x14ac:dyDescent="0.3">
      <c r="A788" t="s">
        <v>1405</v>
      </c>
      <c r="B788" t="s">
        <v>1418</v>
      </c>
      <c r="C788" s="3">
        <v>4.5999999999999996</v>
      </c>
      <c r="D788" s="3">
        <v>181</v>
      </c>
      <c r="E788" t="s">
        <v>1419</v>
      </c>
      <c r="F788" s="3">
        <v>19.008202099999998</v>
      </c>
      <c r="G788">
        <v>73.109537399999994</v>
      </c>
      <c r="H788">
        <f t="shared" si="60"/>
        <v>832.59999999999991</v>
      </c>
      <c r="I788" s="3">
        <f t="shared" si="61"/>
        <v>4525</v>
      </c>
      <c r="J788" s="1">
        <f t="shared" si="62"/>
        <v>450</v>
      </c>
      <c r="K788" s="1">
        <f t="shared" si="63"/>
        <v>2036250</v>
      </c>
      <c r="L788" s="2" t="str">
        <f t="shared" si="64"/>
        <v>Premium</v>
      </c>
    </row>
    <row r="789" spans="1:12" x14ac:dyDescent="0.3">
      <c r="A789" t="s">
        <v>1405</v>
      </c>
      <c r="B789" t="s">
        <v>1420</v>
      </c>
      <c r="C789" s="3">
        <v>4.0999999999999996</v>
      </c>
      <c r="D789" s="3">
        <v>1301</v>
      </c>
      <c r="E789" t="s">
        <v>1421</v>
      </c>
      <c r="F789" s="3">
        <v>19.0054993</v>
      </c>
      <c r="G789">
        <v>73.119350400000002</v>
      </c>
      <c r="H789">
        <f t="shared" si="60"/>
        <v>5334.0999999999995</v>
      </c>
      <c r="I789" s="3">
        <f t="shared" si="61"/>
        <v>32525</v>
      </c>
      <c r="J789" s="1">
        <f t="shared" si="62"/>
        <v>350</v>
      </c>
      <c r="K789" s="1">
        <f t="shared" si="63"/>
        <v>11383750</v>
      </c>
      <c r="L789" s="2" t="str">
        <f t="shared" si="64"/>
        <v>Popular</v>
      </c>
    </row>
    <row r="790" spans="1:12" x14ac:dyDescent="0.3">
      <c r="A790" t="s">
        <v>1405</v>
      </c>
      <c r="B790" t="s">
        <v>1422</v>
      </c>
      <c r="C790" s="3">
        <v>4.3</v>
      </c>
      <c r="D790" s="3">
        <v>1167</v>
      </c>
      <c r="E790" t="s">
        <v>1423</v>
      </c>
      <c r="F790" s="3">
        <v>18.990948199999998</v>
      </c>
      <c r="G790">
        <v>73.126230800000002</v>
      </c>
      <c r="H790">
        <f t="shared" si="60"/>
        <v>5018.0999999999995</v>
      </c>
      <c r="I790" s="3">
        <f t="shared" si="61"/>
        <v>29175</v>
      </c>
      <c r="J790" s="1">
        <f t="shared" si="62"/>
        <v>350</v>
      </c>
      <c r="K790" s="1">
        <f t="shared" si="63"/>
        <v>10211250</v>
      </c>
      <c r="L790" s="2" t="str">
        <f t="shared" si="64"/>
        <v>Popular</v>
      </c>
    </row>
    <row r="791" spans="1:12" x14ac:dyDescent="0.3">
      <c r="A791" t="s">
        <v>1405</v>
      </c>
      <c r="B791" t="s">
        <v>1424</v>
      </c>
      <c r="C791" s="3">
        <v>4.4000000000000004</v>
      </c>
      <c r="D791" s="3">
        <v>287</v>
      </c>
      <c r="E791" t="s">
        <v>1425</v>
      </c>
      <c r="F791" s="3">
        <v>18.9914849</v>
      </c>
      <c r="G791">
        <v>73.123441599999893</v>
      </c>
      <c r="H791">
        <f t="shared" si="60"/>
        <v>1262.8000000000002</v>
      </c>
      <c r="I791" s="3">
        <f t="shared" si="61"/>
        <v>7175</v>
      </c>
      <c r="J791" s="1">
        <f t="shared" si="62"/>
        <v>450</v>
      </c>
      <c r="K791" s="1">
        <f t="shared" si="63"/>
        <v>3228750</v>
      </c>
      <c r="L791" s="2" t="str">
        <f t="shared" si="64"/>
        <v>Popular</v>
      </c>
    </row>
    <row r="792" spans="1:12" x14ac:dyDescent="0.3">
      <c r="A792" t="s">
        <v>1405</v>
      </c>
      <c r="B792" t="s">
        <v>1426</v>
      </c>
      <c r="C792" s="3">
        <v>4.9000000000000004</v>
      </c>
      <c r="D792" s="3">
        <v>108</v>
      </c>
      <c r="E792" t="s">
        <v>1427</v>
      </c>
      <c r="F792" s="3">
        <v>19.003719400000001</v>
      </c>
      <c r="G792">
        <v>73.1115803</v>
      </c>
      <c r="H792">
        <f t="shared" si="60"/>
        <v>529.20000000000005</v>
      </c>
      <c r="I792" s="3">
        <f t="shared" si="61"/>
        <v>2700</v>
      </c>
      <c r="J792" s="1">
        <f t="shared" si="62"/>
        <v>550</v>
      </c>
      <c r="K792" s="1">
        <f t="shared" si="63"/>
        <v>1485000</v>
      </c>
      <c r="L792" s="2" t="str">
        <f t="shared" si="64"/>
        <v>Premium</v>
      </c>
    </row>
    <row r="793" spans="1:12" x14ac:dyDescent="0.3">
      <c r="A793" t="s">
        <v>1405</v>
      </c>
      <c r="B793" t="s">
        <v>1428</v>
      </c>
      <c r="C793" s="3">
        <v>4.8</v>
      </c>
      <c r="D793" s="3">
        <v>55</v>
      </c>
      <c r="E793" t="s">
        <v>1429</v>
      </c>
      <c r="F793" s="3">
        <v>19.001841500000001</v>
      </c>
      <c r="G793">
        <v>73.117569899999907</v>
      </c>
      <c r="H793">
        <f t="shared" si="60"/>
        <v>264</v>
      </c>
      <c r="I793" s="3">
        <f t="shared" si="61"/>
        <v>1375</v>
      </c>
      <c r="J793" s="1">
        <f t="shared" si="62"/>
        <v>550</v>
      </c>
      <c r="K793" s="1">
        <f t="shared" si="63"/>
        <v>756250</v>
      </c>
      <c r="L793" s="2" t="str">
        <f t="shared" si="64"/>
        <v>Premium</v>
      </c>
    </row>
    <row r="794" spans="1:12" x14ac:dyDescent="0.3">
      <c r="A794" t="s">
        <v>1405</v>
      </c>
      <c r="B794" t="s">
        <v>1430</v>
      </c>
      <c r="C794" s="3">
        <v>3.9</v>
      </c>
      <c r="D794" s="3">
        <v>496</v>
      </c>
      <c r="E794" t="s">
        <v>1431</v>
      </c>
      <c r="F794" s="3">
        <v>19.001585899999998</v>
      </c>
      <c r="G794">
        <v>73.111657600000001</v>
      </c>
      <c r="H794">
        <f t="shared" si="60"/>
        <v>1934.3999999999999</v>
      </c>
      <c r="I794" s="3">
        <f t="shared" si="61"/>
        <v>12400</v>
      </c>
      <c r="J794" s="1">
        <f t="shared" si="62"/>
        <v>350</v>
      </c>
      <c r="K794" s="1">
        <f t="shared" si="63"/>
        <v>4340000</v>
      </c>
      <c r="L794" s="2" t="str">
        <f t="shared" si="64"/>
        <v>Average</v>
      </c>
    </row>
    <row r="795" spans="1:12" x14ac:dyDescent="0.3">
      <c r="A795" t="s">
        <v>1405</v>
      </c>
      <c r="B795" t="s">
        <v>1432</v>
      </c>
      <c r="C795" s="3">
        <v>4.3</v>
      </c>
      <c r="D795" s="3">
        <v>182</v>
      </c>
      <c r="E795" t="s">
        <v>1433</v>
      </c>
      <c r="F795" s="3">
        <v>19.040529899999999</v>
      </c>
      <c r="G795">
        <v>73.095887199999893</v>
      </c>
      <c r="H795">
        <f t="shared" si="60"/>
        <v>782.6</v>
      </c>
      <c r="I795" s="3">
        <f t="shared" si="61"/>
        <v>4550</v>
      </c>
      <c r="J795" s="1">
        <f t="shared" si="62"/>
        <v>350</v>
      </c>
      <c r="K795" s="1">
        <f t="shared" si="63"/>
        <v>1592500</v>
      </c>
      <c r="L795" s="2" t="str">
        <f t="shared" si="64"/>
        <v>Popular</v>
      </c>
    </row>
    <row r="796" spans="1:12" x14ac:dyDescent="0.3">
      <c r="A796" t="s">
        <v>1405</v>
      </c>
      <c r="B796" t="s">
        <v>1434</v>
      </c>
      <c r="C796" s="3">
        <v>4.5</v>
      </c>
      <c r="D796" s="3">
        <v>98</v>
      </c>
      <c r="E796" t="s">
        <v>1435</v>
      </c>
      <c r="F796" s="3">
        <v>19.005751799999999</v>
      </c>
      <c r="G796">
        <v>73.111167899999998</v>
      </c>
      <c r="H796">
        <f t="shared" si="60"/>
        <v>441</v>
      </c>
      <c r="I796" s="3">
        <f t="shared" si="61"/>
        <v>2450</v>
      </c>
      <c r="J796" s="1">
        <f t="shared" si="62"/>
        <v>450</v>
      </c>
      <c r="K796" s="1">
        <f t="shared" si="63"/>
        <v>1102500</v>
      </c>
      <c r="L796" s="2" t="str">
        <f t="shared" si="64"/>
        <v>Premium</v>
      </c>
    </row>
    <row r="797" spans="1:12" x14ac:dyDescent="0.3">
      <c r="A797" t="s">
        <v>1405</v>
      </c>
      <c r="B797" t="s">
        <v>1436</v>
      </c>
      <c r="C797" s="3">
        <v>4.5</v>
      </c>
      <c r="D797" s="3">
        <v>15</v>
      </c>
      <c r="E797" t="s">
        <v>1437</v>
      </c>
      <c r="F797" s="3">
        <v>19.008147000000001</v>
      </c>
      <c r="G797">
        <v>73.109281199999998</v>
      </c>
      <c r="H797">
        <f t="shared" si="60"/>
        <v>67.5</v>
      </c>
      <c r="I797" s="3">
        <f t="shared" si="61"/>
        <v>375</v>
      </c>
      <c r="J797" s="1">
        <f t="shared" si="62"/>
        <v>450</v>
      </c>
      <c r="K797" s="1">
        <f t="shared" si="63"/>
        <v>168750</v>
      </c>
      <c r="L797" s="2" t="str">
        <f t="shared" si="64"/>
        <v>Premium</v>
      </c>
    </row>
    <row r="798" spans="1:12" x14ac:dyDescent="0.3">
      <c r="A798" t="s">
        <v>1405</v>
      </c>
      <c r="B798" t="s">
        <v>1438</v>
      </c>
      <c r="C798" s="3">
        <v>4.5999999999999996</v>
      </c>
      <c r="D798" s="3">
        <v>41</v>
      </c>
      <c r="E798" t="s">
        <v>1439</v>
      </c>
      <c r="F798" s="3">
        <v>18.993264199999999</v>
      </c>
      <c r="G798">
        <v>73.115628099999995</v>
      </c>
      <c r="H798">
        <f t="shared" si="60"/>
        <v>188.6</v>
      </c>
      <c r="I798" s="3">
        <f t="shared" si="61"/>
        <v>1025</v>
      </c>
      <c r="J798" s="1">
        <f t="shared" si="62"/>
        <v>450</v>
      </c>
      <c r="K798" s="1">
        <f t="shared" si="63"/>
        <v>461250</v>
      </c>
      <c r="L798" s="2" t="str">
        <f t="shared" si="64"/>
        <v>Premium</v>
      </c>
    </row>
    <row r="799" spans="1:12" x14ac:dyDescent="0.3">
      <c r="A799" t="s">
        <v>1405</v>
      </c>
      <c r="B799" t="s">
        <v>1440</v>
      </c>
      <c r="C799" s="3">
        <v>4.4000000000000004</v>
      </c>
      <c r="D799" s="3">
        <v>69</v>
      </c>
      <c r="E799" t="s">
        <v>1441</v>
      </c>
      <c r="F799" s="3">
        <v>19.044628599999999</v>
      </c>
      <c r="G799">
        <v>73.1300004</v>
      </c>
      <c r="H799">
        <f t="shared" si="60"/>
        <v>303.60000000000002</v>
      </c>
      <c r="I799" s="3">
        <f t="shared" si="61"/>
        <v>1725</v>
      </c>
      <c r="J799" s="1">
        <f t="shared" si="62"/>
        <v>450</v>
      </c>
      <c r="K799" s="1">
        <f t="shared" si="63"/>
        <v>776250</v>
      </c>
      <c r="L799" s="2" t="str">
        <f t="shared" si="64"/>
        <v>Popular</v>
      </c>
    </row>
    <row r="800" spans="1:12" x14ac:dyDescent="0.3">
      <c r="A800" t="s">
        <v>1405</v>
      </c>
      <c r="B800" t="s">
        <v>1442</v>
      </c>
      <c r="C800" s="3">
        <v>4</v>
      </c>
      <c r="D800" s="3">
        <v>491</v>
      </c>
      <c r="E800" t="s">
        <v>1443</v>
      </c>
      <c r="F800" s="3">
        <v>19.008025499999999</v>
      </c>
      <c r="G800">
        <v>73.109344100000001</v>
      </c>
      <c r="H800">
        <f t="shared" si="60"/>
        <v>1964</v>
      </c>
      <c r="I800" s="3">
        <f t="shared" si="61"/>
        <v>12275</v>
      </c>
      <c r="J800" s="1">
        <f t="shared" si="62"/>
        <v>350</v>
      </c>
      <c r="K800" s="1">
        <f t="shared" si="63"/>
        <v>4296250</v>
      </c>
      <c r="L800" s="2" t="str">
        <f t="shared" si="64"/>
        <v>Popular</v>
      </c>
    </row>
    <row r="801" spans="1:12" x14ac:dyDescent="0.3">
      <c r="A801" t="s">
        <v>1405</v>
      </c>
      <c r="B801" t="s">
        <v>1444</v>
      </c>
      <c r="C801" s="3">
        <v>3.9</v>
      </c>
      <c r="D801" s="3">
        <v>288</v>
      </c>
      <c r="E801" t="s">
        <v>1445</v>
      </c>
      <c r="F801" s="3">
        <v>19.008016399999999</v>
      </c>
      <c r="G801">
        <v>73.109343499999994</v>
      </c>
      <c r="H801">
        <f t="shared" si="60"/>
        <v>1123.2</v>
      </c>
      <c r="I801" s="3">
        <f t="shared" si="61"/>
        <v>7200</v>
      </c>
      <c r="J801" s="1">
        <f t="shared" si="62"/>
        <v>350</v>
      </c>
      <c r="K801" s="1">
        <f t="shared" si="63"/>
        <v>2520000</v>
      </c>
      <c r="L801" s="2" t="str">
        <f t="shared" si="64"/>
        <v>Average</v>
      </c>
    </row>
    <row r="802" spans="1:12" x14ac:dyDescent="0.3">
      <c r="A802" t="s">
        <v>1405</v>
      </c>
      <c r="B802" t="s">
        <v>1446</v>
      </c>
      <c r="C802" s="3">
        <v>3.9</v>
      </c>
      <c r="D802" s="3">
        <v>402</v>
      </c>
      <c r="E802" t="s">
        <v>1447</v>
      </c>
      <c r="F802" s="3">
        <v>18.993548100000002</v>
      </c>
      <c r="G802">
        <v>73.114695599999905</v>
      </c>
      <c r="H802">
        <f t="shared" si="60"/>
        <v>1567.8</v>
      </c>
      <c r="I802" s="3">
        <f t="shared" si="61"/>
        <v>10050</v>
      </c>
      <c r="J802" s="1">
        <f t="shared" si="62"/>
        <v>350</v>
      </c>
      <c r="K802" s="1">
        <f t="shared" si="63"/>
        <v>3517500</v>
      </c>
      <c r="L802" s="2" t="str">
        <f t="shared" si="64"/>
        <v>Average</v>
      </c>
    </row>
    <row r="803" spans="1:12" x14ac:dyDescent="0.3">
      <c r="A803" t="s">
        <v>1405</v>
      </c>
      <c r="B803" t="s">
        <v>1448</v>
      </c>
      <c r="C803" s="3">
        <v>4.9000000000000004</v>
      </c>
      <c r="D803" s="3">
        <v>16</v>
      </c>
      <c r="E803" t="s">
        <v>1449</v>
      </c>
      <c r="F803" s="3">
        <v>18.996887300000001</v>
      </c>
      <c r="G803">
        <v>73.1175961</v>
      </c>
      <c r="H803">
        <f t="shared" si="60"/>
        <v>78.400000000000006</v>
      </c>
      <c r="I803" s="3">
        <f t="shared" si="61"/>
        <v>400</v>
      </c>
      <c r="J803" s="1">
        <f t="shared" si="62"/>
        <v>550</v>
      </c>
      <c r="K803" s="1">
        <f t="shared" si="63"/>
        <v>220000</v>
      </c>
      <c r="L803" s="2" t="str">
        <f t="shared" si="64"/>
        <v>Premium</v>
      </c>
    </row>
    <row r="804" spans="1:12" x14ac:dyDescent="0.3">
      <c r="A804" t="s">
        <v>1405</v>
      </c>
      <c r="B804" t="s">
        <v>1450</v>
      </c>
      <c r="C804" s="3">
        <v>4.5</v>
      </c>
      <c r="D804" s="3">
        <v>84</v>
      </c>
      <c r="E804" t="s">
        <v>1451</v>
      </c>
      <c r="F804" s="3">
        <v>18.990200999999999</v>
      </c>
      <c r="G804">
        <v>73.127096600000002</v>
      </c>
      <c r="H804">
        <f t="shared" si="60"/>
        <v>378</v>
      </c>
      <c r="I804" s="3">
        <f t="shared" si="61"/>
        <v>2100</v>
      </c>
      <c r="J804" s="1">
        <f t="shared" si="62"/>
        <v>450</v>
      </c>
      <c r="K804" s="1">
        <f t="shared" si="63"/>
        <v>945000</v>
      </c>
      <c r="L804" s="2" t="str">
        <f t="shared" si="64"/>
        <v>Premium</v>
      </c>
    </row>
    <row r="805" spans="1:12" x14ac:dyDescent="0.3">
      <c r="A805" t="s">
        <v>1405</v>
      </c>
      <c r="B805" t="s">
        <v>1452</v>
      </c>
      <c r="C805" s="3">
        <v>4.5999999999999996</v>
      </c>
      <c r="D805" s="3">
        <v>29</v>
      </c>
      <c r="E805" t="s">
        <v>1453</v>
      </c>
      <c r="F805" s="3">
        <v>19.003156100000002</v>
      </c>
      <c r="G805">
        <v>73.111871499999907</v>
      </c>
      <c r="H805">
        <f t="shared" si="60"/>
        <v>133.39999999999998</v>
      </c>
      <c r="I805" s="3">
        <f t="shared" si="61"/>
        <v>725</v>
      </c>
      <c r="J805" s="1">
        <f t="shared" si="62"/>
        <v>450</v>
      </c>
      <c r="K805" s="1">
        <f t="shared" si="63"/>
        <v>326250</v>
      </c>
      <c r="L805" s="2" t="str">
        <f t="shared" si="64"/>
        <v>Premium</v>
      </c>
    </row>
    <row r="806" spans="1:12" x14ac:dyDescent="0.3">
      <c r="A806" t="s">
        <v>1405</v>
      </c>
      <c r="B806" t="s">
        <v>1454</v>
      </c>
      <c r="C806" s="3">
        <v>4.9000000000000004</v>
      </c>
      <c r="D806" s="3">
        <v>24</v>
      </c>
      <c r="E806" t="s">
        <v>1455</v>
      </c>
      <c r="F806" s="3">
        <v>18.991533</v>
      </c>
      <c r="G806">
        <v>73.110828999999995</v>
      </c>
      <c r="H806">
        <f t="shared" si="60"/>
        <v>117.60000000000001</v>
      </c>
      <c r="I806" s="3">
        <f t="shared" si="61"/>
        <v>600</v>
      </c>
      <c r="J806" s="1">
        <f t="shared" si="62"/>
        <v>550</v>
      </c>
      <c r="K806" s="1">
        <f t="shared" si="63"/>
        <v>330000</v>
      </c>
      <c r="L806" s="2" t="str">
        <f t="shared" si="64"/>
        <v>Premium</v>
      </c>
    </row>
    <row r="807" spans="1:12" x14ac:dyDescent="0.3">
      <c r="A807" t="s">
        <v>1405</v>
      </c>
      <c r="B807" t="s">
        <v>1456</v>
      </c>
      <c r="C807" s="3">
        <v>5</v>
      </c>
      <c r="D807" s="3">
        <v>50</v>
      </c>
      <c r="E807" t="s">
        <v>1457</v>
      </c>
      <c r="F807" s="3">
        <v>19.003935899999998</v>
      </c>
      <c r="G807">
        <v>73.116609199999999</v>
      </c>
      <c r="H807">
        <f t="shared" si="60"/>
        <v>250</v>
      </c>
      <c r="I807" s="3">
        <f t="shared" si="61"/>
        <v>1250</v>
      </c>
      <c r="J807" s="1">
        <f t="shared" si="62"/>
        <v>550</v>
      </c>
      <c r="K807" s="1">
        <f t="shared" si="63"/>
        <v>687500</v>
      </c>
      <c r="L807" s="2" t="str">
        <f t="shared" si="64"/>
        <v>Premium</v>
      </c>
    </row>
    <row r="808" spans="1:12" x14ac:dyDescent="0.3">
      <c r="A808" t="s">
        <v>1405</v>
      </c>
      <c r="B808" t="s">
        <v>1458</v>
      </c>
      <c r="C808" s="3">
        <v>5</v>
      </c>
      <c r="D808" s="3">
        <v>29</v>
      </c>
      <c r="E808" t="s">
        <v>1459</v>
      </c>
      <c r="F808" s="3">
        <v>18.999312700000001</v>
      </c>
      <c r="G808">
        <v>73.117944199999997</v>
      </c>
      <c r="H808">
        <f t="shared" si="60"/>
        <v>145</v>
      </c>
      <c r="I808" s="3">
        <f t="shared" si="61"/>
        <v>725</v>
      </c>
      <c r="J808" s="1">
        <f t="shared" si="62"/>
        <v>550</v>
      </c>
      <c r="K808" s="1">
        <f t="shared" si="63"/>
        <v>398750</v>
      </c>
      <c r="L808" s="2" t="str">
        <f t="shared" si="64"/>
        <v>Premium</v>
      </c>
    </row>
    <row r="809" spans="1:12" x14ac:dyDescent="0.3">
      <c r="A809" t="s">
        <v>1405</v>
      </c>
      <c r="B809" t="s">
        <v>1442</v>
      </c>
      <c r="C809" s="3">
        <v>4.0999999999999996</v>
      </c>
      <c r="D809" s="3">
        <v>602</v>
      </c>
      <c r="E809" t="s">
        <v>1460</v>
      </c>
      <c r="F809" s="3">
        <v>19.020493299999998</v>
      </c>
      <c r="G809">
        <v>73.091391599999994</v>
      </c>
      <c r="H809">
        <f t="shared" si="60"/>
        <v>2468.1999999999998</v>
      </c>
      <c r="I809" s="3">
        <f t="shared" si="61"/>
        <v>15050</v>
      </c>
      <c r="J809" s="1">
        <f t="shared" si="62"/>
        <v>350</v>
      </c>
      <c r="K809" s="1">
        <f t="shared" si="63"/>
        <v>5267500</v>
      </c>
      <c r="L809" s="2" t="str">
        <f t="shared" si="64"/>
        <v>Popular</v>
      </c>
    </row>
    <row r="810" spans="1:12" x14ac:dyDescent="0.3">
      <c r="A810" t="s">
        <v>1405</v>
      </c>
      <c r="B810" t="s">
        <v>1461</v>
      </c>
      <c r="C810" s="3">
        <v>4</v>
      </c>
      <c r="D810" s="3">
        <v>782</v>
      </c>
      <c r="E810" t="s">
        <v>1462</v>
      </c>
      <c r="F810" s="3">
        <v>18.989127</v>
      </c>
      <c r="G810">
        <v>73.127335799999997</v>
      </c>
      <c r="H810">
        <f t="shared" si="60"/>
        <v>3128</v>
      </c>
      <c r="I810" s="3">
        <f t="shared" si="61"/>
        <v>19550</v>
      </c>
      <c r="J810" s="1">
        <f t="shared" si="62"/>
        <v>350</v>
      </c>
      <c r="K810" s="1">
        <f t="shared" si="63"/>
        <v>6842500</v>
      </c>
      <c r="L810" s="2" t="str">
        <f t="shared" si="64"/>
        <v>Popular</v>
      </c>
    </row>
    <row r="811" spans="1:12" x14ac:dyDescent="0.3">
      <c r="A811" t="s">
        <v>1405</v>
      </c>
      <c r="B811" t="s">
        <v>128</v>
      </c>
      <c r="C811" s="3">
        <v>4.7</v>
      </c>
      <c r="D811" s="3">
        <v>929</v>
      </c>
      <c r="E811" t="s">
        <v>1463</v>
      </c>
      <c r="F811" s="3">
        <v>18.9933552</v>
      </c>
      <c r="G811">
        <v>73.115659399999998</v>
      </c>
      <c r="H811">
        <f t="shared" si="60"/>
        <v>4366.3</v>
      </c>
      <c r="I811" s="3">
        <f t="shared" si="61"/>
        <v>23225</v>
      </c>
      <c r="J811" s="1">
        <f t="shared" si="62"/>
        <v>550</v>
      </c>
      <c r="K811" s="1">
        <f t="shared" si="63"/>
        <v>12773750</v>
      </c>
      <c r="L811" s="2" t="str">
        <f t="shared" si="64"/>
        <v>Premium</v>
      </c>
    </row>
    <row r="812" spans="1:12" x14ac:dyDescent="0.3">
      <c r="A812" t="s">
        <v>1405</v>
      </c>
      <c r="B812" t="s">
        <v>1464</v>
      </c>
      <c r="C812" s="3">
        <v>4.8</v>
      </c>
      <c r="D812" s="3">
        <v>131</v>
      </c>
      <c r="E812" t="s">
        <v>1465</v>
      </c>
      <c r="F812" s="3">
        <v>19.009671699999998</v>
      </c>
      <c r="G812">
        <v>73.099554900000001</v>
      </c>
      <c r="H812">
        <f t="shared" si="60"/>
        <v>628.79999999999995</v>
      </c>
      <c r="I812" s="3">
        <f t="shared" si="61"/>
        <v>3275</v>
      </c>
      <c r="J812" s="1">
        <f t="shared" si="62"/>
        <v>550</v>
      </c>
      <c r="K812" s="1">
        <f t="shared" si="63"/>
        <v>1801250</v>
      </c>
      <c r="L812" s="2" t="str">
        <f t="shared" si="64"/>
        <v>Premium</v>
      </c>
    </row>
    <row r="813" spans="1:12" x14ac:dyDescent="0.3">
      <c r="A813" t="s">
        <v>1405</v>
      </c>
      <c r="B813" t="s">
        <v>1466</v>
      </c>
      <c r="C813" s="3">
        <v>4.5999999999999996</v>
      </c>
      <c r="D813" s="3">
        <v>118</v>
      </c>
      <c r="E813" t="s">
        <v>1467</v>
      </c>
      <c r="F813" s="3">
        <v>19.009954700000002</v>
      </c>
      <c r="G813">
        <v>73.099405399999995</v>
      </c>
      <c r="H813">
        <f t="shared" si="60"/>
        <v>542.79999999999995</v>
      </c>
      <c r="I813" s="3">
        <f t="shared" si="61"/>
        <v>2950</v>
      </c>
      <c r="J813" s="1">
        <f t="shared" si="62"/>
        <v>450</v>
      </c>
      <c r="K813" s="1">
        <f t="shared" si="63"/>
        <v>1327500</v>
      </c>
      <c r="L813" s="2" t="str">
        <f t="shared" si="64"/>
        <v>Premium</v>
      </c>
    </row>
    <row r="814" spans="1:12" x14ac:dyDescent="0.3">
      <c r="A814" t="s">
        <v>1405</v>
      </c>
      <c r="B814" t="s">
        <v>1323</v>
      </c>
      <c r="C814" s="3">
        <v>4.8</v>
      </c>
      <c r="D814" s="3">
        <v>1395</v>
      </c>
      <c r="E814" t="s">
        <v>1324</v>
      </c>
      <c r="F814" s="3">
        <v>19.006477</v>
      </c>
      <c r="G814">
        <v>73.033076399999999</v>
      </c>
      <c r="H814">
        <f t="shared" si="60"/>
        <v>6696</v>
      </c>
      <c r="I814" s="3">
        <f t="shared" si="61"/>
        <v>34875</v>
      </c>
      <c r="J814" s="1">
        <f t="shared" si="62"/>
        <v>550</v>
      </c>
      <c r="K814" s="1">
        <f t="shared" si="63"/>
        <v>19181250</v>
      </c>
      <c r="L814" s="2" t="str">
        <f t="shared" si="64"/>
        <v>Premium</v>
      </c>
    </row>
    <row r="815" spans="1:12" x14ac:dyDescent="0.3">
      <c r="A815" t="s">
        <v>1405</v>
      </c>
      <c r="B815" t="s">
        <v>1422</v>
      </c>
      <c r="C815" s="3">
        <v>4.4000000000000004</v>
      </c>
      <c r="D815" s="3">
        <v>58</v>
      </c>
      <c r="E815" t="s">
        <v>1468</v>
      </c>
      <c r="F815" s="3">
        <v>18.997271399999999</v>
      </c>
      <c r="G815">
        <v>73.108659799999998</v>
      </c>
      <c r="H815">
        <f t="shared" si="60"/>
        <v>255.20000000000002</v>
      </c>
      <c r="I815" s="3">
        <f t="shared" si="61"/>
        <v>1450</v>
      </c>
      <c r="J815" s="1">
        <f t="shared" si="62"/>
        <v>450</v>
      </c>
      <c r="K815" s="1">
        <f t="shared" si="63"/>
        <v>652500</v>
      </c>
      <c r="L815" s="2" t="str">
        <f t="shared" si="64"/>
        <v>Popular</v>
      </c>
    </row>
    <row r="816" spans="1:12" x14ac:dyDescent="0.3">
      <c r="A816" t="s">
        <v>1405</v>
      </c>
      <c r="B816" t="s">
        <v>1469</v>
      </c>
      <c r="C816" s="3">
        <v>5</v>
      </c>
      <c r="D816" s="3">
        <v>14</v>
      </c>
      <c r="E816" t="s">
        <v>1470</v>
      </c>
      <c r="F816" s="3">
        <v>19.003395300000001</v>
      </c>
      <c r="G816">
        <v>73.111907500000001</v>
      </c>
      <c r="H816">
        <f t="shared" si="60"/>
        <v>70</v>
      </c>
      <c r="I816" s="3">
        <f t="shared" si="61"/>
        <v>350</v>
      </c>
      <c r="J816" s="1">
        <f t="shared" si="62"/>
        <v>550</v>
      </c>
      <c r="K816" s="1">
        <f t="shared" si="63"/>
        <v>192500</v>
      </c>
      <c r="L816" s="2" t="str">
        <f t="shared" si="64"/>
        <v>Premium</v>
      </c>
    </row>
    <row r="817" spans="1:12" x14ac:dyDescent="0.3">
      <c r="A817" t="s">
        <v>1405</v>
      </c>
      <c r="B817" t="s">
        <v>1471</v>
      </c>
      <c r="C817" s="3">
        <v>4.5999999999999996</v>
      </c>
      <c r="D817" s="3">
        <v>38</v>
      </c>
      <c r="E817" t="s">
        <v>1472</v>
      </c>
      <c r="F817" s="3">
        <v>19.035999199999999</v>
      </c>
      <c r="G817">
        <v>73.090154999999996</v>
      </c>
      <c r="H817">
        <f t="shared" si="60"/>
        <v>174.79999999999998</v>
      </c>
      <c r="I817" s="3">
        <f t="shared" si="61"/>
        <v>950</v>
      </c>
      <c r="J817" s="1">
        <f t="shared" si="62"/>
        <v>450</v>
      </c>
      <c r="K817" s="1">
        <f t="shared" si="63"/>
        <v>427500</v>
      </c>
      <c r="L817" s="2" t="str">
        <f t="shared" si="64"/>
        <v>Premium</v>
      </c>
    </row>
    <row r="818" spans="1:12" x14ac:dyDescent="0.3">
      <c r="A818" t="s">
        <v>1405</v>
      </c>
      <c r="B818" t="s">
        <v>1473</v>
      </c>
      <c r="C818" s="3">
        <v>4</v>
      </c>
      <c r="D818" s="3">
        <v>1396</v>
      </c>
      <c r="E818" t="s">
        <v>1474</v>
      </c>
      <c r="F818" s="3">
        <v>18.999866600000001</v>
      </c>
      <c r="G818">
        <v>73.127952999999906</v>
      </c>
      <c r="H818">
        <f t="shared" si="60"/>
        <v>5584</v>
      </c>
      <c r="I818" s="3">
        <f t="shared" si="61"/>
        <v>34900</v>
      </c>
      <c r="J818" s="1">
        <f t="shared" si="62"/>
        <v>350</v>
      </c>
      <c r="K818" s="1">
        <f t="shared" si="63"/>
        <v>12215000</v>
      </c>
      <c r="L818" s="2" t="str">
        <f t="shared" si="64"/>
        <v>Popular</v>
      </c>
    </row>
    <row r="819" spans="1:12" x14ac:dyDescent="0.3">
      <c r="A819" t="s">
        <v>1405</v>
      </c>
      <c r="B819" t="s">
        <v>1475</v>
      </c>
      <c r="C819" s="3">
        <v>5</v>
      </c>
      <c r="D819" s="3">
        <v>26</v>
      </c>
      <c r="E819" t="s">
        <v>1476</v>
      </c>
      <c r="F819" s="3">
        <v>18.986701</v>
      </c>
      <c r="G819">
        <v>73.093838599999998</v>
      </c>
      <c r="H819">
        <f t="shared" si="60"/>
        <v>130</v>
      </c>
      <c r="I819" s="3">
        <f t="shared" si="61"/>
        <v>650</v>
      </c>
      <c r="J819" s="1">
        <f t="shared" si="62"/>
        <v>550</v>
      </c>
      <c r="K819" s="1">
        <f t="shared" si="63"/>
        <v>357500</v>
      </c>
      <c r="L819" s="2" t="str">
        <f t="shared" si="64"/>
        <v>Premium</v>
      </c>
    </row>
    <row r="820" spans="1:12" x14ac:dyDescent="0.3">
      <c r="A820" t="s">
        <v>1405</v>
      </c>
      <c r="B820" t="s">
        <v>1477</v>
      </c>
      <c r="C820" s="3">
        <v>4.0999999999999996</v>
      </c>
      <c r="D820" s="3">
        <v>113</v>
      </c>
      <c r="E820" t="s">
        <v>1478</v>
      </c>
      <c r="F820" s="3">
        <v>19.0191649</v>
      </c>
      <c r="G820">
        <v>73.091880199999906</v>
      </c>
      <c r="H820">
        <f t="shared" si="60"/>
        <v>463.29999999999995</v>
      </c>
      <c r="I820" s="3">
        <f t="shared" si="61"/>
        <v>2825</v>
      </c>
      <c r="J820" s="1">
        <f t="shared" si="62"/>
        <v>350</v>
      </c>
      <c r="K820" s="1">
        <f t="shared" si="63"/>
        <v>988750</v>
      </c>
      <c r="L820" s="2" t="str">
        <f t="shared" si="64"/>
        <v>Popular</v>
      </c>
    </row>
    <row r="821" spans="1:12" x14ac:dyDescent="0.3">
      <c r="A821" t="s">
        <v>1405</v>
      </c>
      <c r="B821" t="s">
        <v>1479</v>
      </c>
      <c r="C821" s="3">
        <v>4.9000000000000004</v>
      </c>
      <c r="D821" s="3">
        <v>38</v>
      </c>
      <c r="E821" t="s">
        <v>1480</v>
      </c>
      <c r="F821" s="3">
        <v>18.987435300000001</v>
      </c>
      <c r="G821">
        <v>73.112692999999993</v>
      </c>
      <c r="H821">
        <f t="shared" si="60"/>
        <v>186.20000000000002</v>
      </c>
      <c r="I821" s="3">
        <f t="shared" si="61"/>
        <v>950</v>
      </c>
      <c r="J821" s="1">
        <f t="shared" si="62"/>
        <v>550</v>
      </c>
      <c r="K821" s="1">
        <f t="shared" si="63"/>
        <v>522500</v>
      </c>
      <c r="L821" s="2" t="str">
        <f t="shared" si="64"/>
        <v>Premium</v>
      </c>
    </row>
    <row r="822" spans="1:12" x14ac:dyDescent="0.3">
      <c r="A822" t="s">
        <v>1405</v>
      </c>
      <c r="B822" t="s">
        <v>1481</v>
      </c>
      <c r="C822" s="3">
        <v>4.3</v>
      </c>
      <c r="D822" s="3">
        <v>127</v>
      </c>
      <c r="E822" t="s">
        <v>1482</v>
      </c>
      <c r="F822" s="3">
        <v>18.9790554</v>
      </c>
      <c r="G822">
        <v>73.097232399999996</v>
      </c>
      <c r="H822">
        <f t="shared" si="60"/>
        <v>546.1</v>
      </c>
      <c r="I822" s="3">
        <f t="shared" si="61"/>
        <v>3175</v>
      </c>
      <c r="J822" s="1">
        <f t="shared" si="62"/>
        <v>350</v>
      </c>
      <c r="K822" s="1">
        <f t="shared" si="63"/>
        <v>1111250</v>
      </c>
      <c r="L822" s="2" t="str">
        <f t="shared" si="64"/>
        <v>Popular</v>
      </c>
    </row>
    <row r="823" spans="1:12" x14ac:dyDescent="0.3">
      <c r="A823" t="s">
        <v>1405</v>
      </c>
      <c r="B823" t="s">
        <v>1483</v>
      </c>
      <c r="C823" s="3">
        <v>4.5999999999999996</v>
      </c>
      <c r="D823" s="3">
        <v>211</v>
      </c>
      <c r="E823" t="s">
        <v>1484</v>
      </c>
      <c r="F823" s="3">
        <v>19.045988000000001</v>
      </c>
      <c r="G823">
        <v>73.128586299999995</v>
      </c>
      <c r="H823">
        <f t="shared" si="60"/>
        <v>970.59999999999991</v>
      </c>
      <c r="I823" s="3">
        <f t="shared" si="61"/>
        <v>5275</v>
      </c>
      <c r="J823" s="1">
        <f t="shared" si="62"/>
        <v>450</v>
      </c>
      <c r="K823" s="1">
        <f t="shared" si="63"/>
        <v>2373750</v>
      </c>
      <c r="L823" s="2" t="str">
        <f t="shared" si="64"/>
        <v>Premium</v>
      </c>
    </row>
    <row r="824" spans="1:12" x14ac:dyDescent="0.3">
      <c r="A824" t="s">
        <v>1405</v>
      </c>
      <c r="B824" t="s">
        <v>1485</v>
      </c>
      <c r="C824" s="3">
        <v>4.5999999999999996</v>
      </c>
      <c r="D824" s="3">
        <v>27</v>
      </c>
      <c r="E824" t="s">
        <v>1486</v>
      </c>
      <c r="F824" s="3">
        <v>19.0363796</v>
      </c>
      <c r="G824">
        <v>73.092307199999993</v>
      </c>
      <c r="H824">
        <f t="shared" si="60"/>
        <v>124.19999999999999</v>
      </c>
      <c r="I824" s="3">
        <f t="shared" si="61"/>
        <v>675</v>
      </c>
      <c r="J824" s="1">
        <f t="shared" si="62"/>
        <v>450</v>
      </c>
      <c r="K824" s="1">
        <f t="shared" si="63"/>
        <v>303750</v>
      </c>
      <c r="L824" s="2" t="str">
        <f t="shared" si="64"/>
        <v>Premium</v>
      </c>
    </row>
    <row r="825" spans="1:12" x14ac:dyDescent="0.3">
      <c r="A825" t="s">
        <v>1405</v>
      </c>
      <c r="B825" t="s">
        <v>1487</v>
      </c>
      <c r="C825" s="3">
        <v>4.2</v>
      </c>
      <c r="D825" s="3">
        <v>5</v>
      </c>
      <c r="E825" t="s">
        <v>1488</v>
      </c>
      <c r="F825" s="3">
        <v>18.991697299999998</v>
      </c>
      <c r="G825">
        <v>73.109494799999993</v>
      </c>
      <c r="H825">
        <f t="shared" si="60"/>
        <v>21</v>
      </c>
      <c r="I825" s="3">
        <f t="shared" si="61"/>
        <v>125</v>
      </c>
      <c r="J825" s="1">
        <f t="shared" si="62"/>
        <v>350</v>
      </c>
      <c r="K825" s="1">
        <f t="shared" si="63"/>
        <v>43750</v>
      </c>
      <c r="L825" s="2" t="str">
        <f t="shared" si="64"/>
        <v>Popular</v>
      </c>
    </row>
    <row r="826" spans="1:12" x14ac:dyDescent="0.3">
      <c r="A826" t="s">
        <v>1405</v>
      </c>
      <c r="B826" t="s">
        <v>1489</v>
      </c>
      <c r="C826" s="3">
        <v>4.9000000000000004</v>
      </c>
      <c r="D826" s="3">
        <v>93</v>
      </c>
      <c r="E826" t="s">
        <v>1490</v>
      </c>
      <c r="F826" s="3">
        <v>19.000768399999998</v>
      </c>
      <c r="G826">
        <v>73.134175499999998</v>
      </c>
      <c r="H826">
        <f t="shared" si="60"/>
        <v>455.70000000000005</v>
      </c>
      <c r="I826" s="3">
        <f t="shared" si="61"/>
        <v>2325</v>
      </c>
      <c r="J826" s="1">
        <f t="shared" si="62"/>
        <v>550</v>
      </c>
      <c r="K826" s="1">
        <f t="shared" si="63"/>
        <v>1278750</v>
      </c>
      <c r="L826" s="2" t="str">
        <f t="shared" si="64"/>
        <v>Premium</v>
      </c>
    </row>
    <row r="827" spans="1:12" x14ac:dyDescent="0.3">
      <c r="A827" t="s">
        <v>1405</v>
      </c>
      <c r="B827" t="s">
        <v>1491</v>
      </c>
      <c r="C827" s="3">
        <v>4.9000000000000004</v>
      </c>
      <c r="D827" s="3">
        <v>25</v>
      </c>
      <c r="E827" t="s">
        <v>1492</v>
      </c>
      <c r="F827" s="3">
        <v>19.011319100000001</v>
      </c>
      <c r="G827">
        <v>73.117857099999995</v>
      </c>
      <c r="H827">
        <f t="shared" si="60"/>
        <v>122.50000000000001</v>
      </c>
      <c r="I827" s="3">
        <f t="shared" si="61"/>
        <v>625</v>
      </c>
      <c r="J827" s="1">
        <f t="shared" si="62"/>
        <v>550</v>
      </c>
      <c r="K827" s="1">
        <f t="shared" si="63"/>
        <v>343750</v>
      </c>
      <c r="L827" s="2" t="str">
        <f t="shared" si="64"/>
        <v>Premium</v>
      </c>
    </row>
    <row r="828" spans="1:12" x14ac:dyDescent="0.3">
      <c r="A828" t="s">
        <v>1405</v>
      </c>
      <c r="B828" t="s">
        <v>1493</v>
      </c>
      <c r="C828" s="3">
        <v>4.9000000000000004</v>
      </c>
      <c r="D828" s="3">
        <v>30</v>
      </c>
      <c r="E828" t="s">
        <v>1494</v>
      </c>
      <c r="F828" s="3">
        <v>18.9884682</v>
      </c>
      <c r="G828">
        <v>73.127944299999996</v>
      </c>
      <c r="H828">
        <f t="shared" si="60"/>
        <v>147</v>
      </c>
      <c r="I828" s="3">
        <f t="shared" si="61"/>
        <v>750</v>
      </c>
      <c r="J828" s="1">
        <f t="shared" si="62"/>
        <v>550</v>
      </c>
      <c r="K828" s="1">
        <f t="shared" si="63"/>
        <v>412500</v>
      </c>
      <c r="L828" s="2" t="str">
        <f t="shared" si="64"/>
        <v>Premium</v>
      </c>
    </row>
    <row r="829" spans="1:12" x14ac:dyDescent="0.3">
      <c r="A829" t="s">
        <v>1405</v>
      </c>
      <c r="B829" t="s">
        <v>1495</v>
      </c>
      <c r="C829" s="3">
        <v>4.0999999999999996</v>
      </c>
      <c r="D829" s="3">
        <v>3839</v>
      </c>
      <c r="E829" t="s">
        <v>1496</v>
      </c>
      <c r="F829" s="3">
        <v>18.992989999999999</v>
      </c>
      <c r="G829">
        <v>73.115874199999993</v>
      </c>
      <c r="H829">
        <f t="shared" si="60"/>
        <v>15739.899999999998</v>
      </c>
      <c r="I829" s="3">
        <f t="shared" si="61"/>
        <v>95975</v>
      </c>
      <c r="J829" s="1">
        <f t="shared" si="62"/>
        <v>350</v>
      </c>
      <c r="K829" s="1">
        <f t="shared" si="63"/>
        <v>33591250</v>
      </c>
      <c r="L829" s="2" t="str">
        <f t="shared" si="64"/>
        <v>Popular</v>
      </c>
    </row>
    <row r="830" spans="1:12" x14ac:dyDescent="0.3">
      <c r="A830" t="s">
        <v>1405</v>
      </c>
      <c r="B830" t="s">
        <v>1497</v>
      </c>
      <c r="C830" s="3">
        <v>4.4000000000000004</v>
      </c>
      <c r="D830" s="3">
        <v>48</v>
      </c>
      <c r="E830" t="s">
        <v>1498</v>
      </c>
      <c r="F830" s="3">
        <v>18.9829191</v>
      </c>
      <c r="G830">
        <v>73.098695300000003</v>
      </c>
      <c r="H830">
        <f t="shared" si="60"/>
        <v>211.20000000000002</v>
      </c>
      <c r="I830" s="3">
        <f t="shared" si="61"/>
        <v>1200</v>
      </c>
      <c r="J830" s="1">
        <f t="shared" si="62"/>
        <v>450</v>
      </c>
      <c r="K830" s="1">
        <f t="shared" si="63"/>
        <v>540000</v>
      </c>
      <c r="L830" s="2" t="str">
        <f t="shared" si="64"/>
        <v>Popular</v>
      </c>
    </row>
    <row r="831" spans="1:12" x14ac:dyDescent="0.3">
      <c r="A831" t="s">
        <v>1405</v>
      </c>
      <c r="B831" t="s">
        <v>1499</v>
      </c>
      <c r="C831" s="3">
        <v>4.3</v>
      </c>
      <c r="D831" s="3">
        <v>28</v>
      </c>
      <c r="E831" t="s">
        <v>1500</v>
      </c>
      <c r="F831" s="3">
        <v>18.977092599999999</v>
      </c>
      <c r="G831">
        <v>73.100992699999907</v>
      </c>
      <c r="H831">
        <f t="shared" si="60"/>
        <v>120.39999999999999</v>
      </c>
      <c r="I831" s="3">
        <f t="shared" si="61"/>
        <v>700</v>
      </c>
      <c r="J831" s="1">
        <f t="shared" si="62"/>
        <v>350</v>
      </c>
      <c r="K831" s="1">
        <f t="shared" si="63"/>
        <v>245000</v>
      </c>
      <c r="L831" s="2" t="str">
        <f t="shared" si="64"/>
        <v>Popular</v>
      </c>
    </row>
    <row r="832" spans="1:12" x14ac:dyDescent="0.3">
      <c r="A832" t="s">
        <v>1405</v>
      </c>
      <c r="B832" t="s">
        <v>1501</v>
      </c>
      <c r="C832" s="3">
        <v>4.9000000000000004</v>
      </c>
      <c r="D832" s="3">
        <v>15</v>
      </c>
      <c r="E832" t="s">
        <v>1502</v>
      </c>
      <c r="F832" s="3">
        <v>19.005118100000001</v>
      </c>
      <c r="G832">
        <v>73.114607300000003</v>
      </c>
      <c r="H832">
        <f t="shared" si="60"/>
        <v>73.5</v>
      </c>
      <c r="I832" s="3">
        <f t="shared" si="61"/>
        <v>375</v>
      </c>
      <c r="J832" s="1">
        <f t="shared" si="62"/>
        <v>550</v>
      </c>
      <c r="K832" s="1">
        <f t="shared" si="63"/>
        <v>206250</v>
      </c>
      <c r="L832" s="2" t="str">
        <f t="shared" si="64"/>
        <v>Premium</v>
      </c>
    </row>
    <row r="833" spans="1:12" x14ac:dyDescent="0.3">
      <c r="A833" t="s">
        <v>1405</v>
      </c>
      <c r="B833" t="s">
        <v>1359</v>
      </c>
      <c r="C833" s="3">
        <v>4.2</v>
      </c>
      <c r="D833" s="3">
        <v>2443</v>
      </c>
      <c r="E833" t="s">
        <v>1360</v>
      </c>
      <c r="F833" s="3">
        <v>19.009949500000001</v>
      </c>
      <c r="G833">
        <v>73.0326412</v>
      </c>
      <c r="H833">
        <f t="shared" si="60"/>
        <v>10260.6</v>
      </c>
      <c r="I833" s="3">
        <f t="shared" si="61"/>
        <v>61075</v>
      </c>
      <c r="J833" s="1">
        <f t="shared" si="62"/>
        <v>350</v>
      </c>
      <c r="K833" s="1">
        <f t="shared" si="63"/>
        <v>21376250</v>
      </c>
      <c r="L833" s="2" t="str">
        <f t="shared" si="64"/>
        <v>Popular</v>
      </c>
    </row>
    <row r="834" spans="1:12" x14ac:dyDescent="0.3">
      <c r="A834" t="s">
        <v>1405</v>
      </c>
      <c r="B834" t="s">
        <v>1503</v>
      </c>
      <c r="C834" s="3">
        <v>3.8</v>
      </c>
      <c r="D834" s="3">
        <v>215</v>
      </c>
      <c r="E834" t="s">
        <v>1504</v>
      </c>
      <c r="F834" s="3">
        <v>18.988357700000002</v>
      </c>
      <c r="G834">
        <v>73.127979299999893</v>
      </c>
      <c r="H834">
        <f t="shared" ref="H834:H897" si="65">C834*D834</f>
        <v>817</v>
      </c>
      <c r="I834" s="3">
        <f t="shared" ref="I834:I897" si="66">D834*25</f>
        <v>5375</v>
      </c>
      <c r="J834" s="1">
        <f t="shared" ref="J834:J897" si="67">IF(C834&gt;=4.7,550,IF(C834&gt;=4.4,450,IF(C834&gt;=O836,350,250)))</f>
        <v>350</v>
      </c>
      <c r="K834" s="1">
        <f t="shared" ref="K834:K897" si="68">I834*J834</f>
        <v>1881250</v>
      </c>
      <c r="L834" s="2" t="str">
        <f t="shared" ref="L834:L897" si="69">IF(C834&gt;=4.5,"Premium",IF(C834&gt;=4,"Popular","Average"))</f>
        <v>Average</v>
      </c>
    </row>
    <row r="835" spans="1:12" x14ac:dyDescent="0.3">
      <c r="A835" t="s">
        <v>1405</v>
      </c>
      <c r="B835" t="s">
        <v>1505</v>
      </c>
      <c r="C835" s="3">
        <v>3.4</v>
      </c>
      <c r="D835" s="3">
        <v>5</v>
      </c>
      <c r="E835" t="s">
        <v>1506</v>
      </c>
      <c r="F835" s="3">
        <v>19.0058902</v>
      </c>
      <c r="G835">
        <v>73.110370399999994</v>
      </c>
      <c r="H835">
        <f t="shared" si="65"/>
        <v>17</v>
      </c>
      <c r="I835" s="3">
        <f t="shared" si="66"/>
        <v>125</v>
      </c>
      <c r="J835" s="1">
        <f t="shared" si="67"/>
        <v>350</v>
      </c>
      <c r="K835" s="1">
        <f t="shared" si="68"/>
        <v>43750</v>
      </c>
      <c r="L835" s="2" t="str">
        <f t="shared" si="69"/>
        <v>Average</v>
      </c>
    </row>
    <row r="836" spans="1:12" x14ac:dyDescent="0.3">
      <c r="A836" t="s">
        <v>1405</v>
      </c>
      <c r="B836" t="s">
        <v>1507</v>
      </c>
      <c r="C836" s="3">
        <v>4.0999999999999996</v>
      </c>
      <c r="D836" s="3">
        <v>502</v>
      </c>
      <c r="E836" t="s">
        <v>1508</v>
      </c>
      <c r="F836" s="3">
        <v>18.9876456</v>
      </c>
      <c r="G836">
        <v>73.114994600000003</v>
      </c>
      <c r="H836">
        <f t="shared" si="65"/>
        <v>2058.1999999999998</v>
      </c>
      <c r="I836" s="3">
        <f t="shared" si="66"/>
        <v>12550</v>
      </c>
      <c r="J836" s="1">
        <f t="shared" si="67"/>
        <v>350</v>
      </c>
      <c r="K836" s="1">
        <f t="shared" si="68"/>
        <v>4392500</v>
      </c>
      <c r="L836" s="2" t="str">
        <f t="shared" si="69"/>
        <v>Popular</v>
      </c>
    </row>
    <row r="837" spans="1:12" x14ac:dyDescent="0.3">
      <c r="A837" t="s">
        <v>1405</v>
      </c>
      <c r="B837" t="s">
        <v>1509</v>
      </c>
      <c r="C837" s="3">
        <v>4.5999999999999996</v>
      </c>
      <c r="D837" s="3">
        <v>18</v>
      </c>
      <c r="E837" t="s">
        <v>1510</v>
      </c>
      <c r="F837" s="3">
        <v>18.967628399999999</v>
      </c>
      <c r="G837">
        <v>73.117081799999994</v>
      </c>
      <c r="H837">
        <f t="shared" si="65"/>
        <v>82.8</v>
      </c>
      <c r="I837" s="3">
        <f t="shared" si="66"/>
        <v>450</v>
      </c>
      <c r="J837" s="1">
        <f t="shared" si="67"/>
        <v>450</v>
      </c>
      <c r="K837" s="1">
        <f t="shared" si="68"/>
        <v>202500</v>
      </c>
      <c r="L837" s="2" t="str">
        <f t="shared" si="69"/>
        <v>Premium</v>
      </c>
    </row>
    <row r="838" spans="1:12" x14ac:dyDescent="0.3">
      <c r="A838" t="s">
        <v>1405</v>
      </c>
      <c r="B838" t="s">
        <v>1511</v>
      </c>
      <c r="C838" s="3">
        <v>4.5</v>
      </c>
      <c r="D838" s="3">
        <v>55</v>
      </c>
      <c r="E838" t="s">
        <v>1512</v>
      </c>
      <c r="F838" s="3">
        <v>18.9900941</v>
      </c>
      <c r="G838">
        <v>73.112465999999998</v>
      </c>
      <c r="H838">
        <f t="shared" si="65"/>
        <v>247.5</v>
      </c>
      <c r="I838" s="3">
        <f t="shared" si="66"/>
        <v>1375</v>
      </c>
      <c r="J838" s="1">
        <f t="shared" si="67"/>
        <v>450</v>
      </c>
      <c r="K838" s="1">
        <f t="shared" si="68"/>
        <v>618750</v>
      </c>
      <c r="L838" s="2" t="str">
        <f t="shared" si="69"/>
        <v>Premium</v>
      </c>
    </row>
    <row r="839" spans="1:12" x14ac:dyDescent="0.3">
      <c r="A839" t="s">
        <v>1405</v>
      </c>
      <c r="B839" t="s">
        <v>1513</v>
      </c>
      <c r="C839" s="3">
        <v>4</v>
      </c>
      <c r="D839" s="3">
        <v>8</v>
      </c>
      <c r="E839" t="s">
        <v>1514</v>
      </c>
      <c r="F839" s="3">
        <v>18.9770927</v>
      </c>
      <c r="G839">
        <v>73.100992499999904</v>
      </c>
      <c r="H839">
        <f t="shared" si="65"/>
        <v>32</v>
      </c>
      <c r="I839" s="3">
        <f t="shared" si="66"/>
        <v>200</v>
      </c>
      <c r="J839" s="1">
        <f t="shared" si="67"/>
        <v>350</v>
      </c>
      <c r="K839" s="1">
        <f t="shared" si="68"/>
        <v>70000</v>
      </c>
      <c r="L839" s="2" t="str">
        <f t="shared" si="69"/>
        <v>Popular</v>
      </c>
    </row>
    <row r="840" spans="1:12" x14ac:dyDescent="0.3">
      <c r="A840" t="s">
        <v>1405</v>
      </c>
      <c r="B840" t="s">
        <v>1515</v>
      </c>
      <c r="C840" s="3">
        <v>4.3</v>
      </c>
      <c r="D840" s="3">
        <v>310</v>
      </c>
      <c r="E840" t="s">
        <v>1516</v>
      </c>
      <c r="F840" s="3">
        <v>18.985402400000002</v>
      </c>
      <c r="G840">
        <v>73.1095136</v>
      </c>
      <c r="H840">
        <f t="shared" si="65"/>
        <v>1333</v>
      </c>
      <c r="I840" s="3">
        <f t="shared" si="66"/>
        <v>7750</v>
      </c>
      <c r="J840" s="1">
        <f t="shared" si="67"/>
        <v>350</v>
      </c>
      <c r="K840" s="1">
        <f t="shared" si="68"/>
        <v>2712500</v>
      </c>
      <c r="L840" s="2" t="str">
        <f t="shared" si="69"/>
        <v>Popular</v>
      </c>
    </row>
    <row r="841" spans="1:12" x14ac:dyDescent="0.3">
      <c r="A841" t="s">
        <v>1405</v>
      </c>
      <c r="B841" t="s">
        <v>1517</v>
      </c>
      <c r="C841" s="3">
        <v>4</v>
      </c>
      <c r="D841" s="3">
        <v>2010</v>
      </c>
      <c r="E841" t="s">
        <v>1518</v>
      </c>
      <c r="F841" s="3">
        <v>18.992104999999999</v>
      </c>
      <c r="G841">
        <v>73.115236799999906</v>
      </c>
      <c r="H841">
        <f t="shared" si="65"/>
        <v>8040</v>
      </c>
      <c r="I841" s="3">
        <f t="shared" si="66"/>
        <v>50250</v>
      </c>
      <c r="J841" s="1">
        <f t="shared" si="67"/>
        <v>350</v>
      </c>
      <c r="K841" s="1">
        <f t="shared" si="68"/>
        <v>17587500</v>
      </c>
      <c r="L841" s="2" t="str">
        <f t="shared" si="69"/>
        <v>Popular</v>
      </c>
    </row>
    <row r="842" spans="1:12" x14ac:dyDescent="0.3">
      <c r="A842" t="s">
        <v>1519</v>
      </c>
      <c r="B842" t="s">
        <v>1520</v>
      </c>
      <c r="C842" s="3">
        <v>4.5999999999999996</v>
      </c>
      <c r="D842" s="3">
        <v>643</v>
      </c>
      <c r="E842" t="s">
        <v>1521</v>
      </c>
      <c r="F842" s="3">
        <v>19.0298105</v>
      </c>
      <c r="G842">
        <v>73.065200199999893</v>
      </c>
      <c r="H842">
        <f t="shared" si="65"/>
        <v>2957.7999999999997</v>
      </c>
      <c r="I842" s="3">
        <f t="shared" si="66"/>
        <v>16075</v>
      </c>
      <c r="J842" s="1">
        <f t="shared" si="67"/>
        <v>450</v>
      </c>
      <c r="K842" s="1">
        <f t="shared" si="68"/>
        <v>7233750</v>
      </c>
      <c r="L842" s="2" t="str">
        <f t="shared" si="69"/>
        <v>Premium</v>
      </c>
    </row>
    <row r="843" spans="1:12" x14ac:dyDescent="0.3">
      <c r="A843" t="s">
        <v>1519</v>
      </c>
      <c r="B843" t="s">
        <v>1522</v>
      </c>
      <c r="C843" s="3">
        <v>4.3</v>
      </c>
      <c r="D843" s="3">
        <v>4161</v>
      </c>
      <c r="E843" t="s">
        <v>1523</v>
      </c>
      <c r="F843" s="3">
        <v>19.032056399999998</v>
      </c>
      <c r="G843">
        <v>73.066987099999906</v>
      </c>
      <c r="H843">
        <f t="shared" si="65"/>
        <v>17892.3</v>
      </c>
      <c r="I843" s="3">
        <f t="shared" si="66"/>
        <v>104025</v>
      </c>
      <c r="J843" s="1">
        <f t="shared" si="67"/>
        <v>350</v>
      </c>
      <c r="K843" s="1">
        <f t="shared" si="68"/>
        <v>36408750</v>
      </c>
      <c r="L843" s="2" t="str">
        <f t="shared" si="69"/>
        <v>Popular</v>
      </c>
    </row>
    <row r="844" spans="1:12" x14ac:dyDescent="0.3">
      <c r="A844" t="s">
        <v>1519</v>
      </c>
      <c r="B844" t="s">
        <v>1524</v>
      </c>
      <c r="C844" s="3">
        <v>4.5999999999999996</v>
      </c>
      <c r="D844" s="3">
        <v>1201</v>
      </c>
      <c r="E844" t="s">
        <v>1525</v>
      </c>
      <c r="F844" s="3">
        <v>19.0292849</v>
      </c>
      <c r="G844">
        <v>73.065797099999997</v>
      </c>
      <c r="H844">
        <f t="shared" si="65"/>
        <v>5524.5999999999995</v>
      </c>
      <c r="I844" s="3">
        <f t="shared" si="66"/>
        <v>30025</v>
      </c>
      <c r="J844" s="1">
        <f t="shared" si="67"/>
        <v>450</v>
      </c>
      <c r="K844" s="1">
        <f t="shared" si="68"/>
        <v>13511250</v>
      </c>
      <c r="L844" s="2" t="str">
        <f t="shared" si="69"/>
        <v>Premium</v>
      </c>
    </row>
    <row r="845" spans="1:12" x14ac:dyDescent="0.3">
      <c r="A845" t="s">
        <v>1519</v>
      </c>
      <c r="B845" t="s">
        <v>1526</v>
      </c>
      <c r="C845" s="3">
        <v>4.3</v>
      </c>
      <c r="D845" s="3">
        <v>1632</v>
      </c>
      <c r="E845" t="s">
        <v>1527</v>
      </c>
      <c r="F845" s="3">
        <v>19.029783900000002</v>
      </c>
      <c r="G845">
        <v>73.065389400000001</v>
      </c>
      <c r="H845">
        <f t="shared" si="65"/>
        <v>7017.5999999999995</v>
      </c>
      <c r="I845" s="3">
        <f t="shared" si="66"/>
        <v>40800</v>
      </c>
      <c r="J845" s="1">
        <f t="shared" si="67"/>
        <v>350</v>
      </c>
      <c r="K845" s="1">
        <f t="shared" si="68"/>
        <v>14280000</v>
      </c>
      <c r="L845" s="2" t="str">
        <f t="shared" si="69"/>
        <v>Popular</v>
      </c>
    </row>
    <row r="846" spans="1:12" x14ac:dyDescent="0.3">
      <c r="A846" t="s">
        <v>1519</v>
      </c>
      <c r="B846" t="s">
        <v>1528</v>
      </c>
      <c r="C846" s="3">
        <v>4.7</v>
      </c>
      <c r="D846" s="3">
        <v>667</v>
      </c>
      <c r="E846" t="s">
        <v>1529</v>
      </c>
      <c r="F846" s="3">
        <v>19.054744899999999</v>
      </c>
      <c r="G846">
        <v>73.067894299999907</v>
      </c>
      <c r="H846">
        <f t="shared" si="65"/>
        <v>3134.9</v>
      </c>
      <c r="I846" s="3">
        <f t="shared" si="66"/>
        <v>16675</v>
      </c>
      <c r="J846" s="1">
        <f t="shared" si="67"/>
        <v>550</v>
      </c>
      <c r="K846" s="1">
        <f t="shared" si="68"/>
        <v>9171250</v>
      </c>
      <c r="L846" s="2" t="str">
        <f t="shared" si="69"/>
        <v>Premium</v>
      </c>
    </row>
    <row r="847" spans="1:12" x14ac:dyDescent="0.3">
      <c r="A847" t="s">
        <v>1519</v>
      </c>
      <c r="B847" t="s">
        <v>1530</v>
      </c>
      <c r="C847" s="3">
        <v>4.7</v>
      </c>
      <c r="D847" s="3">
        <v>398</v>
      </c>
      <c r="E847" t="s">
        <v>1531</v>
      </c>
      <c r="F847" s="3">
        <v>19.069331099999999</v>
      </c>
      <c r="G847">
        <v>73.077723800000001</v>
      </c>
      <c r="H847">
        <f t="shared" si="65"/>
        <v>1870.6000000000001</v>
      </c>
      <c r="I847" s="3">
        <f t="shared" si="66"/>
        <v>9950</v>
      </c>
      <c r="J847" s="1">
        <f t="shared" si="67"/>
        <v>550</v>
      </c>
      <c r="K847" s="1">
        <f t="shared" si="68"/>
        <v>5472500</v>
      </c>
      <c r="L847" s="2" t="str">
        <f t="shared" si="69"/>
        <v>Premium</v>
      </c>
    </row>
    <row r="848" spans="1:12" x14ac:dyDescent="0.3">
      <c r="A848" t="s">
        <v>1519</v>
      </c>
      <c r="B848" t="s">
        <v>1403</v>
      </c>
      <c r="C848" s="3">
        <v>4.0999999999999996</v>
      </c>
      <c r="D848" s="3">
        <v>1273</v>
      </c>
      <c r="E848" t="s">
        <v>1404</v>
      </c>
      <c r="F848" s="3">
        <v>19.0337949</v>
      </c>
      <c r="G848">
        <v>73.063767099999893</v>
      </c>
      <c r="H848">
        <f t="shared" si="65"/>
        <v>5219.2999999999993</v>
      </c>
      <c r="I848" s="3">
        <f t="shared" si="66"/>
        <v>31825</v>
      </c>
      <c r="J848" s="1">
        <f t="shared" si="67"/>
        <v>350</v>
      </c>
      <c r="K848" s="1">
        <f t="shared" si="68"/>
        <v>11138750</v>
      </c>
      <c r="L848" s="2" t="str">
        <f t="shared" si="69"/>
        <v>Popular</v>
      </c>
    </row>
    <row r="849" spans="1:12" x14ac:dyDescent="0.3">
      <c r="A849" t="s">
        <v>1519</v>
      </c>
      <c r="B849" t="s">
        <v>1532</v>
      </c>
      <c r="C849" s="3">
        <v>4.7</v>
      </c>
      <c r="D849" s="3">
        <v>284</v>
      </c>
      <c r="E849" t="s">
        <v>1533</v>
      </c>
      <c r="F849" s="3">
        <v>19.045189199999999</v>
      </c>
      <c r="G849">
        <v>73.063368199999999</v>
      </c>
      <c r="H849">
        <f t="shared" si="65"/>
        <v>1334.8</v>
      </c>
      <c r="I849" s="3">
        <f t="shared" si="66"/>
        <v>7100</v>
      </c>
      <c r="J849" s="1">
        <f t="shared" si="67"/>
        <v>550</v>
      </c>
      <c r="K849" s="1">
        <f t="shared" si="68"/>
        <v>3905000</v>
      </c>
      <c r="L849" s="2" t="str">
        <f t="shared" si="69"/>
        <v>Premium</v>
      </c>
    </row>
    <row r="850" spans="1:12" x14ac:dyDescent="0.3">
      <c r="A850" t="s">
        <v>1519</v>
      </c>
      <c r="B850" t="s">
        <v>1534</v>
      </c>
      <c r="C850" s="3">
        <v>4.5999999999999996</v>
      </c>
      <c r="D850" s="3">
        <v>339</v>
      </c>
      <c r="E850" t="s">
        <v>1535</v>
      </c>
      <c r="F850" s="3">
        <v>19.048718000000001</v>
      </c>
      <c r="G850">
        <v>73.075754500000002</v>
      </c>
      <c r="H850">
        <f t="shared" si="65"/>
        <v>1559.3999999999999</v>
      </c>
      <c r="I850" s="3">
        <f t="shared" si="66"/>
        <v>8475</v>
      </c>
      <c r="J850" s="1">
        <f t="shared" si="67"/>
        <v>450</v>
      </c>
      <c r="K850" s="1">
        <f t="shared" si="68"/>
        <v>3813750</v>
      </c>
      <c r="L850" s="2" t="str">
        <f t="shared" si="69"/>
        <v>Premium</v>
      </c>
    </row>
    <row r="851" spans="1:12" x14ac:dyDescent="0.3">
      <c r="A851" t="s">
        <v>1519</v>
      </c>
      <c r="B851" t="s">
        <v>1536</v>
      </c>
      <c r="C851" s="3">
        <v>4</v>
      </c>
      <c r="D851" s="3">
        <v>504</v>
      </c>
      <c r="E851" t="s">
        <v>1537</v>
      </c>
      <c r="F851" s="3">
        <v>19.047885300000001</v>
      </c>
      <c r="G851">
        <v>73.068530199999998</v>
      </c>
      <c r="H851">
        <f t="shared" si="65"/>
        <v>2016</v>
      </c>
      <c r="I851" s="3">
        <f t="shared" si="66"/>
        <v>12600</v>
      </c>
      <c r="J851" s="1">
        <f t="shared" si="67"/>
        <v>350</v>
      </c>
      <c r="K851" s="1">
        <f t="shared" si="68"/>
        <v>4410000</v>
      </c>
      <c r="L851" s="2" t="str">
        <f t="shared" si="69"/>
        <v>Popular</v>
      </c>
    </row>
    <row r="852" spans="1:12" x14ac:dyDescent="0.3">
      <c r="A852" t="s">
        <v>1519</v>
      </c>
      <c r="B852" t="s">
        <v>1538</v>
      </c>
      <c r="C852" s="3">
        <v>4.5999999999999996</v>
      </c>
      <c r="D852" s="3">
        <v>194</v>
      </c>
      <c r="E852" t="s">
        <v>1539</v>
      </c>
      <c r="F852" s="3">
        <v>19.033505000000002</v>
      </c>
      <c r="G852">
        <v>73.065545999999998</v>
      </c>
      <c r="H852">
        <f t="shared" si="65"/>
        <v>892.4</v>
      </c>
      <c r="I852" s="3">
        <f t="shared" si="66"/>
        <v>4850</v>
      </c>
      <c r="J852" s="1">
        <f t="shared" si="67"/>
        <v>450</v>
      </c>
      <c r="K852" s="1">
        <f t="shared" si="68"/>
        <v>2182500</v>
      </c>
      <c r="L852" s="2" t="str">
        <f t="shared" si="69"/>
        <v>Premium</v>
      </c>
    </row>
    <row r="853" spans="1:12" x14ac:dyDescent="0.3">
      <c r="A853" t="s">
        <v>1519</v>
      </c>
      <c r="B853" t="s">
        <v>1540</v>
      </c>
      <c r="C853" s="3">
        <v>4.4000000000000004</v>
      </c>
      <c r="D853" s="3">
        <v>73</v>
      </c>
      <c r="E853" t="s">
        <v>1541</v>
      </c>
      <c r="F853" s="3">
        <v>19.032056399999998</v>
      </c>
      <c r="G853">
        <v>73.066987099999906</v>
      </c>
      <c r="H853">
        <f t="shared" si="65"/>
        <v>321.20000000000005</v>
      </c>
      <c r="I853" s="3">
        <f t="shared" si="66"/>
        <v>1825</v>
      </c>
      <c r="J853" s="1">
        <f t="shared" si="67"/>
        <v>450</v>
      </c>
      <c r="K853" s="1">
        <f t="shared" si="68"/>
        <v>821250</v>
      </c>
      <c r="L853" s="2" t="str">
        <f t="shared" si="69"/>
        <v>Popular</v>
      </c>
    </row>
    <row r="854" spans="1:12" x14ac:dyDescent="0.3">
      <c r="A854" t="s">
        <v>1519</v>
      </c>
      <c r="B854" t="s">
        <v>1542</v>
      </c>
      <c r="C854" s="3">
        <v>4.5999999999999996</v>
      </c>
      <c r="D854" s="3">
        <v>260</v>
      </c>
      <c r="E854" t="s">
        <v>1543</v>
      </c>
      <c r="F854" s="3">
        <v>19.030774099999999</v>
      </c>
      <c r="G854">
        <v>73.066622899999999</v>
      </c>
      <c r="H854">
        <f t="shared" si="65"/>
        <v>1196</v>
      </c>
      <c r="I854" s="3">
        <f t="shared" si="66"/>
        <v>6500</v>
      </c>
      <c r="J854" s="1">
        <f t="shared" si="67"/>
        <v>450</v>
      </c>
      <c r="K854" s="1">
        <f t="shared" si="68"/>
        <v>2925000</v>
      </c>
      <c r="L854" s="2" t="str">
        <f t="shared" si="69"/>
        <v>Premium</v>
      </c>
    </row>
    <row r="855" spans="1:12" x14ac:dyDescent="0.3">
      <c r="A855" t="s">
        <v>1519</v>
      </c>
      <c r="B855" t="s">
        <v>1544</v>
      </c>
      <c r="C855" s="3">
        <v>4.7</v>
      </c>
      <c r="D855" s="3">
        <v>112</v>
      </c>
      <c r="E855" t="s">
        <v>1545</v>
      </c>
      <c r="F855" s="3">
        <v>19.029751300000001</v>
      </c>
      <c r="G855">
        <v>73.063547900000003</v>
      </c>
      <c r="H855">
        <f t="shared" si="65"/>
        <v>526.4</v>
      </c>
      <c r="I855" s="3">
        <f t="shared" si="66"/>
        <v>2800</v>
      </c>
      <c r="J855" s="1">
        <f t="shared" si="67"/>
        <v>550</v>
      </c>
      <c r="K855" s="1">
        <f t="shared" si="68"/>
        <v>1540000</v>
      </c>
      <c r="L855" s="2" t="str">
        <f t="shared" si="69"/>
        <v>Premium</v>
      </c>
    </row>
    <row r="856" spans="1:12" x14ac:dyDescent="0.3">
      <c r="A856" t="s">
        <v>1519</v>
      </c>
      <c r="B856" t="s">
        <v>1546</v>
      </c>
      <c r="C856" s="3">
        <v>4.7</v>
      </c>
      <c r="D856" s="3">
        <v>189</v>
      </c>
      <c r="E856" t="s">
        <v>1547</v>
      </c>
      <c r="F856" s="3">
        <v>19.052885799999999</v>
      </c>
      <c r="G856">
        <v>73.066831800000003</v>
      </c>
      <c r="H856">
        <f t="shared" si="65"/>
        <v>888.30000000000007</v>
      </c>
      <c r="I856" s="3">
        <f t="shared" si="66"/>
        <v>4725</v>
      </c>
      <c r="J856" s="1">
        <f t="shared" si="67"/>
        <v>550</v>
      </c>
      <c r="K856" s="1">
        <f t="shared" si="68"/>
        <v>2598750</v>
      </c>
      <c r="L856" s="2" t="str">
        <f t="shared" si="69"/>
        <v>Premium</v>
      </c>
    </row>
    <row r="857" spans="1:12" x14ac:dyDescent="0.3">
      <c r="A857" t="s">
        <v>1519</v>
      </c>
      <c r="B857" t="s">
        <v>1548</v>
      </c>
      <c r="C857" s="3">
        <v>4.9000000000000004</v>
      </c>
      <c r="D857" s="3">
        <v>121</v>
      </c>
      <c r="E857" t="s">
        <v>1549</v>
      </c>
      <c r="F857" s="3">
        <v>19.029661900000001</v>
      </c>
      <c r="G857">
        <v>73.063317299999994</v>
      </c>
      <c r="H857">
        <f t="shared" si="65"/>
        <v>592.90000000000009</v>
      </c>
      <c r="I857" s="3">
        <f t="shared" si="66"/>
        <v>3025</v>
      </c>
      <c r="J857" s="1">
        <f t="shared" si="67"/>
        <v>550</v>
      </c>
      <c r="K857" s="1">
        <f t="shared" si="68"/>
        <v>1663750</v>
      </c>
      <c r="L857" s="2" t="str">
        <f t="shared" si="69"/>
        <v>Premium</v>
      </c>
    </row>
    <row r="858" spans="1:12" x14ac:dyDescent="0.3">
      <c r="A858" t="s">
        <v>1519</v>
      </c>
      <c r="B858" t="s">
        <v>1550</v>
      </c>
      <c r="C858" s="3">
        <v>4.9000000000000004</v>
      </c>
      <c r="D858" s="3">
        <v>42</v>
      </c>
      <c r="E858" t="s">
        <v>1551</v>
      </c>
      <c r="F858" s="3">
        <v>19.033672899999999</v>
      </c>
      <c r="G858">
        <v>73.069488800000002</v>
      </c>
      <c r="H858">
        <f t="shared" si="65"/>
        <v>205.8</v>
      </c>
      <c r="I858" s="3">
        <f t="shared" si="66"/>
        <v>1050</v>
      </c>
      <c r="J858" s="1">
        <f t="shared" si="67"/>
        <v>550</v>
      </c>
      <c r="K858" s="1">
        <f t="shared" si="68"/>
        <v>577500</v>
      </c>
      <c r="L858" s="2" t="str">
        <f t="shared" si="69"/>
        <v>Premium</v>
      </c>
    </row>
    <row r="859" spans="1:12" x14ac:dyDescent="0.3">
      <c r="A859" t="s">
        <v>1519</v>
      </c>
      <c r="B859" t="s">
        <v>1552</v>
      </c>
      <c r="C859" s="3">
        <v>4</v>
      </c>
      <c r="D859" s="3">
        <v>243</v>
      </c>
      <c r="E859" t="s">
        <v>1553</v>
      </c>
      <c r="F859" s="3">
        <v>19.049991899999998</v>
      </c>
      <c r="G859">
        <v>73.064977200000001</v>
      </c>
      <c r="H859">
        <f t="shared" si="65"/>
        <v>972</v>
      </c>
      <c r="I859" s="3">
        <f t="shared" si="66"/>
        <v>6075</v>
      </c>
      <c r="J859" s="1">
        <f t="shared" si="67"/>
        <v>350</v>
      </c>
      <c r="K859" s="1">
        <f t="shared" si="68"/>
        <v>2126250</v>
      </c>
      <c r="L859" s="2" t="str">
        <f t="shared" si="69"/>
        <v>Popular</v>
      </c>
    </row>
    <row r="860" spans="1:12" x14ac:dyDescent="0.3">
      <c r="A860" t="s">
        <v>1519</v>
      </c>
      <c r="B860" t="s">
        <v>1343</v>
      </c>
      <c r="C860" s="3">
        <v>4.4000000000000004</v>
      </c>
      <c r="D860" s="3">
        <v>1068</v>
      </c>
      <c r="E860" t="s">
        <v>1344</v>
      </c>
      <c r="F860" s="3">
        <v>19.007045699999999</v>
      </c>
      <c r="G860">
        <v>73.033661699999996</v>
      </c>
      <c r="H860">
        <f t="shared" si="65"/>
        <v>4699.2000000000007</v>
      </c>
      <c r="I860" s="3">
        <f t="shared" si="66"/>
        <v>26700</v>
      </c>
      <c r="J860" s="1">
        <f t="shared" si="67"/>
        <v>450</v>
      </c>
      <c r="K860" s="1">
        <f t="shared" si="68"/>
        <v>12015000</v>
      </c>
      <c r="L860" s="2" t="str">
        <f t="shared" si="69"/>
        <v>Popular</v>
      </c>
    </row>
    <row r="861" spans="1:12" x14ac:dyDescent="0.3">
      <c r="A861" t="s">
        <v>1519</v>
      </c>
      <c r="B861" t="s">
        <v>1357</v>
      </c>
      <c r="C861" s="3">
        <v>4.4000000000000004</v>
      </c>
      <c r="D861" s="3">
        <v>565</v>
      </c>
      <c r="E861" t="s">
        <v>1358</v>
      </c>
      <c r="F861" s="3">
        <v>19.007391200000001</v>
      </c>
      <c r="G861">
        <v>73.034680999999907</v>
      </c>
      <c r="H861">
        <f t="shared" si="65"/>
        <v>2486</v>
      </c>
      <c r="I861" s="3">
        <f t="shared" si="66"/>
        <v>14125</v>
      </c>
      <c r="J861" s="1">
        <f t="shared" si="67"/>
        <v>450</v>
      </c>
      <c r="K861" s="1">
        <f t="shared" si="68"/>
        <v>6356250</v>
      </c>
      <c r="L861" s="2" t="str">
        <f t="shared" si="69"/>
        <v>Popular</v>
      </c>
    </row>
    <row r="862" spans="1:12" x14ac:dyDescent="0.3">
      <c r="A862" t="s">
        <v>1519</v>
      </c>
      <c r="B862" t="s">
        <v>1554</v>
      </c>
      <c r="C862" s="3">
        <v>4.3</v>
      </c>
      <c r="D862" s="3">
        <v>936</v>
      </c>
      <c r="E862" t="s">
        <v>1555</v>
      </c>
      <c r="F862" s="3">
        <v>19.035401499999999</v>
      </c>
      <c r="G862">
        <v>73.067321399999997</v>
      </c>
      <c r="H862">
        <f t="shared" si="65"/>
        <v>4024.7999999999997</v>
      </c>
      <c r="I862" s="3">
        <f t="shared" si="66"/>
        <v>23400</v>
      </c>
      <c r="J862" s="1">
        <f t="shared" si="67"/>
        <v>350</v>
      </c>
      <c r="K862" s="1">
        <f t="shared" si="68"/>
        <v>8190000</v>
      </c>
      <c r="L862" s="2" t="str">
        <f t="shared" si="69"/>
        <v>Popular</v>
      </c>
    </row>
    <row r="863" spans="1:12" x14ac:dyDescent="0.3">
      <c r="A863" t="s">
        <v>1519</v>
      </c>
      <c r="B863" t="s">
        <v>1556</v>
      </c>
      <c r="C863" s="3">
        <v>4.3</v>
      </c>
      <c r="D863" s="3">
        <v>68</v>
      </c>
      <c r="E863" t="s">
        <v>1557</v>
      </c>
      <c r="F863" s="3">
        <v>19.0550818</v>
      </c>
      <c r="G863">
        <v>73.067111199999999</v>
      </c>
      <c r="H863">
        <f t="shared" si="65"/>
        <v>292.39999999999998</v>
      </c>
      <c r="I863" s="3">
        <f t="shared" si="66"/>
        <v>1700</v>
      </c>
      <c r="J863" s="1">
        <f t="shared" si="67"/>
        <v>350</v>
      </c>
      <c r="K863" s="1">
        <f t="shared" si="68"/>
        <v>595000</v>
      </c>
      <c r="L863" s="2" t="str">
        <f t="shared" si="69"/>
        <v>Popular</v>
      </c>
    </row>
    <row r="864" spans="1:12" x14ac:dyDescent="0.3">
      <c r="A864" t="s">
        <v>1519</v>
      </c>
      <c r="B864" t="s">
        <v>1361</v>
      </c>
      <c r="C864" s="3">
        <v>4.4000000000000004</v>
      </c>
      <c r="D864" s="3">
        <v>487</v>
      </c>
      <c r="E864" t="s">
        <v>1362</v>
      </c>
      <c r="F864" s="3">
        <v>19.0077094</v>
      </c>
      <c r="G864">
        <v>73.035687999999993</v>
      </c>
      <c r="H864">
        <f t="shared" si="65"/>
        <v>2142.8000000000002</v>
      </c>
      <c r="I864" s="3">
        <f t="shared" si="66"/>
        <v>12175</v>
      </c>
      <c r="J864" s="1">
        <f t="shared" si="67"/>
        <v>450</v>
      </c>
      <c r="K864" s="1">
        <f t="shared" si="68"/>
        <v>5478750</v>
      </c>
      <c r="L864" s="2" t="str">
        <f t="shared" si="69"/>
        <v>Popular</v>
      </c>
    </row>
    <row r="865" spans="1:12" x14ac:dyDescent="0.3">
      <c r="A865" t="s">
        <v>1519</v>
      </c>
      <c r="B865" t="s">
        <v>1558</v>
      </c>
      <c r="C865" s="3">
        <v>4.4000000000000004</v>
      </c>
      <c r="D865" s="3">
        <v>39</v>
      </c>
      <c r="E865" t="s">
        <v>1559</v>
      </c>
      <c r="F865" s="3">
        <v>19.029829500000002</v>
      </c>
      <c r="G865">
        <v>73.065351699999994</v>
      </c>
      <c r="H865">
        <f t="shared" si="65"/>
        <v>171.60000000000002</v>
      </c>
      <c r="I865" s="3">
        <f t="shared" si="66"/>
        <v>975</v>
      </c>
      <c r="J865" s="1">
        <f t="shared" si="67"/>
        <v>450</v>
      </c>
      <c r="K865" s="1">
        <f t="shared" si="68"/>
        <v>438750</v>
      </c>
      <c r="L865" s="2" t="str">
        <f t="shared" si="69"/>
        <v>Popular</v>
      </c>
    </row>
    <row r="866" spans="1:12" x14ac:dyDescent="0.3">
      <c r="A866" t="s">
        <v>1519</v>
      </c>
      <c r="B866" t="s">
        <v>1288</v>
      </c>
      <c r="C866" s="3">
        <v>4.3</v>
      </c>
      <c r="D866" s="3">
        <v>1180</v>
      </c>
      <c r="E866" t="s">
        <v>1289</v>
      </c>
      <c r="F866" s="3">
        <v>19.015790599999999</v>
      </c>
      <c r="G866">
        <v>73.041221499999907</v>
      </c>
      <c r="H866">
        <f t="shared" si="65"/>
        <v>5074</v>
      </c>
      <c r="I866" s="3">
        <f t="shared" si="66"/>
        <v>29500</v>
      </c>
      <c r="J866" s="1">
        <f t="shared" si="67"/>
        <v>350</v>
      </c>
      <c r="K866" s="1">
        <f t="shared" si="68"/>
        <v>10325000</v>
      </c>
      <c r="L866" s="2" t="str">
        <f t="shared" si="69"/>
        <v>Popular</v>
      </c>
    </row>
    <row r="867" spans="1:12" x14ac:dyDescent="0.3">
      <c r="A867" t="s">
        <v>1519</v>
      </c>
      <c r="B867" t="s">
        <v>1560</v>
      </c>
      <c r="C867" s="3">
        <v>4</v>
      </c>
      <c r="D867" s="3">
        <v>821</v>
      </c>
      <c r="E867" t="s">
        <v>1561</v>
      </c>
      <c r="F867" s="3">
        <v>19.028469300000001</v>
      </c>
      <c r="G867">
        <v>73.059371099999893</v>
      </c>
      <c r="H867">
        <f t="shared" si="65"/>
        <v>3284</v>
      </c>
      <c r="I867" s="3">
        <f t="shared" si="66"/>
        <v>20525</v>
      </c>
      <c r="J867" s="1">
        <f t="shared" si="67"/>
        <v>350</v>
      </c>
      <c r="K867" s="1">
        <f t="shared" si="68"/>
        <v>7183750</v>
      </c>
      <c r="L867" s="2" t="str">
        <f t="shared" si="69"/>
        <v>Popular</v>
      </c>
    </row>
    <row r="868" spans="1:12" x14ac:dyDescent="0.3">
      <c r="A868" t="s">
        <v>1519</v>
      </c>
      <c r="B868" t="s">
        <v>1562</v>
      </c>
      <c r="C868" s="3">
        <v>4.2</v>
      </c>
      <c r="D868" s="3">
        <v>1194</v>
      </c>
      <c r="E868" t="s">
        <v>1563</v>
      </c>
      <c r="F868" s="3">
        <v>19.033762200000002</v>
      </c>
      <c r="G868">
        <v>73.063755399999906</v>
      </c>
      <c r="H868">
        <f t="shared" si="65"/>
        <v>5014.8</v>
      </c>
      <c r="I868" s="3">
        <f t="shared" si="66"/>
        <v>29850</v>
      </c>
      <c r="J868" s="1">
        <f t="shared" si="67"/>
        <v>350</v>
      </c>
      <c r="K868" s="1">
        <f t="shared" si="68"/>
        <v>10447500</v>
      </c>
      <c r="L868" s="2" t="str">
        <f t="shared" si="69"/>
        <v>Popular</v>
      </c>
    </row>
    <row r="869" spans="1:12" x14ac:dyDescent="0.3">
      <c r="A869" t="s">
        <v>1519</v>
      </c>
      <c r="B869" t="s">
        <v>145</v>
      </c>
      <c r="C869" s="3">
        <v>4.0999999999999996</v>
      </c>
      <c r="D869" s="3">
        <v>1008</v>
      </c>
      <c r="E869" t="s">
        <v>1564</v>
      </c>
      <c r="F869" s="3">
        <v>19.030655200000002</v>
      </c>
      <c r="G869">
        <v>73.064812899999893</v>
      </c>
      <c r="H869">
        <f t="shared" si="65"/>
        <v>4132.7999999999993</v>
      </c>
      <c r="I869" s="3">
        <f t="shared" si="66"/>
        <v>25200</v>
      </c>
      <c r="J869" s="1">
        <f t="shared" si="67"/>
        <v>350</v>
      </c>
      <c r="K869" s="1">
        <f t="shared" si="68"/>
        <v>8820000</v>
      </c>
      <c r="L869" s="2" t="str">
        <f t="shared" si="69"/>
        <v>Popular</v>
      </c>
    </row>
    <row r="870" spans="1:12" x14ac:dyDescent="0.3">
      <c r="A870" t="s">
        <v>1519</v>
      </c>
      <c r="B870" t="s">
        <v>1565</v>
      </c>
      <c r="C870" s="3">
        <v>4.3</v>
      </c>
      <c r="D870" s="3">
        <v>65</v>
      </c>
      <c r="E870" t="s">
        <v>1566</v>
      </c>
      <c r="F870" s="3">
        <v>19.033505000000002</v>
      </c>
      <c r="G870">
        <v>73.065545999999998</v>
      </c>
      <c r="H870">
        <f t="shared" si="65"/>
        <v>279.5</v>
      </c>
      <c r="I870" s="3">
        <f t="shared" si="66"/>
        <v>1625</v>
      </c>
      <c r="J870" s="1">
        <f t="shared" si="67"/>
        <v>350</v>
      </c>
      <c r="K870" s="1">
        <f t="shared" si="68"/>
        <v>568750</v>
      </c>
      <c r="L870" s="2" t="str">
        <f t="shared" si="69"/>
        <v>Popular</v>
      </c>
    </row>
    <row r="871" spans="1:12" x14ac:dyDescent="0.3">
      <c r="A871" t="s">
        <v>1519</v>
      </c>
      <c r="B871" t="s">
        <v>1464</v>
      </c>
      <c r="C871" s="3">
        <v>4.8</v>
      </c>
      <c r="D871" s="3">
        <v>131</v>
      </c>
      <c r="E871" t="s">
        <v>1465</v>
      </c>
      <c r="F871" s="3">
        <v>19.009671699999998</v>
      </c>
      <c r="G871">
        <v>73.099554900000001</v>
      </c>
      <c r="H871">
        <f t="shared" si="65"/>
        <v>628.79999999999995</v>
      </c>
      <c r="I871" s="3">
        <f t="shared" si="66"/>
        <v>3275</v>
      </c>
      <c r="J871" s="1">
        <f t="shared" si="67"/>
        <v>550</v>
      </c>
      <c r="K871" s="1">
        <f t="shared" si="68"/>
        <v>1801250</v>
      </c>
      <c r="L871" s="2" t="str">
        <f t="shared" si="69"/>
        <v>Premium</v>
      </c>
    </row>
    <row r="872" spans="1:12" x14ac:dyDescent="0.3">
      <c r="A872" t="s">
        <v>1519</v>
      </c>
      <c r="B872" t="s">
        <v>1567</v>
      </c>
      <c r="C872" s="3">
        <v>4.5999999999999996</v>
      </c>
      <c r="D872" s="3">
        <v>53</v>
      </c>
      <c r="E872" t="s">
        <v>1568</v>
      </c>
      <c r="F872" s="3">
        <v>19.044675900000001</v>
      </c>
      <c r="G872">
        <v>73.063241500000004</v>
      </c>
      <c r="H872">
        <f t="shared" si="65"/>
        <v>243.79999999999998</v>
      </c>
      <c r="I872" s="3">
        <f t="shared" si="66"/>
        <v>1325</v>
      </c>
      <c r="J872" s="1">
        <f t="shared" si="67"/>
        <v>450</v>
      </c>
      <c r="K872" s="1">
        <f t="shared" si="68"/>
        <v>596250</v>
      </c>
      <c r="L872" s="2" t="str">
        <f t="shared" si="69"/>
        <v>Premium</v>
      </c>
    </row>
    <row r="873" spans="1:12" x14ac:dyDescent="0.3">
      <c r="A873" t="s">
        <v>1519</v>
      </c>
      <c r="B873" t="s">
        <v>1351</v>
      </c>
      <c r="C873" s="3">
        <v>4.2</v>
      </c>
      <c r="D873" s="3">
        <v>1599</v>
      </c>
      <c r="E873" t="s">
        <v>1352</v>
      </c>
      <c r="F873" s="3">
        <v>19.010225200000001</v>
      </c>
      <c r="G873">
        <v>73.012336500000004</v>
      </c>
      <c r="H873">
        <f t="shared" si="65"/>
        <v>6715.8</v>
      </c>
      <c r="I873" s="3">
        <f t="shared" si="66"/>
        <v>39975</v>
      </c>
      <c r="J873" s="1">
        <f t="shared" si="67"/>
        <v>350</v>
      </c>
      <c r="K873" s="1">
        <f t="shared" si="68"/>
        <v>13991250</v>
      </c>
      <c r="L873" s="2" t="str">
        <f t="shared" si="69"/>
        <v>Popular</v>
      </c>
    </row>
    <row r="874" spans="1:12" x14ac:dyDescent="0.3">
      <c r="A874" t="s">
        <v>1519</v>
      </c>
      <c r="B874" t="s">
        <v>1569</v>
      </c>
      <c r="C874" s="3">
        <v>4.5999999999999996</v>
      </c>
      <c r="D874" s="3">
        <v>56</v>
      </c>
      <c r="E874" t="s">
        <v>1570</v>
      </c>
      <c r="F874" s="3">
        <v>19.0693126</v>
      </c>
      <c r="G874">
        <v>73.076232500000003</v>
      </c>
      <c r="H874">
        <f t="shared" si="65"/>
        <v>257.59999999999997</v>
      </c>
      <c r="I874" s="3">
        <f t="shared" si="66"/>
        <v>1400</v>
      </c>
      <c r="J874" s="1">
        <f t="shared" si="67"/>
        <v>450</v>
      </c>
      <c r="K874" s="1">
        <f t="shared" si="68"/>
        <v>630000</v>
      </c>
      <c r="L874" s="2" t="str">
        <f t="shared" si="69"/>
        <v>Premium</v>
      </c>
    </row>
    <row r="875" spans="1:12" x14ac:dyDescent="0.3">
      <c r="A875" t="s">
        <v>1519</v>
      </c>
      <c r="B875" t="s">
        <v>1571</v>
      </c>
      <c r="C875" s="3">
        <v>4.7</v>
      </c>
      <c r="D875" s="3">
        <v>19</v>
      </c>
      <c r="E875" t="s">
        <v>1572</v>
      </c>
      <c r="F875" s="3">
        <v>19.045449399999999</v>
      </c>
      <c r="G875">
        <v>73.0810168</v>
      </c>
      <c r="H875">
        <f t="shared" si="65"/>
        <v>89.3</v>
      </c>
      <c r="I875" s="3">
        <f t="shared" si="66"/>
        <v>475</v>
      </c>
      <c r="J875" s="1">
        <f t="shared" si="67"/>
        <v>550</v>
      </c>
      <c r="K875" s="1">
        <f t="shared" si="68"/>
        <v>261250</v>
      </c>
      <c r="L875" s="2" t="str">
        <f t="shared" si="69"/>
        <v>Premium</v>
      </c>
    </row>
    <row r="876" spans="1:12" x14ac:dyDescent="0.3">
      <c r="A876" t="s">
        <v>1519</v>
      </c>
      <c r="B876" t="s">
        <v>1040</v>
      </c>
      <c r="C876" s="3">
        <v>4.4000000000000004</v>
      </c>
      <c r="D876" s="3">
        <v>3152</v>
      </c>
      <c r="E876" t="s">
        <v>1041</v>
      </c>
      <c r="F876" s="3">
        <v>19.061594199999998</v>
      </c>
      <c r="G876">
        <v>72.899740999999906</v>
      </c>
      <c r="H876">
        <f t="shared" si="65"/>
        <v>13868.800000000001</v>
      </c>
      <c r="I876" s="3">
        <f t="shared" si="66"/>
        <v>78800</v>
      </c>
      <c r="J876" s="1">
        <f t="shared" si="67"/>
        <v>450</v>
      </c>
      <c r="K876" s="1">
        <f t="shared" si="68"/>
        <v>35460000</v>
      </c>
      <c r="L876" s="2" t="str">
        <f t="shared" si="69"/>
        <v>Popular</v>
      </c>
    </row>
    <row r="877" spans="1:12" x14ac:dyDescent="0.3">
      <c r="A877" t="s">
        <v>1519</v>
      </c>
      <c r="B877" t="s">
        <v>1391</v>
      </c>
      <c r="C877" s="3">
        <v>4.4000000000000004</v>
      </c>
      <c r="D877" s="3">
        <v>78</v>
      </c>
      <c r="E877" t="s">
        <v>1573</v>
      </c>
      <c r="F877" s="3">
        <v>19.0298105</v>
      </c>
      <c r="G877">
        <v>73.065200199999893</v>
      </c>
      <c r="H877">
        <f t="shared" si="65"/>
        <v>343.20000000000005</v>
      </c>
      <c r="I877" s="3">
        <f t="shared" si="66"/>
        <v>1950</v>
      </c>
      <c r="J877" s="1">
        <f t="shared" si="67"/>
        <v>450</v>
      </c>
      <c r="K877" s="1">
        <f t="shared" si="68"/>
        <v>877500</v>
      </c>
      <c r="L877" s="2" t="str">
        <f t="shared" si="69"/>
        <v>Popular</v>
      </c>
    </row>
    <row r="878" spans="1:12" x14ac:dyDescent="0.3">
      <c r="A878" t="s">
        <v>1519</v>
      </c>
      <c r="B878" t="s">
        <v>1574</v>
      </c>
      <c r="C878" s="3">
        <v>3.2</v>
      </c>
      <c r="D878" s="3">
        <v>1702</v>
      </c>
      <c r="E878" t="s">
        <v>1575</v>
      </c>
      <c r="F878" s="3">
        <v>19.035737399999999</v>
      </c>
      <c r="G878">
        <v>73.063070499999995</v>
      </c>
      <c r="H878">
        <f t="shared" si="65"/>
        <v>5446.4000000000005</v>
      </c>
      <c r="I878" s="3">
        <f t="shared" si="66"/>
        <v>42550</v>
      </c>
      <c r="J878" s="1">
        <f t="shared" si="67"/>
        <v>350</v>
      </c>
      <c r="K878" s="1">
        <f t="shared" si="68"/>
        <v>14892500</v>
      </c>
      <c r="L878" s="2" t="str">
        <f t="shared" si="69"/>
        <v>Average</v>
      </c>
    </row>
    <row r="879" spans="1:12" x14ac:dyDescent="0.3">
      <c r="A879" t="s">
        <v>1519</v>
      </c>
      <c r="B879" t="s">
        <v>1576</v>
      </c>
      <c r="C879" s="3">
        <v>4.9000000000000004</v>
      </c>
      <c r="D879" s="3">
        <v>13</v>
      </c>
      <c r="E879" t="s">
        <v>1577</v>
      </c>
      <c r="F879" s="3">
        <v>19.0324454</v>
      </c>
      <c r="G879">
        <v>73.060091200000002</v>
      </c>
      <c r="H879">
        <f t="shared" si="65"/>
        <v>63.7</v>
      </c>
      <c r="I879" s="3">
        <f t="shared" si="66"/>
        <v>325</v>
      </c>
      <c r="J879" s="1">
        <f t="shared" si="67"/>
        <v>550</v>
      </c>
      <c r="K879" s="1">
        <f t="shared" si="68"/>
        <v>178750</v>
      </c>
      <c r="L879" s="2" t="str">
        <f t="shared" si="69"/>
        <v>Premium</v>
      </c>
    </row>
    <row r="880" spans="1:12" x14ac:dyDescent="0.3">
      <c r="A880" t="s">
        <v>1519</v>
      </c>
      <c r="B880" t="s">
        <v>53</v>
      </c>
      <c r="C880" s="3">
        <v>4.9000000000000004</v>
      </c>
      <c r="D880" s="3">
        <v>420</v>
      </c>
      <c r="E880" t="s">
        <v>855</v>
      </c>
      <c r="F880" s="3">
        <v>19.0718611</v>
      </c>
      <c r="G880">
        <v>72.876555600000003</v>
      </c>
      <c r="H880">
        <f t="shared" si="65"/>
        <v>2058</v>
      </c>
      <c r="I880" s="3">
        <f t="shared" si="66"/>
        <v>10500</v>
      </c>
      <c r="J880" s="1">
        <f t="shared" si="67"/>
        <v>550</v>
      </c>
      <c r="K880" s="1">
        <f t="shared" si="68"/>
        <v>5775000</v>
      </c>
      <c r="L880" s="2" t="str">
        <f t="shared" si="69"/>
        <v>Premium</v>
      </c>
    </row>
    <row r="881" spans="1:12" x14ac:dyDescent="0.3">
      <c r="A881" t="s">
        <v>1519</v>
      </c>
      <c r="B881" t="s">
        <v>1339</v>
      </c>
      <c r="C881" s="3">
        <v>4.4000000000000004</v>
      </c>
      <c r="D881" s="3">
        <v>96</v>
      </c>
      <c r="E881" t="s">
        <v>1340</v>
      </c>
      <c r="F881" s="3">
        <v>19.023695</v>
      </c>
      <c r="G881">
        <v>73.0317656</v>
      </c>
      <c r="H881">
        <f t="shared" si="65"/>
        <v>422.40000000000003</v>
      </c>
      <c r="I881" s="3">
        <f t="shared" si="66"/>
        <v>2400</v>
      </c>
      <c r="J881" s="1">
        <f t="shared" si="67"/>
        <v>450</v>
      </c>
      <c r="K881" s="1">
        <f t="shared" si="68"/>
        <v>1080000</v>
      </c>
      <c r="L881" s="2" t="str">
        <f t="shared" si="69"/>
        <v>Popular</v>
      </c>
    </row>
    <row r="882" spans="1:12" x14ac:dyDescent="0.3">
      <c r="A882" t="s">
        <v>1519</v>
      </c>
      <c r="B882" t="s">
        <v>361</v>
      </c>
      <c r="C882" s="3">
        <v>4.7</v>
      </c>
      <c r="D882" s="3">
        <v>232</v>
      </c>
      <c r="E882" t="s">
        <v>1578</v>
      </c>
      <c r="F882" s="3">
        <v>19.034163499999998</v>
      </c>
      <c r="G882">
        <v>73.062940699999999</v>
      </c>
      <c r="H882">
        <f t="shared" si="65"/>
        <v>1090.4000000000001</v>
      </c>
      <c r="I882" s="3">
        <f t="shared" si="66"/>
        <v>5800</v>
      </c>
      <c r="J882" s="1">
        <f t="shared" si="67"/>
        <v>550</v>
      </c>
      <c r="K882" s="1">
        <f t="shared" si="68"/>
        <v>3190000</v>
      </c>
      <c r="L882" s="2" t="str">
        <f t="shared" si="69"/>
        <v>Premium</v>
      </c>
    </row>
    <row r="883" spans="1:12" x14ac:dyDescent="0.3">
      <c r="A883" t="s">
        <v>1519</v>
      </c>
      <c r="B883" t="s">
        <v>1579</v>
      </c>
      <c r="C883" s="3">
        <v>4.7</v>
      </c>
      <c r="D883" s="3">
        <v>61</v>
      </c>
      <c r="E883" t="s">
        <v>1580</v>
      </c>
      <c r="F883" s="3">
        <v>19.036231799999999</v>
      </c>
      <c r="G883">
        <v>73.077604600000001</v>
      </c>
      <c r="H883">
        <f t="shared" si="65"/>
        <v>286.7</v>
      </c>
      <c r="I883" s="3">
        <f t="shared" si="66"/>
        <v>1525</v>
      </c>
      <c r="J883" s="1">
        <f t="shared" si="67"/>
        <v>550</v>
      </c>
      <c r="K883" s="1">
        <f t="shared" si="68"/>
        <v>838750</v>
      </c>
      <c r="L883" s="2" t="str">
        <f t="shared" si="69"/>
        <v>Premium</v>
      </c>
    </row>
    <row r="884" spans="1:12" x14ac:dyDescent="0.3">
      <c r="A884" t="s">
        <v>1519</v>
      </c>
      <c r="B884" t="s">
        <v>1359</v>
      </c>
      <c r="C884" s="3">
        <v>4.2</v>
      </c>
      <c r="D884" s="3">
        <v>2443</v>
      </c>
      <c r="E884" t="s">
        <v>1360</v>
      </c>
      <c r="F884" s="3">
        <v>19.009949500000001</v>
      </c>
      <c r="G884">
        <v>73.0326412</v>
      </c>
      <c r="H884">
        <f t="shared" si="65"/>
        <v>10260.6</v>
      </c>
      <c r="I884" s="3">
        <f t="shared" si="66"/>
        <v>61075</v>
      </c>
      <c r="J884" s="1">
        <f t="shared" si="67"/>
        <v>350</v>
      </c>
      <c r="K884" s="1">
        <f t="shared" si="68"/>
        <v>21376250</v>
      </c>
      <c r="L884" s="2" t="str">
        <f t="shared" si="69"/>
        <v>Popular</v>
      </c>
    </row>
    <row r="885" spans="1:12" x14ac:dyDescent="0.3">
      <c r="A885" t="s">
        <v>1519</v>
      </c>
      <c r="B885" t="s">
        <v>1581</v>
      </c>
      <c r="C885" s="3">
        <v>4.5</v>
      </c>
      <c r="D885" s="3">
        <v>378</v>
      </c>
      <c r="E885" t="s">
        <v>1582</v>
      </c>
      <c r="F885" s="3">
        <v>19.042507100000002</v>
      </c>
      <c r="G885">
        <v>73.064024699999905</v>
      </c>
      <c r="H885">
        <f t="shared" si="65"/>
        <v>1701</v>
      </c>
      <c r="I885" s="3">
        <f t="shared" si="66"/>
        <v>9450</v>
      </c>
      <c r="J885" s="1">
        <f t="shared" si="67"/>
        <v>450</v>
      </c>
      <c r="K885" s="1">
        <f t="shared" si="68"/>
        <v>4252500</v>
      </c>
      <c r="L885" s="2" t="str">
        <f t="shared" si="69"/>
        <v>Premium</v>
      </c>
    </row>
    <row r="886" spans="1:12" x14ac:dyDescent="0.3">
      <c r="A886" t="s">
        <v>1519</v>
      </c>
      <c r="B886" t="s">
        <v>1583</v>
      </c>
      <c r="C886" s="3">
        <v>4.5999999999999996</v>
      </c>
      <c r="D886" s="3">
        <v>102</v>
      </c>
      <c r="E886" t="s">
        <v>1584</v>
      </c>
      <c r="F886" s="3">
        <v>19.0297926</v>
      </c>
      <c r="G886">
        <v>73.059505000000001</v>
      </c>
      <c r="H886">
        <f t="shared" si="65"/>
        <v>469.2</v>
      </c>
      <c r="I886" s="3">
        <f t="shared" si="66"/>
        <v>2550</v>
      </c>
      <c r="J886" s="1">
        <f t="shared" si="67"/>
        <v>450</v>
      </c>
      <c r="K886" s="1">
        <f t="shared" si="68"/>
        <v>1147500</v>
      </c>
      <c r="L886" s="2" t="str">
        <f t="shared" si="69"/>
        <v>Premium</v>
      </c>
    </row>
    <row r="887" spans="1:12" x14ac:dyDescent="0.3">
      <c r="A887" t="s">
        <v>1519</v>
      </c>
      <c r="B887" t="s">
        <v>1585</v>
      </c>
      <c r="C887" s="3">
        <v>4.5999999999999996</v>
      </c>
      <c r="D887" s="3">
        <v>10</v>
      </c>
      <c r="E887" t="s">
        <v>1586</v>
      </c>
      <c r="F887" s="3">
        <v>19.029670500000002</v>
      </c>
      <c r="G887">
        <v>73.060358100000002</v>
      </c>
      <c r="H887">
        <f t="shared" si="65"/>
        <v>46</v>
      </c>
      <c r="I887" s="3">
        <f t="shared" si="66"/>
        <v>250</v>
      </c>
      <c r="J887" s="1">
        <f t="shared" si="67"/>
        <v>450</v>
      </c>
      <c r="K887" s="1">
        <f t="shared" si="68"/>
        <v>112500</v>
      </c>
      <c r="L887" s="2" t="str">
        <f t="shared" si="69"/>
        <v>Premium</v>
      </c>
    </row>
    <row r="888" spans="1:12" x14ac:dyDescent="0.3">
      <c r="A888" t="s">
        <v>1519</v>
      </c>
      <c r="B888" t="s">
        <v>1139</v>
      </c>
      <c r="C888" s="3">
        <v>4.2</v>
      </c>
      <c r="D888" s="3">
        <v>1331</v>
      </c>
      <c r="E888" t="s">
        <v>1587</v>
      </c>
      <c r="F888" s="3">
        <v>19.032081000000002</v>
      </c>
      <c r="G888">
        <v>73.0669532</v>
      </c>
      <c r="H888">
        <f t="shared" si="65"/>
        <v>5590.2</v>
      </c>
      <c r="I888" s="3">
        <f t="shared" si="66"/>
        <v>33275</v>
      </c>
      <c r="J888" s="1">
        <f t="shared" si="67"/>
        <v>350</v>
      </c>
      <c r="K888" s="1">
        <f t="shared" si="68"/>
        <v>11646250</v>
      </c>
      <c r="L888" s="2" t="str">
        <f t="shared" si="69"/>
        <v>Popular</v>
      </c>
    </row>
    <row r="889" spans="1:12" x14ac:dyDescent="0.3">
      <c r="A889" t="s">
        <v>1519</v>
      </c>
      <c r="B889" t="s">
        <v>1588</v>
      </c>
      <c r="C889" s="3">
        <v>4.7</v>
      </c>
      <c r="D889" s="3">
        <v>311</v>
      </c>
      <c r="E889" t="s">
        <v>1589</v>
      </c>
      <c r="F889" s="3">
        <v>19.049526400000001</v>
      </c>
      <c r="G889">
        <v>73.075468200000003</v>
      </c>
      <c r="H889">
        <f t="shared" si="65"/>
        <v>1461.7</v>
      </c>
      <c r="I889" s="3">
        <f t="shared" si="66"/>
        <v>7775</v>
      </c>
      <c r="J889" s="1">
        <f t="shared" si="67"/>
        <v>550</v>
      </c>
      <c r="K889" s="1">
        <f t="shared" si="68"/>
        <v>4276250</v>
      </c>
      <c r="L889" s="2" t="str">
        <f t="shared" si="69"/>
        <v>Premium</v>
      </c>
    </row>
    <row r="890" spans="1:12" x14ac:dyDescent="0.3">
      <c r="A890" t="s">
        <v>1519</v>
      </c>
      <c r="B890" t="s">
        <v>1590</v>
      </c>
      <c r="C890" s="3">
        <v>4.2</v>
      </c>
      <c r="D890" s="3">
        <v>200</v>
      </c>
      <c r="E890" t="s">
        <v>1591</v>
      </c>
      <c r="F890" s="3">
        <v>19.017197100000001</v>
      </c>
      <c r="G890">
        <v>73.044353000000001</v>
      </c>
      <c r="H890">
        <f t="shared" si="65"/>
        <v>840</v>
      </c>
      <c r="I890" s="3">
        <f t="shared" si="66"/>
        <v>5000</v>
      </c>
      <c r="J890" s="1">
        <f t="shared" si="67"/>
        <v>350</v>
      </c>
      <c r="K890" s="1">
        <f t="shared" si="68"/>
        <v>1750000</v>
      </c>
      <c r="L890" s="2" t="str">
        <f t="shared" si="69"/>
        <v>Popular</v>
      </c>
    </row>
    <row r="891" spans="1:12" x14ac:dyDescent="0.3">
      <c r="A891" t="s">
        <v>1519</v>
      </c>
      <c r="B891" t="s">
        <v>1592</v>
      </c>
      <c r="C891" s="3">
        <v>4.5999999999999996</v>
      </c>
      <c r="D891" s="3">
        <v>106</v>
      </c>
      <c r="E891" t="s">
        <v>1593</v>
      </c>
      <c r="F891" s="3">
        <v>19.039453999999999</v>
      </c>
      <c r="G891">
        <v>73.071453399999996</v>
      </c>
      <c r="H891">
        <f t="shared" si="65"/>
        <v>487.59999999999997</v>
      </c>
      <c r="I891" s="3">
        <f t="shared" si="66"/>
        <v>2650</v>
      </c>
      <c r="J891" s="1">
        <f t="shared" si="67"/>
        <v>450</v>
      </c>
      <c r="K891" s="1">
        <f t="shared" si="68"/>
        <v>1192500</v>
      </c>
      <c r="L891" s="2" t="str">
        <f t="shared" si="69"/>
        <v>Premium</v>
      </c>
    </row>
    <row r="892" spans="1:12" x14ac:dyDescent="0.3">
      <c r="A892" t="s">
        <v>1519</v>
      </c>
      <c r="B892" t="s">
        <v>1594</v>
      </c>
      <c r="C892" s="3">
        <v>4.2</v>
      </c>
      <c r="D892" s="3">
        <v>6</v>
      </c>
      <c r="E892" t="s">
        <v>1595</v>
      </c>
      <c r="F892" s="3">
        <v>19.036698900000001</v>
      </c>
      <c r="G892">
        <v>73.063908999999995</v>
      </c>
      <c r="H892">
        <f t="shared" si="65"/>
        <v>25.200000000000003</v>
      </c>
      <c r="I892" s="3">
        <f t="shared" si="66"/>
        <v>150</v>
      </c>
      <c r="J892" s="1">
        <f t="shared" si="67"/>
        <v>350</v>
      </c>
      <c r="K892" s="1">
        <f t="shared" si="68"/>
        <v>52500</v>
      </c>
      <c r="L892" s="2" t="str">
        <f t="shared" si="69"/>
        <v>Popular</v>
      </c>
    </row>
    <row r="893" spans="1:12" x14ac:dyDescent="0.3">
      <c r="A893" t="s">
        <v>1519</v>
      </c>
      <c r="B893" t="s">
        <v>1596</v>
      </c>
      <c r="C893" s="3">
        <v>4.7</v>
      </c>
      <c r="D893" s="3">
        <v>58</v>
      </c>
      <c r="E893" t="s">
        <v>1597</v>
      </c>
      <c r="F893" s="3">
        <v>19.033724899999999</v>
      </c>
      <c r="G893">
        <v>73.063721099999995</v>
      </c>
      <c r="H893">
        <f t="shared" si="65"/>
        <v>272.60000000000002</v>
      </c>
      <c r="I893" s="3">
        <f t="shared" si="66"/>
        <v>1450</v>
      </c>
      <c r="J893" s="1">
        <f t="shared" si="67"/>
        <v>550</v>
      </c>
      <c r="K893" s="1">
        <f t="shared" si="68"/>
        <v>797500</v>
      </c>
      <c r="L893" s="2" t="str">
        <f t="shared" si="69"/>
        <v>Premium</v>
      </c>
    </row>
    <row r="894" spans="1:12" x14ac:dyDescent="0.3">
      <c r="A894" t="s">
        <v>1519</v>
      </c>
      <c r="B894" t="s">
        <v>1598</v>
      </c>
      <c r="C894" s="3">
        <v>4.0999999999999996</v>
      </c>
      <c r="D894" s="3">
        <v>808</v>
      </c>
      <c r="E894" t="s">
        <v>1599</v>
      </c>
      <c r="F894" s="3">
        <v>19.027446900000001</v>
      </c>
      <c r="G894">
        <v>73.057933899999995</v>
      </c>
      <c r="H894">
        <f t="shared" si="65"/>
        <v>3312.7999999999997</v>
      </c>
      <c r="I894" s="3">
        <f t="shared" si="66"/>
        <v>20200</v>
      </c>
      <c r="J894" s="1">
        <f t="shared" si="67"/>
        <v>350</v>
      </c>
      <c r="K894" s="1">
        <f t="shared" si="68"/>
        <v>7070000</v>
      </c>
      <c r="L894" s="2" t="str">
        <f t="shared" si="69"/>
        <v>Popular</v>
      </c>
    </row>
    <row r="895" spans="1:12" x14ac:dyDescent="0.3">
      <c r="A895" t="s">
        <v>1519</v>
      </c>
      <c r="B895" t="s">
        <v>1307</v>
      </c>
      <c r="C895" s="3">
        <v>4.2</v>
      </c>
      <c r="D895" s="3">
        <v>28</v>
      </c>
      <c r="E895" t="s">
        <v>1308</v>
      </c>
      <c r="F895" s="3">
        <v>19.043312499999999</v>
      </c>
      <c r="G895">
        <v>73.0270625</v>
      </c>
      <c r="H895">
        <f t="shared" si="65"/>
        <v>117.60000000000001</v>
      </c>
      <c r="I895" s="3">
        <f t="shared" si="66"/>
        <v>700</v>
      </c>
      <c r="J895" s="1">
        <f t="shared" si="67"/>
        <v>350</v>
      </c>
      <c r="K895" s="1">
        <f t="shared" si="68"/>
        <v>245000</v>
      </c>
      <c r="L895" s="2" t="str">
        <f t="shared" si="69"/>
        <v>Popular</v>
      </c>
    </row>
    <row r="896" spans="1:12" x14ac:dyDescent="0.3">
      <c r="A896" t="s">
        <v>1519</v>
      </c>
      <c r="B896" t="s">
        <v>1600</v>
      </c>
      <c r="C896" s="3">
        <v>4.0999999999999996</v>
      </c>
      <c r="D896" s="3">
        <v>24</v>
      </c>
      <c r="E896" t="s">
        <v>1601</v>
      </c>
      <c r="F896" s="3">
        <v>19.0696099</v>
      </c>
      <c r="G896">
        <v>73.075875699999997</v>
      </c>
      <c r="H896">
        <f t="shared" si="65"/>
        <v>98.399999999999991</v>
      </c>
      <c r="I896" s="3">
        <f t="shared" si="66"/>
        <v>600</v>
      </c>
      <c r="J896" s="1">
        <f t="shared" si="67"/>
        <v>350</v>
      </c>
      <c r="K896" s="1">
        <f t="shared" si="68"/>
        <v>210000</v>
      </c>
      <c r="L896" s="2" t="str">
        <f t="shared" si="69"/>
        <v>Popular</v>
      </c>
    </row>
    <row r="897" spans="1:12" x14ac:dyDescent="0.3">
      <c r="A897" t="s">
        <v>1519</v>
      </c>
      <c r="B897" t="s">
        <v>1602</v>
      </c>
      <c r="C897" s="3">
        <v>4.2</v>
      </c>
      <c r="D897" s="3">
        <v>935</v>
      </c>
      <c r="E897" t="s">
        <v>1603</v>
      </c>
      <c r="F897" s="3">
        <v>19.040275999999999</v>
      </c>
      <c r="G897">
        <v>73.076477499999996</v>
      </c>
      <c r="H897">
        <f t="shared" si="65"/>
        <v>3927</v>
      </c>
      <c r="I897" s="3">
        <f t="shared" si="66"/>
        <v>23375</v>
      </c>
      <c r="J897" s="1">
        <f t="shared" si="67"/>
        <v>350</v>
      </c>
      <c r="K897" s="1">
        <f t="shared" si="68"/>
        <v>8181250</v>
      </c>
      <c r="L897" s="2" t="str">
        <f t="shared" si="69"/>
        <v>Popular</v>
      </c>
    </row>
    <row r="898" spans="1:12" x14ac:dyDescent="0.3">
      <c r="A898" t="s">
        <v>1519</v>
      </c>
      <c r="B898" t="s">
        <v>1604</v>
      </c>
      <c r="C898" s="3">
        <v>4.0999999999999996</v>
      </c>
      <c r="D898" s="3">
        <v>513</v>
      </c>
      <c r="E898" t="s">
        <v>1605</v>
      </c>
      <c r="F898" s="3">
        <v>19.052339199999999</v>
      </c>
      <c r="G898">
        <v>73.070701099999994</v>
      </c>
      <c r="H898">
        <f t="shared" ref="H898:H961" si="70">C898*D898</f>
        <v>2103.2999999999997</v>
      </c>
      <c r="I898" s="3">
        <f t="shared" ref="I898:I961" si="71">D898*25</f>
        <v>12825</v>
      </c>
      <c r="J898" s="1">
        <f t="shared" ref="J898:J961" si="72">IF(C898&gt;=4.7,550,IF(C898&gt;=4.4,450,IF(C898&gt;=O900,350,250)))</f>
        <v>350</v>
      </c>
      <c r="K898" s="1">
        <f t="shared" ref="K898:K961" si="73">I898*J898</f>
        <v>4488750</v>
      </c>
      <c r="L898" s="2" t="str">
        <f t="shared" ref="L898:L961" si="74">IF(C898&gt;=4.5,"Premium",IF(C898&gt;=4,"Popular","Average"))</f>
        <v>Popular</v>
      </c>
    </row>
    <row r="899" spans="1:12" x14ac:dyDescent="0.3">
      <c r="A899" t="s">
        <v>1519</v>
      </c>
      <c r="B899" t="s">
        <v>1606</v>
      </c>
      <c r="C899" s="3">
        <v>4</v>
      </c>
      <c r="D899" s="3">
        <v>4460</v>
      </c>
      <c r="E899" t="s">
        <v>1607</v>
      </c>
      <c r="F899" s="3">
        <v>19.044977599999999</v>
      </c>
      <c r="G899">
        <v>73.0643891</v>
      </c>
      <c r="H899">
        <f t="shared" si="70"/>
        <v>17840</v>
      </c>
      <c r="I899" s="3">
        <f t="shared" si="71"/>
        <v>111500</v>
      </c>
      <c r="J899" s="1">
        <f t="shared" si="72"/>
        <v>350</v>
      </c>
      <c r="K899" s="1">
        <f t="shared" si="73"/>
        <v>39025000</v>
      </c>
      <c r="L899" s="2" t="str">
        <f t="shared" si="74"/>
        <v>Popular</v>
      </c>
    </row>
    <row r="900" spans="1:12" x14ac:dyDescent="0.3">
      <c r="A900" t="s">
        <v>1519</v>
      </c>
      <c r="B900" t="s">
        <v>1608</v>
      </c>
      <c r="C900" s="3">
        <v>5</v>
      </c>
      <c r="D900" s="3">
        <v>13</v>
      </c>
      <c r="E900" t="s">
        <v>1609</v>
      </c>
      <c r="F900" s="3">
        <v>19.032331500000002</v>
      </c>
      <c r="G900">
        <v>73.067851199999893</v>
      </c>
      <c r="H900">
        <f t="shared" si="70"/>
        <v>65</v>
      </c>
      <c r="I900" s="3">
        <f t="shared" si="71"/>
        <v>325</v>
      </c>
      <c r="J900" s="1">
        <f t="shared" si="72"/>
        <v>550</v>
      </c>
      <c r="K900" s="1">
        <f t="shared" si="73"/>
        <v>178750</v>
      </c>
      <c r="L900" s="2" t="str">
        <f t="shared" si="74"/>
        <v>Premium</v>
      </c>
    </row>
    <row r="901" spans="1:12" x14ac:dyDescent="0.3">
      <c r="A901" t="s">
        <v>1519</v>
      </c>
      <c r="B901" t="s">
        <v>1610</v>
      </c>
      <c r="C901" s="3">
        <v>5</v>
      </c>
      <c r="D901" s="3">
        <v>29</v>
      </c>
      <c r="E901" t="s">
        <v>1611</v>
      </c>
      <c r="F901" s="3">
        <v>19.064930100000002</v>
      </c>
      <c r="G901">
        <v>73.077763199999893</v>
      </c>
      <c r="H901">
        <f t="shared" si="70"/>
        <v>145</v>
      </c>
      <c r="I901" s="3">
        <f t="shared" si="71"/>
        <v>725</v>
      </c>
      <c r="J901" s="1">
        <f t="shared" si="72"/>
        <v>550</v>
      </c>
      <c r="K901" s="1">
        <f t="shared" si="73"/>
        <v>398750</v>
      </c>
      <c r="L901" s="2" t="str">
        <f t="shared" si="74"/>
        <v>Premium</v>
      </c>
    </row>
    <row r="902" spans="1:12" x14ac:dyDescent="0.3">
      <c r="A902" t="s">
        <v>1612</v>
      </c>
      <c r="B902" t="s">
        <v>1613</v>
      </c>
      <c r="C902" s="3">
        <v>4.4000000000000004</v>
      </c>
      <c r="D902" s="3">
        <v>3106</v>
      </c>
      <c r="E902" t="s">
        <v>1614</v>
      </c>
      <c r="F902" s="3">
        <v>19.041910000000001</v>
      </c>
      <c r="G902">
        <v>72.861122799999904</v>
      </c>
      <c r="H902">
        <f t="shared" si="70"/>
        <v>13666.400000000001</v>
      </c>
      <c r="I902" s="3">
        <f t="shared" si="71"/>
        <v>77650</v>
      </c>
      <c r="J902" s="1">
        <f t="shared" si="72"/>
        <v>450</v>
      </c>
      <c r="K902" s="1">
        <f t="shared" si="73"/>
        <v>34942500</v>
      </c>
      <c r="L902" s="2" t="str">
        <f t="shared" si="74"/>
        <v>Popular</v>
      </c>
    </row>
    <row r="903" spans="1:12" x14ac:dyDescent="0.3">
      <c r="A903" t="s">
        <v>1612</v>
      </c>
      <c r="B903" t="s">
        <v>53</v>
      </c>
      <c r="C903" s="3">
        <v>4.7</v>
      </c>
      <c r="D903" s="3">
        <v>1415</v>
      </c>
      <c r="E903" t="s">
        <v>248</v>
      </c>
      <c r="F903" s="3">
        <v>19.0408896</v>
      </c>
      <c r="G903">
        <v>72.846201800000003</v>
      </c>
      <c r="H903">
        <f t="shared" si="70"/>
        <v>6650.5</v>
      </c>
      <c r="I903" s="3">
        <f t="shared" si="71"/>
        <v>35375</v>
      </c>
      <c r="J903" s="1">
        <f t="shared" si="72"/>
        <v>550</v>
      </c>
      <c r="K903" s="1">
        <f t="shared" si="73"/>
        <v>19456250</v>
      </c>
      <c r="L903" s="2" t="str">
        <f t="shared" si="74"/>
        <v>Premium</v>
      </c>
    </row>
    <row r="904" spans="1:12" x14ac:dyDescent="0.3">
      <c r="A904" t="s">
        <v>1612</v>
      </c>
      <c r="B904" t="s">
        <v>1615</v>
      </c>
      <c r="C904" s="3">
        <v>4.4000000000000004</v>
      </c>
      <c r="D904" s="3">
        <v>76</v>
      </c>
      <c r="E904" t="s">
        <v>1616</v>
      </c>
      <c r="F904" s="3">
        <v>19.041802000000001</v>
      </c>
      <c r="G904">
        <v>72.856489699999997</v>
      </c>
      <c r="H904">
        <f t="shared" si="70"/>
        <v>334.40000000000003</v>
      </c>
      <c r="I904" s="3">
        <f t="shared" si="71"/>
        <v>1900</v>
      </c>
      <c r="J904" s="1">
        <f t="shared" si="72"/>
        <v>450</v>
      </c>
      <c r="K904" s="1">
        <f t="shared" si="73"/>
        <v>855000</v>
      </c>
      <c r="L904" s="2" t="str">
        <f t="shared" si="74"/>
        <v>Popular</v>
      </c>
    </row>
    <row r="905" spans="1:12" x14ac:dyDescent="0.3">
      <c r="A905" t="s">
        <v>1612</v>
      </c>
      <c r="B905" t="s">
        <v>439</v>
      </c>
      <c r="C905" s="3">
        <v>4.5</v>
      </c>
      <c r="D905" s="3">
        <v>543</v>
      </c>
      <c r="E905" t="s">
        <v>440</v>
      </c>
      <c r="F905" s="3">
        <v>19.0524466</v>
      </c>
      <c r="G905">
        <v>72.828589800000003</v>
      </c>
      <c r="H905">
        <f t="shared" si="70"/>
        <v>2443.5</v>
      </c>
      <c r="I905" s="3">
        <f t="shared" si="71"/>
        <v>13575</v>
      </c>
      <c r="J905" s="1">
        <f t="shared" si="72"/>
        <v>450</v>
      </c>
      <c r="K905" s="1">
        <f t="shared" si="73"/>
        <v>6108750</v>
      </c>
      <c r="L905" s="2" t="str">
        <f t="shared" si="74"/>
        <v>Premium</v>
      </c>
    </row>
    <row r="906" spans="1:12" x14ac:dyDescent="0.3">
      <c r="A906" t="s">
        <v>1612</v>
      </c>
      <c r="B906" t="s">
        <v>1617</v>
      </c>
      <c r="C906" s="3">
        <v>3.9</v>
      </c>
      <c r="D906" s="3">
        <v>759</v>
      </c>
      <c r="E906" t="s">
        <v>1618</v>
      </c>
      <c r="F906" s="3">
        <v>19.046613900000001</v>
      </c>
      <c r="G906">
        <v>72.860266499999994</v>
      </c>
      <c r="H906">
        <f t="shared" si="70"/>
        <v>2960.1</v>
      </c>
      <c r="I906" s="3">
        <f t="shared" si="71"/>
        <v>18975</v>
      </c>
      <c r="J906" s="1">
        <f t="shared" si="72"/>
        <v>350</v>
      </c>
      <c r="K906" s="1">
        <f t="shared" si="73"/>
        <v>6641250</v>
      </c>
      <c r="L906" s="2" t="str">
        <f t="shared" si="74"/>
        <v>Average</v>
      </c>
    </row>
    <row r="907" spans="1:12" x14ac:dyDescent="0.3">
      <c r="A907" t="s">
        <v>1612</v>
      </c>
      <c r="B907" t="s">
        <v>1619</v>
      </c>
      <c r="C907" s="3">
        <v>4.4000000000000004</v>
      </c>
      <c r="D907" s="3">
        <v>20</v>
      </c>
      <c r="E907" t="s">
        <v>1620</v>
      </c>
      <c r="F907" s="3">
        <v>19.0410942</v>
      </c>
      <c r="G907">
        <v>72.852332099999998</v>
      </c>
      <c r="H907">
        <f t="shared" si="70"/>
        <v>88</v>
      </c>
      <c r="I907" s="3">
        <f t="shared" si="71"/>
        <v>500</v>
      </c>
      <c r="J907" s="1">
        <f t="shared" si="72"/>
        <v>450</v>
      </c>
      <c r="K907" s="1">
        <f t="shared" si="73"/>
        <v>225000</v>
      </c>
      <c r="L907" s="2" t="str">
        <f t="shared" si="74"/>
        <v>Popular</v>
      </c>
    </row>
    <row r="908" spans="1:12" x14ac:dyDescent="0.3">
      <c r="A908" t="s">
        <v>1612</v>
      </c>
      <c r="B908" t="s">
        <v>243</v>
      </c>
      <c r="C908" s="3">
        <v>4.4000000000000004</v>
      </c>
      <c r="D908" s="3">
        <v>24600</v>
      </c>
      <c r="E908" t="s">
        <v>244</v>
      </c>
      <c r="F908" s="3">
        <v>19.027620299999999</v>
      </c>
      <c r="G908">
        <v>72.855041499999999</v>
      </c>
      <c r="H908">
        <f t="shared" si="70"/>
        <v>108240.00000000001</v>
      </c>
      <c r="I908" s="3">
        <f t="shared" si="71"/>
        <v>615000</v>
      </c>
      <c r="J908" s="1">
        <f t="shared" si="72"/>
        <v>450</v>
      </c>
      <c r="K908" s="1">
        <f t="shared" si="73"/>
        <v>276750000</v>
      </c>
      <c r="L908" s="2" t="str">
        <f t="shared" si="74"/>
        <v>Popular</v>
      </c>
    </row>
    <row r="909" spans="1:12" x14ac:dyDescent="0.3">
      <c r="A909" t="s">
        <v>1612</v>
      </c>
      <c r="B909" t="s">
        <v>1621</v>
      </c>
      <c r="C909" s="3">
        <v>4</v>
      </c>
      <c r="D909" s="3">
        <v>295</v>
      </c>
      <c r="E909" t="s">
        <v>1622</v>
      </c>
      <c r="F909" s="3">
        <v>19.043622899999999</v>
      </c>
      <c r="G909">
        <v>72.848143999999905</v>
      </c>
      <c r="H909">
        <f t="shared" si="70"/>
        <v>1180</v>
      </c>
      <c r="I909" s="3">
        <f t="shared" si="71"/>
        <v>7375</v>
      </c>
      <c r="J909" s="1">
        <f t="shared" si="72"/>
        <v>350</v>
      </c>
      <c r="K909" s="1">
        <f t="shared" si="73"/>
        <v>2581250</v>
      </c>
      <c r="L909" s="2" t="str">
        <f t="shared" si="74"/>
        <v>Popular</v>
      </c>
    </row>
    <row r="910" spans="1:12" x14ac:dyDescent="0.3">
      <c r="A910" t="s">
        <v>1612</v>
      </c>
      <c r="B910" t="s">
        <v>1623</v>
      </c>
      <c r="C910" s="3">
        <v>4.9000000000000004</v>
      </c>
      <c r="D910" s="3">
        <v>33</v>
      </c>
      <c r="E910" t="s">
        <v>1624</v>
      </c>
      <c r="F910" s="3">
        <v>19.043898200000001</v>
      </c>
      <c r="G910">
        <v>72.857706199999996</v>
      </c>
      <c r="H910">
        <f t="shared" si="70"/>
        <v>161.70000000000002</v>
      </c>
      <c r="I910" s="3">
        <f t="shared" si="71"/>
        <v>825</v>
      </c>
      <c r="J910" s="1">
        <f t="shared" si="72"/>
        <v>550</v>
      </c>
      <c r="K910" s="1">
        <f t="shared" si="73"/>
        <v>453750</v>
      </c>
      <c r="L910" s="2" t="str">
        <f t="shared" si="74"/>
        <v>Premium</v>
      </c>
    </row>
    <row r="911" spans="1:12" x14ac:dyDescent="0.3">
      <c r="A911" t="s">
        <v>1612</v>
      </c>
      <c r="B911" t="s">
        <v>255</v>
      </c>
      <c r="C911" s="3">
        <v>4.2</v>
      </c>
      <c r="D911" s="3">
        <v>4162</v>
      </c>
      <c r="E911" t="s">
        <v>256</v>
      </c>
      <c r="F911" s="3">
        <v>19.031528699999999</v>
      </c>
      <c r="G911">
        <v>72.838803900000002</v>
      </c>
      <c r="H911">
        <f t="shared" si="70"/>
        <v>17480.400000000001</v>
      </c>
      <c r="I911" s="3">
        <f t="shared" si="71"/>
        <v>104050</v>
      </c>
      <c r="J911" s="1">
        <f t="shared" si="72"/>
        <v>350</v>
      </c>
      <c r="K911" s="1">
        <f t="shared" si="73"/>
        <v>36417500</v>
      </c>
      <c r="L911" s="2" t="str">
        <f t="shared" si="74"/>
        <v>Popular</v>
      </c>
    </row>
    <row r="912" spans="1:12" x14ac:dyDescent="0.3">
      <c r="A912" t="s">
        <v>1612</v>
      </c>
      <c r="B912" t="s">
        <v>1625</v>
      </c>
      <c r="C912" s="3">
        <v>3.9</v>
      </c>
      <c r="D912" s="3">
        <v>936</v>
      </c>
      <c r="E912" t="s">
        <v>1626</v>
      </c>
      <c r="F912" s="3">
        <v>19.045112499999998</v>
      </c>
      <c r="G912">
        <v>72.858642199999906</v>
      </c>
      <c r="H912">
        <f t="shared" si="70"/>
        <v>3650.4</v>
      </c>
      <c r="I912" s="3">
        <f t="shared" si="71"/>
        <v>23400</v>
      </c>
      <c r="J912" s="1">
        <f t="shared" si="72"/>
        <v>350</v>
      </c>
      <c r="K912" s="1">
        <f t="shared" si="73"/>
        <v>8190000</v>
      </c>
      <c r="L912" s="2" t="str">
        <f t="shared" si="74"/>
        <v>Average</v>
      </c>
    </row>
    <row r="913" spans="1:12" x14ac:dyDescent="0.3">
      <c r="A913" t="s">
        <v>1612</v>
      </c>
      <c r="B913" t="s">
        <v>1627</v>
      </c>
      <c r="C913" s="3">
        <v>3.8</v>
      </c>
      <c r="D913" s="3">
        <v>366</v>
      </c>
      <c r="E913" t="s">
        <v>1628</v>
      </c>
      <c r="F913" s="3">
        <v>19.0415204</v>
      </c>
      <c r="G913">
        <v>72.8557457</v>
      </c>
      <c r="H913">
        <f t="shared" si="70"/>
        <v>1390.8</v>
      </c>
      <c r="I913" s="3">
        <f t="shared" si="71"/>
        <v>9150</v>
      </c>
      <c r="J913" s="1">
        <f t="shared" si="72"/>
        <v>350</v>
      </c>
      <c r="K913" s="1">
        <f t="shared" si="73"/>
        <v>3202500</v>
      </c>
      <c r="L913" s="2" t="str">
        <f t="shared" si="74"/>
        <v>Average</v>
      </c>
    </row>
    <row r="914" spans="1:12" x14ac:dyDescent="0.3">
      <c r="A914" t="s">
        <v>1612</v>
      </c>
      <c r="B914" t="s">
        <v>1629</v>
      </c>
      <c r="C914" s="3">
        <v>4.0999999999999996</v>
      </c>
      <c r="D914" s="3">
        <v>1096</v>
      </c>
      <c r="E914" t="s">
        <v>1630</v>
      </c>
      <c r="F914" s="3">
        <v>19.042049800000001</v>
      </c>
      <c r="G914">
        <v>72.856475699999905</v>
      </c>
      <c r="H914">
        <f t="shared" si="70"/>
        <v>4493.5999999999995</v>
      </c>
      <c r="I914" s="3">
        <f t="shared" si="71"/>
        <v>27400</v>
      </c>
      <c r="J914" s="1">
        <f t="shared" si="72"/>
        <v>350</v>
      </c>
      <c r="K914" s="1">
        <f t="shared" si="73"/>
        <v>9590000</v>
      </c>
      <c r="L914" s="2" t="str">
        <f t="shared" si="74"/>
        <v>Popular</v>
      </c>
    </row>
    <row r="915" spans="1:12" x14ac:dyDescent="0.3">
      <c r="A915" t="s">
        <v>1612</v>
      </c>
      <c r="B915" t="s">
        <v>1631</v>
      </c>
      <c r="C915" s="3">
        <v>4.3</v>
      </c>
      <c r="D915" s="3">
        <v>18</v>
      </c>
      <c r="E915" t="s">
        <v>1632</v>
      </c>
      <c r="F915" s="3">
        <v>19.047924600000002</v>
      </c>
      <c r="G915">
        <v>72.863352599999999</v>
      </c>
      <c r="H915">
        <f t="shared" si="70"/>
        <v>77.399999999999991</v>
      </c>
      <c r="I915" s="3">
        <f t="shared" si="71"/>
        <v>450</v>
      </c>
      <c r="J915" s="1">
        <f t="shared" si="72"/>
        <v>350</v>
      </c>
      <c r="K915" s="1">
        <f t="shared" si="73"/>
        <v>157500</v>
      </c>
      <c r="L915" s="2" t="str">
        <f t="shared" si="74"/>
        <v>Popular</v>
      </c>
    </row>
    <row r="916" spans="1:12" x14ac:dyDescent="0.3">
      <c r="A916" t="s">
        <v>1612</v>
      </c>
      <c r="B916" t="s">
        <v>298</v>
      </c>
      <c r="C916" s="3">
        <v>4.3</v>
      </c>
      <c r="D916" s="3">
        <v>1817</v>
      </c>
      <c r="E916" t="s">
        <v>299</v>
      </c>
      <c r="F916" s="3">
        <v>19.0272942</v>
      </c>
      <c r="G916">
        <v>72.854620299999993</v>
      </c>
      <c r="H916">
        <f t="shared" si="70"/>
        <v>7813.0999999999995</v>
      </c>
      <c r="I916" s="3">
        <f t="shared" si="71"/>
        <v>45425</v>
      </c>
      <c r="J916" s="1">
        <f t="shared" si="72"/>
        <v>350</v>
      </c>
      <c r="K916" s="1">
        <f t="shared" si="73"/>
        <v>15898750</v>
      </c>
      <c r="L916" s="2" t="str">
        <f t="shared" si="74"/>
        <v>Popular</v>
      </c>
    </row>
    <row r="917" spans="1:12" x14ac:dyDescent="0.3">
      <c r="A917" t="s">
        <v>1612</v>
      </c>
      <c r="B917" t="s">
        <v>1633</v>
      </c>
      <c r="C917" s="3">
        <v>3.8</v>
      </c>
      <c r="D917" s="3">
        <v>1008</v>
      </c>
      <c r="E917" t="s">
        <v>1634</v>
      </c>
      <c r="F917" s="3">
        <v>19.047019800000001</v>
      </c>
      <c r="G917">
        <v>72.852325800000003</v>
      </c>
      <c r="H917">
        <f t="shared" si="70"/>
        <v>3830.3999999999996</v>
      </c>
      <c r="I917" s="3">
        <f t="shared" si="71"/>
        <v>25200</v>
      </c>
      <c r="J917" s="1">
        <f t="shared" si="72"/>
        <v>350</v>
      </c>
      <c r="K917" s="1">
        <f t="shared" si="73"/>
        <v>8820000</v>
      </c>
      <c r="L917" s="2" t="str">
        <f t="shared" si="74"/>
        <v>Average</v>
      </c>
    </row>
    <row r="918" spans="1:12" x14ac:dyDescent="0.3">
      <c r="A918" t="s">
        <v>1612</v>
      </c>
      <c r="B918" t="s">
        <v>1635</v>
      </c>
      <c r="C918" s="3">
        <v>4.3</v>
      </c>
      <c r="D918" s="3">
        <v>54</v>
      </c>
      <c r="E918" t="s">
        <v>1636</v>
      </c>
      <c r="F918" s="3">
        <v>19.0381578</v>
      </c>
      <c r="G918">
        <v>72.853323099999997</v>
      </c>
      <c r="H918">
        <f t="shared" si="70"/>
        <v>232.2</v>
      </c>
      <c r="I918" s="3">
        <f t="shared" si="71"/>
        <v>1350</v>
      </c>
      <c r="J918" s="1">
        <f t="shared" si="72"/>
        <v>350</v>
      </c>
      <c r="K918" s="1">
        <f t="shared" si="73"/>
        <v>472500</v>
      </c>
      <c r="L918" s="2" t="str">
        <f t="shared" si="74"/>
        <v>Popular</v>
      </c>
    </row>
    <row r="919" spans="1:12" x14ac:dyDescent="0.3">
      <c r="A919" t="s">
        <v>1612</v>
      </c>
      <c r="B919" t="s">
        <v>421</v>
      </c>
      <c r="C919" s="3">
        <v>4.4000000000000004</v>
      </c>
      <c r="D919" s="3">
        <v>1445</v>
      </c>
      <c r="E919" t="s">
        <v>422</v>
      </c>
      <c r="F919" s="3">
        <v>19.059071400000001</v>
      </c>
      <c r="G919">
        <v>72.834037999999893</v>
      </c>
      <c r="H919">
        <f t="shared" si="70"/>
        <v>6358.0000000000009</v>
      </c>
      <c r="I919" s="3">
        <f t="shared" si="71"/>
        <v>36125</v>
      </c>
      <c r="J919" s="1">
        <f t="shared" si="72"/>
        <v>450</v>
      </c>
      <c r="K919" s="1">
        <f t="shared" si="73"/>
        <v>16256250</v>
      </c>
      <c r="L919" s="2" t="str">
        <f t="shared" si="74"/>
        <v>Popular</v>
      </c>
    </row>
    <row r="920" spans="1:12" x14ac:dyDescent="0.3">
      <c r="A920" t="s">
        <v>1612</v>
      </c>
      <c r="B920" t="s">
        <v>1637</v>
      </c>
      <c r="C920" s="3">
        <v>3.9</v>
      </c>
      <c r="D920" s="3">
        <v>303</v>
      </c>
      <c r="E920" t="s">
        <v>1638</v>
      </c>
      <c r="F920" s="3">
        <v>19.038628599999999</v>
      </c>
      <c r="G920">
        <v>72.853916900000002</v>
      </c>
      <c r="H920">
        <f t="shared" si="70"/>
        <v>1181.7</v>
      </c>
      <c r="I920" s="3">
        <f t="shared" si="71"/>
        <v>7575</v>
      </c>
      <c r="J920" s="1">
        <f t="shared" si="72"/>
        <v>350</v>
      </c>
      <c r="K920" s="1">
        <f t="shared" si="73"/>
        <v>2651250</v>
      </c>
      <c r="L920" s="2" t="str">
        <f t="shared" si="74"/>
        <v>Average</v>
      </c>
    </row>
    <row r="921" spans="1:12" x14ac:dyDescent="0.3">
      <c r="A921" t="s">
        <v>1612</v>
      </c>
      <c r="B921" t="s">
        <v>1639</v>
      </c>
      <c r="C921" s="3">
        <v>3.9</v>
      </c>
      <c r="D921" s="3">
        <v>1381</v>
      </c>
      <c r="E921" t="s">
        <v>1640</v>
      </c>
      <c r="F921" s="3">
        <v>19.0474107</v>
      </c>
      <c r="G921">
        <v>72.860754999999997</v>
      </c>
      <c r="H921">
        <f t="shared" si="70"/>
        <v>5385.9</v>
      </c>
      <c r="I921" s="3">
        <f t="shared" si="71"/>
        <v>34525</v>
      </c>
      <c r="J921" s="1">
        <f t="shared" si="72"/>
        <v>350</v>
      </c>
      <c r="K921" s="1">
        <f t="shared" si="73"/>
        <v>12083750</v>
      </c>
      <c r="L921" s="2" t="str">
        <f t="shared" si="74"/>
        <v>Average</v>
      </c>
    </row>
    <row r="922" spans="1:12" x14ac:dyDescent="0.3">
      <c r="A922" t="s">
        <v>1612</v>
      </c>
      <c r="B922" t="s">
        <v>1641</v>
      </c>
      <c r="C922" s="3">
        <v>4.0999999999999996</v>
      </c>
      <c r="D922" s="3">
        <v>2387</v>
      </c>
      <c r="E922" t="s">
        <v>1642</v>
      </c>
      <c r="F922" s="3">
        <v>19.038790500000001</v>
      </c>
      <c r="G922">
        <v>72.850883299999893</v>
      </c>
      <c r="H922">
        <f t="shared" si="70"/>
        <v>9786.6999999999989</v>
      </c>
      <c r="I922" s="3">
        <f t="shared" si="71"/>
        <v>59675</v>
      </c>
      <c r="J922" s="1">
        <f t="shared" si="72"/>
        <v>350</v>
      </c>
      <c r="K922" s="1">
        <f t="shared" si="73"/>
        <v>20886250</v>
      </c>
      <c r="L922" s="2" t="str">
        <f t="shared" si="74"/>
        <v>Popular</v>
      </c>
    </row>
    <row r="923" spans="1:12" x14ac:dyDescent="0.3">
      <c r="A923" t="s">
        <v>1612</v>
      </c>
      <c r="B923" t="s">
        <v>1643</v>
      </c>
      <c r="C923" s="3">
        <v>4</v>
      </c>
      <c r="D923" s="3">
        <v>54</v>
      </c>
      <c r="E923" t="s">
        <v>1644</v>
      </c>
      <c r="F923" s="3">
        <v>19.043817000000001</v>
      </c>
      <c r="G923">
        <v>72.851374100000001</v>
      </c>
      <c r="H923">
        <f t="shared" si="70"/>
        <v>216</v>
      </c>
      <c r="I923" s="3">
        <f t="shared" si="71"/>
        <v>1350</v>
      </c>
      <c r="J923" s="1">
        <f t="shared" si="72"/>
        <v>350</v>
      </c>
      <c r="K923" s="1">
        <f t="shared" si="73"/>
        <v>472500</v>
      </c>
      <c r="L923" s="2" t="str">
        <f t="shared" si="74"/>
        <v>Popular</v>
      </c>
    </row>
    <row r="924" spans="1:12" x14ac:dyDescent="0.3">
      <c r="A924" t="s">
        <v>1612</v>
      </c>
      <c r="B924" t="s">
        <v>1645</v>
      </c>
      <c r="C924" s="3">
        <v>3.8</v>
      </c>
      <c r="D924" s="3">
        <v>192</v>
      </c>
      <c r="E924" t="s">
        <v>1646</v>
      </c>
      <c r="F924" s="3">
        <v>19.0437178</v>
      </c>
      <c r="G924">
        <v>72.851175599999905</v>
      </c>
      <c r="H924">
        <f t="shared" si="70"/>
        <v>729.59999999999991</v>
      </c>
      <c r="I924" s="3">
        <f t="shared" si="71"/>
        <v>4800</v>
      </c>
      <c r="J924" s="1">
        <f t="shared" si="72"/>
        <v>350</v>
      </c>
      <c r="K924" s="1">
        <f t="shared" si="73"/>
        <v>1680000</v>
      </c>
      <c r="L924" s="2" t="str">
        <f t="shared" si="74"/>
        <v>Average</v>
      </c>
    </row>
    <row r="925" spans="1:12" x14ac:dyDescent="0.3">
      <c r="A925" t="s">
        <v>1612</v>
      </c>
      <c r="B925" t="s">
        <v>423</v>
      </c>
      <c r="C925" s="3">
        <v>4.2</v>
      </c>
      <c r="D925" s="3">
        <v>3019</v>
      </c>
      <c r="E925" t="s">
        <v>424</v>
      </c>
      <c r="F925" s="3">
        <v>19.0632296</v>
      </c>
      <c r="G925">
        <v>72.834758499999893</v>
      </c>
      <c r="H925">
        <f t="shared" si="70"/>
        <v>12679.800000000001</v>
      </c>
      <c r="I925" s="3">
        <f t="shared" si="71"/>
        <v>75475</v>
      </c>
      <c r="J925" s="1">
        <f t="shared" si="72"/>
        <v>350</v>
      </c>
      <c r="K925" s="1">
        <f t="shared" si="73"/>
        <v>26416250</v>
      </c>
      <c r="L925" s="2" t="str">
        <f t="shared" si="74"/>
        <v>Popular</v>
      </c>
    </row>
    <row r="926" spans="1:12" x14ac:dyDescent="0.3">
      <c r="A926" t="s">
        <v>1612</v>
      </c>
      <c r="B926" t="s">
        <v>318</v>
      </c>
      <c r="C926" s="3">
        <v>4.2</v>
      </c>
      <c r="D926" s="3">
        <v>5086</v>
      </c>
      <c r="E926" t="s">
        <v>319</v>
      </c>
      <c r="F926" s="3">
        <v>19.0276064</v>
      </c>
      <c r="G926">
        <v>72.855504400000001</v>
      </c>
      <c r="H926">
        <f t="shared" si="70"/>
        <v>21361.200000000001</v>
      </c>
      <c r="I926" s="3">
        <f t="shared" si="71"/>
        <v>127150</v>
      </c>
      <c r="J926" s="1">
        <f t="shared" si="72"/>
        <v>350</v>
      </c>
      <c r="K926" s="1">
        <f t="shared" si="73"/>
        <v>44502500</v>
      </c>
      <c r="L926" s="2" t="str">
        <f t="shared" si="74"/>
        <v>Popular</v>
      </c>
    </row>
    <row r="927" spans="1:12" x14ac:dyDescent="0.3">
      <c r="A927" t="s">
        <v>1612</v>
      </c>
      <c r="B927" t="s">
        <v>1647</v>
      </c>
      <c r="C927" s="3">
        <v>4.2</v>
      </c>
      <c r="D927" s="3">
        <v>32</v>
      </c>
      <c r="E927" t="s">
        <v>1648</v>
      </c>
      <c r="F927" s="3">
        <v>19.043851100000001</v>
      </c>
      <c r="G927">
        <v>72.850586699999994</v>
      </c>
      <c r="H927">
        <f t="shared" si="70"/>
        <v>134.4</v>
      </c>
      <c r="I927" s="3">
        <f t="shared" si="71"/>
        <v>800</v>
      </c>
      <c r="J927" s="1">
        <f t="shared" si="72"/>
        <v>350</v>
      </c>
      <c r="K927" s="1">
        <f t="shared" si="73"/>
        <v>280000</v>
      </c>
      <c r="L927" s="2" t="str">
        <f t="shared" si="74"/>
        <v>Popular</v>
      </c>
    </row>
    <row r="928" spans="1:12" x14ac:dyDescent="0.3">
      <c r="A928" t="s">
        <v>1612</v>
      </c>
      <c r="B928" t="s">
        <v>1649</v>
      </c>
      <c r="C928" s="3">
        <v>4.0999999999999996</v>
      </c>
      <c r="D928" s="3">
        <v>3187</v>
      </c>
      <c r="E928" t="s">
        <v>1650</v>
      </c>
      <c r="F928" s="3">
        <v>19.045294500000001</v>
      </c>
      <c r="G928">
        <v>72.864222499999997</v>
      </c>
      <c r="H928">
        <f t="shared" si="70"/>
        <v>13066.699999999999</v>
      </c>
      <c r="I928" s="3">
        <f t="shared" si="71"/>
        <v>79675</v>
      </c>
      <c r="J928" s="1">
        <f t="shared" si="72"/>
        <v>350</v>
      </c>
      <c r="K928" s="1">
        <f t="shared" si="73"/>
        <v>27886250</v>
      </c>
      <c r="L928" s="2" t="str">
        <f t="shared" si="74"/>
        <v>Popular</v>
      </c>
    </row>
    <row r="929" spans="1:12" x14ac:dyDescent="0.3">
      <c r="A929" t="s">
        <v>1612</v>
      </c>
      <c r="B929" t="s">
        <v>1651</v>
      </c>
      <c r="C929" s="3">
        <v>3.9</v>
      </c>
      <c r="D929" s="3">
        <v>17</v>
      </c>
      <c r="E929" t="s">
        <v>1652</v>
      </c>
      <c r="F929" s="3">
        <v>19.043055800000001</v>
      </c>
      <c r="G929">
        <v>72.850999000000002</v>
      </c>
      <c r="H929">
        <f t="shared" si="70"/>
        <v>66.3</v>
      </c>
      <c r="I929" s="3">
        <f t="shared" si="71"/>
        <v>425</v>
      </c>
      <c r="J929" s="1">
        <f t="shared" si="72"/>
        <v>350</v>
      </c>
      <c r="K929" s="1">
        <f t="shared" si="73"/>
        <v>148750</v>
      </c>
      <c r="L929" s="2" t="str">
        <f t="shared" si="74"/>
        <v>Average</v>
      </c>
    </row>
    <row r="930" spans="1:12" x14ac:dyDescent="0.3">
      <c r="A930" t="s">
        <v>1612</v>
      </c>
      <c r="B930" t="s">
        <v>1653</v>
      </c>
      <c r="C930" s="3">
        <v>3.8</v>
      </c>
      <c r="D930" s="3">
        <v>94</v>
      </c>
      <c r="E930" t="s">
        <v>1654</v>
      </c>
      <c r="F930" s="3">
        <v>19.045548199999999</v>
      </c>
      <c r="G930">
        <v>72.859397999999999</v>
      </c>
      <c r="H930">
        <f t="shared" si="70"/>
        <v>357.2</v>
      </c>
      <c r="I930" s="3">
        <f t="shared" si="71"/>
        <v>2350</v>
      </c>
      <c r="J930" s="1">
        <f t="shared" si="72"/>
        <v>350</v>
      </c>
      <c r="K930" s="1">
        <f t="shared" si="73"/>
        <v>822500</v>
      </c>
      <c r="L930" s="2" t="str">
        <f t="shared" si="74"/>
        <v>Average</v>
      </c>
    </row>
    <row r="931" spans="1:12" x14ac:dyDescent="0.3">
      <c r="A931" t="s">
        <v>1612</v>
      </c>
      <c r="B931" t="s">
        <v>1655</v>
      </c>
      <c r="C931" s="3">
        <v>3.4</v>
      </c>
      <c r="D931" s="3">
        <v>37</v>
      </c>
      <c r="E931" t="s">
        <v>1656</v>
      </c>
      <c r="F931" s="3">
        <v>19.039620899999999</v>
      </c>
      <c r="G931">
        <v>72.850275400000001</v>
      </c>
      <c r="H931">
        <f t="shared" si="70"/>
        <v>125.8</v>
      </c>
      <c r="I931" s="3">
        <f t="shared" si="71"/>
        <v>925</v>
      </c>
      <c r="J931" s="1">
        <f t="shared" si="72"/>
        <v>350</v>
      </c>
      <c r="K931" s="1">
        <f t="shared" si="73"/>
        <v>323750</v>
      </c>
      <c r="L931" s="2" t="str">
        <f t="shared" si="74"/>
        <v>Average</v>
      </c>
    </row>
    <row r="932" spans="1:12" x14ac:dyDescent="0.3">
      <c r="A932" t="s">
        <v>1612</v>
      </c>
      <c r="B932" t="s">
        <v>213</v>
      </c>
      <c r="C932" s="3">
        <v>4.0999999999999996</v>
      </c>
      <c r="D932" s="3">
        <v>8457</v>
      </c>
      <c r="E932" t="s">
        <v>214</v>
      </c>
      <c r="F932" s="3">
        <v>19.0168049</v>
      </c>
      <c r="G932">
        <v>72.846186899999907</v>
      </c>
      <c r="H932">
        <f t="shared" si="70"/>
        <v>34673.699999999997</v>
      </c>
      <c r="I932" s="3">
        <f t="shared" si="71"/>
        <v>211425</v>
      </c>
      <c r="J932" s="1">
        <f t="shared" si="72"/>
        <v>350</v>
      </c>
      <c r="K932" s="1">
        <f t="shared" si="73"/>
        <v>73998750</v>
      </c>
      <c r="L932" s="2" t="str">
        <f t="shared" si="74"/>
        <v>Popular</v>
      </c>
    </row>
    <row r="933" spans="1:12" x14ac:dyDescent="0.3">
      <c r="A933" t="s">
        <v>1612</v>
      </c>
      <c r="B933" t="s">
        <v>1657</v>
      </c>
      <c r="C933" s="3">
        <v>3.5</v>
      </c>
      <c r="D933" s="3">
        <v>110</v>
      </c>
      <c r="E933" t="s">
        <v>1658</v>
      </c>
      <c r="F933" s="3">
        <v>19.037456599999999</v>
      </c>
      <c r="G933">
        <v>72.853077900000002</v>
      </c>
      <c r="H933">
        <f t="shared" si="70"/>
        <v>385</v>
      </c>
      <c r="I933" s="3">
        <f t="shared" si="71"/>
        <v>2750</v>
      </c>
      <c r="J933" s="1">
        <f t="shared" si="72"/>
        <v>350</v>
      </c>
      <c r="K933" s="1">
        <f t="shared" si="73"/>
        <v>962500</v>
      </c>
      <c r="L933" s="2" t="str">
        <f t="shared" si="74"/>
        <v>Average</v>
      </c>
    </row>
    <row r="934" spans="1:12" x14ac:dyDescent="0.3">
      <c r="A934" t="s">
        <v>1612</v>
      </c>
      <c r="B934" t="s">
        <v>1659</v>
      </c>
      <c r="C934" s="3">
        <v>4.2</v>
      </c>
      <c r="D934" s="3">
        <v>41</v>
      </c>
      <c r="E934" t="s">
        <v>1660</v>
      </c>
      <c r="F934" s="3">
        <v>19.042857600000001</v>
      </c>
      <c r="G934">
        <v>72.857282400000003</v>
      </c>
      <c r="H934">
        <f t="shared" si="70"/>
        <v>172.20000000000002</v>
      </c>
      <c r="I934" s="3">
        <f t="shared" si="71"/>
        <v>1025</v>
      </c>
      <c r="J934" s="1">
        <f t="shared" si="72"/>
        <v>350</v>
      </c>
      <c r="K934" s="1">
        <f t="shared" si="73"/>
        <v>358750</v>
      </c>
      <c r="L934" s="2" t="str">
        <f t="shared" si="74"/>
        <v>Popular</v>
      </c>
    </row>
    <row r="935" spans="1:12" x14ac:dyDescent="0.3">
      <c r="A935" t="s">
        <v>1612</v>
      </c>
      <c r="B935" t="s">
        <v>1661</v>
      </c>
      <c r="C935" s="3">
        <v>4</v>
      </c>
      <c r="D935" s="3">
        <v>1427</v>
      </c>
      <c r="E935" t="s">
        <v>1662</v>
      </c>
      <c r="F935" s="3">
        <v>19.038035199999999</v>
      </c>
      <c r="G935">
        <v>72.853544200000002</v>
      </c>
      <c r="H935">
        <f t="shared" si="70"/>
        <v>5708</v>
      </c>
      <c r="I935" s="3">
        <f t="shared" si="71"/>
        <v>35675</v>
      </c>
      <c r="J935" s="1">
        <f t="shared" si="72"/>
        <v>350</v>
      </c>
      <c r="K935" s="1">
        <f t="shared" si="73"/>
        <v>12486250</v>
      </c>
      <c r="L935" s="2" t="str">
        <f t="shared" si="74"/>
        <v>Popular</v>
      </c>
    </row>
    <row r="936" spans="1:12" x14ac:dyDescent="0.3">
      <c r="A936" t="s">
        <v>1612</v>
      </c>
      <c r="B936" t="s">
        <v>1663</v>
      </c>
      <c r="C936" s="3">
        <v>4.3</v>
      </c>
      <c r="D936" s="3">
        <v>28</v>
      </c>
      <c r="E936" t="s">
        <v>1664</v>
      </c>
      <c r="F936" s="3">
        <v>19.0424218</v>
      </c>
      <c r="G936">
        <v>72.8535605</v>
      </c>
      <c r="H936">
        <f t="shared" si="70"/>
        <v>120.39999999999999</v>
      </c>
      <c r="I936" s="3">
        <f t="shared" si="71"/>
        <v>700</v>
      </c>
      <c r="J936" s="1">
        <f t="shared" si="72"/>
        <v>350</v>
      </c>
      <c r="K936" s="1">
        <f t="shared" si="73"/>
        <v>245000</v>
      </c>
      <c r="L936" s="2" t="str">
        <f t="shared" si="74"/>
        <v>Popular</v>
      </c>
    </row>
    <row r="937" spans="1:12" x14ac:dyDescent="0.3">
      <c r="A937" t="s">
        <v>1612</v>
      </c>
      <c r="B937" t="s">
        <v>1665</v>
      </c>
      <c r="C937" s="3">
        <v>4</v>
      </c>
      <c r="D937" s="3">
        <v>236</v>
      </c>
      <c r="E937" t="s">
        <v>1666</v>
      </c>
      <c r="F937" s="3">
        <v>19.043220999999999</v>
      </c>
      <c r="G937">
        <v>72.847906999999907</v>
      </c>
      <c r="H937">
        <f t="shared" si="70"/>
        <v>944</v>
      </c>
      <c r="I937" s="3">
        <f t="shared" si="71"/>
        <v>5900</v>
      </c>
      <c r="J937" s="1">
        <f t="shared" si="72"/>
        <v>350</v>
      </c>
      <c r="K937" s="1">
        <f t="shared" si="73"/>
        <v>2065000</v>
      </c>
      <c r="L937" s="2" t="str">
        <f t="shared" si="74"/>
        <v>Popular</v>
      </c>
    </row>
    <row r="938" spans="1:12" x14ac:dyDescent="0.3">
      <c r="A938" t="s">
        <v>1612</v>
      </c>
      <c r="B938" t="s">
        <v>1667</v>
      </c>
      <c r="C938" s="3">
        <v>4</v>
      </c>
      <c r="D938" s="3">
        <v>71</v>
      </c>
      <c r="E938" t="s">
        <v>1668</v>
      </c>
      <c r="F938" s="3">
        <v>19.0456292</v>
      </c>
      <c r="G938">
        <v>72.848022999999998</v>
      </c>
      <c r="H938">
        <f t="shared" si="70"/>
        <v>284</v>
      </c>
      <c r="I938" s="3">
        <f t="shared" si="71"/>
        <v>1775</v>
      </c>
      <c r="J938" s="1">
        <f t="shared" si="72"/>
        <v>350</v>
      </c>
      <c r="K938" s="1">
        <f t="shared" si="73"/>
        <v>621250</v>
      </c>
      <c r="L938" s="2" t="str">
        <f t="shared" si="74"/>
        <v>Popular</v>
      </c>
    </row>
    <row r="939" spans="1:12" x14ac:dyDescent="0.3">
      <c r="A939" t="s">
        <v>1612</v>
      </c>
      <c r="B939" t="s">
        <v>1669</v>
      </c>
      <c r="C939" s="3">
        <v>4.5</v>
      </c>
      <c r="D939" s="3">
        <v>4</v>
      </c>
      <c r="E939" t="s">
        <v>1670</v>
      </c>
      <c r="F939" s="3">
        <v>19.046265200000001</v>
      </c>
      <c r="G939">
        <v>72.857750600000003</v>
      </c>
      <c r="H939">
        <f t="shared" si="70"/>
        <v>18</v>
      </c>
      <c r="I939" s="3">
        <f t="shared" si="71"/>
        <v>100</v>
      </c>
      <c r="J939" s="1">
        <f t="shared" si="72"/>
        <v>450</v>
      </c>
      <c r="K939" s="1">
        <f t="shared" si="73"/>
        <v>45000</v>
      </c>
      <c r="L939" s="2" t="str">
        <f t="shared" si="74"/>
        <v>Premium</v>
      </c>
    </row>
    <row r="940" spans="1:12" x14ac:dyDescent="0.3">
      <c r="A940" t="s">
        <v>1612</v>
      </c>
      <c r="B940" t="s">
        <v>1671</v>
      </c>
      <c r="C940" s="3">
        <v>3.9</v>
      </c>
      <c r="D940" s="3">
        <v>10</v>
      </c>
      <c r="E940" t="s">
        <v>1672</v>
      </c>
      <c r="F940" s="3">
        <v>19.043562300000001</v>
      </c>
      <c r="G940">
        <v>72.847505999999996</v>
      </c>
      <c r="H940">
        <f t="shared" si="70"/>
        <v>39</v>
      </c>
      <c r="I940" s="3">
        <f t="shared" si="71"/>
        <v>250</v>
      </c>
      <c r="J940" s="1">
        <f t="shared" si="72"/>
        <v>350</v>
      </c>
      <c r="K940" s="1">
        <f t="shared" si="73"/>
        <v>87500</v>
      </c>
      <c r="L940" s="2" t="str">
        <f t="shared" si="74"/>
        <v>Average</v>
      </c>
    </row>
    <row r="941" spans="1:12" x14ac:dyDescent="0.3">
      <c r="A941" t="s">
        <v>1612</v>
      </c>
      <c r="B941" t="s">
        <v>1673</v>
      </c>
      <c r="C941" s="3">
        <v>5</v>
      </c>
      <c r="D941" s="3">
        <v>1</v>
      </c>
      <c r="E941" t="s">
        <v>1674</v>
      </c>
      <c r="F941" s="3">
        <v>19.044955900000001</v>
      </c>
      <c r="G941">
        <v>72.852566899999999</v>
      </c>
      <c r="H941">
        <f t="shared" si="70"/>
        <v>5</v>
      </c>
      <c r="I941" s="3">
        <f t="shared" si="71"/>
        <v>25</v>
      </c>
      <c r="J941" s="1">
        <f t="shared" si="72"/>
        <v>550</v>
      </c>
      <c r="K941" s="1">
        <f t="shared" si="73"/>
        <v>13750</v>
      </c>
      <c r="L941" s="2" t="str">
        <f t="shared" si="74"/>
        <v>Premium</v>
      </c>
    </row>
    <row r="942" spans="1:12" x14ac:dyDescent="0.3">
      <c r="A942" t="s">
        <v>1612</v>
      </c>
      <c r="B942" t="s">
        <v>905</v>
      </c>
      <c r="C942" s="3">
        <v>3.8</v>
      </c>
      <c r="D942" s="3">
        <v>54</v>
      </c>
      <c r="E942" t="s">
        <v>906</v>
      </c>
      <c r="F942" s="3">
        <v>19.0537642</v>
      </c>
      <c r="G942">
        <v>72.851673499999904</v>
      </c>
      <c r="H942">
        <f t="shared" si="70"/>
        <v>205.2</v>
      </c>
      <c r="I942" s="3">
        <f t="shared" si="71"/>
        <v>1350</v>
      </c>
      <c r="J942" s="1">
        <f t="shared" si="72"/>
        <v>350</v>
      </c>
      <c r="K942" s="1">
        <f t="shared" si="73"/>
        <v>472500</v>
      </c>
      <c r="L942" s="2" t="str">
        <f t="shared" si="74"/>
        <v>Average</v>
      </c>
    </row>
    <row r="943" spans="1:12" x14ac:dyDescent="0.3">
      <c r="A943" t="s">
        <v>1612</v>
      </c>
      <c r="B943" t="s">
        <v>1675</v>
      </c>
      <c r="C943" s="3">
        <v>3.7</v>
      </c>
      <c r="D943" s="3">
        <v>1095</v>
      </c>
      <c r="E943" t="s">
        <v>1676</v>
      </c>
      <c r="F943" s="3">
        <v>19.035401</v>
      </c>
      <c r="G943">
        <v>72.852856299999999</v>
      </c>
      <c r="H943">
        <f t="shared" si="70"/>
        <v>4051.5</v>
      </c>
      <c r="I943" s="3">
        <f t="shared" si="71"/>
        <v>27375</v>
      </c>
      <c r="J943" s="1">
        <f t="shared" si="72"/>
        <v>350</v>
      </c>
      <c r="K943" s="1">
        <f t="shared" si="73"/>
        <v>9581250</v>
      </c>
      <c r="L943" s="2" t="str">
        <f t="shared" si="74"/>
        <v>Average</v>
      </c>
    </row>
    <row r="944" spans="1:12" x14ac:dyDescent="0.3">
      <c r="A944" t="s">
        <v>1612</v>
      </c>
      <c r="B944" t="s">
        <v>1677</v>
      </c>
      <c r="C944" s="3">
        <v>4.8</v>
      </c>
      <c r="D944" s="3">
        <v>260</v>
      </c>
      <c r="E944" t="s">
        <v>1678</v>
      </c>
      <c r="F944" s="3">
        <v>19.051199</v>
      </c>
      <c r="G944">
        <v>72.864183699999998</v>
      </c>
      <c r="H944">
        <f t="shared" si="70"/>
        <v>1248</v>
      </c>
      <c r="I944" s="3">
        <f t="shared" si="71"/>
        <v>6500</v>
      </c>
      <c r="J944" s="1">
        <f t="shared" si="72"/>
        <v>550</v>
      </c>
      <c r="K944" s="1">
        <f t="shared" si="73"/>
        <v>3575000</v>
      </c>
      <c r="L944" s="2" t="str">
        <f t="shared" si="74"/>
        <v>Premium</v>
      </c>
    </row>
    <row r="945" spans="1:12" x14ac:dyDescent="0.3">
      <c r="A945" t="s">
        <v>1612</v>
      </c>
      <c r="B945" t="s">
        <v>1679</v>
      </c>
      <c r="C945" s="3">
        <v>3.7</v>
      </c>
      <c r="D945" s="3">
        <v>66</v>
      </c>
      <c r="E945" t="s">
        <v>1680</v>
      </c>
      <c r="F945" s="3">
        <v>19.042036100000001</v>
      </c>
      <c r="G945">
        <v>72.856076599999994</v>
      </c>
      <c r="H945">
        <f t="shared" si="70"/>
        <v>244.20000000000002</v>
      </c>
      <c r="I945" s="3">
        <f t="shared" si="71"/>
        <v>1650</v>
      </c>
      <c r="J945" s="1">
        <f t="shared" si="72"/>
        <v>350</v>
      </c>
      <c r="K945" s="1">
        <f t="shared" si="73"/>
        <v>577500</v>
      </c>
      <c r="L945" s="2" t="str">
        <f t="shared" si="74"/>
        <v>Average</v>
      </c>
    </row>
    <row r="946" spans="1:12" x14ac:dyDescent="0.3">
      <c r="A946" t="s">
        <v>1612</v>
      </c>
      <c r="B946" t="s">
        <v>1681</v>
      </c>
      <c r="C946" s="3">
        <v>4.3</v>
      </c>
      <c r="D946" s="3">
        <v>35428</v>
      </c>
      <c r="E946" t="s">
        <v>1682</v>
      </c>
      <c r="F946" s="3">
        <v>19.0429043</v>
      </c>
      <c r="G946">
        <v>72.861876499999994</v>
      </c>
      <c r="H946">
        <f t="shared" si="70"/>
        <v>152340.4</v>
      </c>
      <c r="I946" s="3">
        <f t="shared" si="71"/>
        <v>885700</v>
      </c>
      <c r="J946" s="1">
        <f t="shared" si="72"/>
        <v>350</v>
      </c>
      <c r="K946" s="1">
        <f t="shared" si="73"/>
        <v>309995000</v>
      </c>
      <c r="L946" s="2" t="str">
        <f t="shared" si="74"/>
        <v>Popular</v>
      </c>
    </row>
    <row r="947" spans="1:12" x14ac:dyDescent="0.3">
      <c r="A947" t="s">
        <v>1612</v>
      </c>
      <c r="B947" t="s">
        <v>1683</v>
      </c>
      <c r="C947" s="3">
        <v>5</v>
      </c>
      <c r="D947" s="3">
        <v>1</v>
      </c>
      <c r="E947" t="s">
        <v>1684</v>
      </c>
      <c r="F947" s="3">
        <v>19.041708199999999</v>
      </c>
      <c r="G947">
        <v>72.848399000000001</v>
      </c>
      <c r="H947">
        <f t="shared" si="70"/>
        <v>5</v>
      </c>
      <c r="I947" s="3">
        <f t="shared" si="71"/>
        <v>25</v>
      </c>
      <c r="J947" s="1">
        <f t="shared" si="72"/>
        <v>550</v>
      </c>
      <c r="K947" s="1">
        <f t="shared" si="73"/>
        <v>13750</v>
      </c>
      <c r="L947" s="2" t="str">
        <f t="shared" si="74"/>
        <v>Premium</v>
      </c>
    </row>
    <row r="948" spans="1:12" x14ac:dyDescent="0.3">
      <c r="A948" t="s">
        <v>1612</v>
      </c>
      <c r="B948" t="s">
        <v>1685</v>
      </c>
      <c r="C948" s="3">
        <v>4</v>
      </c>
      <c r="D948" s="3">
        <v>235</v>
      </c>
      <c r="E948" t="s">
        <v>1686</v>
      </c>
      <c r="F948" s="3">
        <v>19.0441161</v>
      </c>
      <c r="G948">
        <v>72.851426099999998</v>
      </c>
      <c r="H948">
        <f t="shared" si="70"/>
        <v>940</v>
      </c>
      <c r="I948" s="3">
        <f t="shared" si="71"/>
        <v>5875</v>
      </c>
      <c r="J948" s="1">
        <f t="shared" si="72"/>
        <v>350</v>
      </c>
      <c r="K948" s="1">
        <f t="shared" si="73"/>
        <v>2056250</v>
      </c>
      <c r="L948" s="2" t="str">
        <f t="shared" si="74"/>
        <v>Popular</v>
      </c>
    </row>
    <row r="949" spans="1:12" x14ac:dyDescent="0.3">
      <c r="A949" t="s">
        <v>1612</v>
      </c>
      <c r="B949" t="s">
        <v>1687</v>
      </c>
      <c r="C949" s="3">
        <v>4.2</v>
      </c>
      <c r="D949" s="3">
        <v>29</v>
      </c>
      <c r="E949" t="s">
        <v>1688</v>
      </c>
      <c r="F949" s="3">
        <v>19.038103599999999</v>
      </c>
      <c r="G949">
        <v>72.853419700000003</v>
      </c>
      <c r="H949">
        <f t="shared" si="70"/>
        <v>121.80000000000001</v>
      </c>
      <c r="I949" s="3">
        <f t="shared" si="71"/>
        <v>725</v>
      </c>
      <c r="J949" s="1">
        <f t="shared" si="72"/>
        <v>350</v>
      </c>
      <c r="K949" s="1">
        <f t="shared" si="73"/>
        <v>253750</v>
      </c>
      <c r="L949" s="2" t="str">
        <f t="shared" si="74"/>
        <v>Popular</v>
      </c>
    </row>
    <row r="950" spans="1:12" x14ac:dyDescent="0.3">
      <c r="A950" t="s">
        <v>1612</v>
      </c>
      <c r="B950" t="s">
        <v>487</v>
      </c>
      <c r="C950" s="3">
        <v>4.7</v>
      </c>
      <c r="D950" s="3">
        <v>261</v>
      </c>
      <c r="E950" t="s">
        <v>488</v>
      </c>
      <c r="F950" s="3">
        <v>19.0519426</v>
      </c>
      <c r="G950">
        <v>72.829369</v>
      </c>
      <c r="H950">
        <f t="shared" si="70"/>
        <v>1226.7</v>
      </c>
      <c r="I950" s="3">
        <f t="shared" si="71"/>
        <v>6525</v>
      </c>
      <c r="J950" s="1">
        <f t="shared" si="72"/>
        <v>550</v>
      </c>
      <c r="K950" s="1">
        <f t="shared" si="73"/>
        <v>3588750</v>
      </c>
      <c r="L950" s="2" t="str">
        <f t="shared" si="74"/>
        <v>Premium</v>
      </c>
    </row>
    <row r="951" spans="1:12" x14ac:dyDescent="0.3">
      <c r="A951" t="s">
        <v>1612</v>
      </c>
      <c r="B951" t="s">
        <v>429</v>
      </c>
      <c r="C951" s="3">
        <v>4.2</v>
      </c>
      <c r="D951" s="3">
        <v>967</v>
      </c>
      <c r="E951" t="s">
        <v>430</v>
      </c>
      <c r="F951" s="3">
        <v>19.062470900000001</v>
      </c>
      <c r="G951">
        <v>72.8310496</v>
      </c>
      <c r="H951">
        <f t="shared" si="70"/>
        <v>4061.4</v>
      </c>
      <c r="I951" s="3">
        <f t="shared" si="71"/>
        <v>24175</v>
      </c>
      <c r="J951" s="1">
        <f t="shared" si="72"/>
        <v>350</v>
      </c>
      <c r="K951" s="1">
        <f t="shared" si="73"/>
        <v>8461250</v>
      </c>
      <c r="L951" s="2" t="str">
        <f t="shared" si="74"/>
        <v>Popular</v>
      </c>
    </row>
    <row r="952" spans="1:12" x14ac:dyDescent="0.3">
      <c r="A952" t="s">
        <v>1612</v>
      </c>
      <c r="B952" t="s">
        <v>1689</v>
      </c>
      <c r="C952" s="3">
        <v>4.2</v>
      </c>
      <c r="D952" s="3">
        <v>25</v>
      </c>
      <c r="E952" t="s">
        <v>1690</v>
      </c>
      <c r="F952" s="3">
        <v>19.044892300000001</v>
      </c>
      <c r="G952">
        <v>72.864584699999995</v>
      </c>
      <c r="H952">
        <f t="shared" si="70"/>
        <v>105</v>
      </c>
      <c r="I952" s="3">
        <f t="shared" si="71"/>
        <v>625</v>
      </c>
      <c r="J952" s="1">
        <f t="shared" si="72"/>
        <v>350</v>
      </c>
      <c r="K952" s="1">
        <f t="shared" si="73"/>
        <v>218750</v>
      </c>
      <c r="L952" s="2" t="str">
        <f t="shared" si="74"/>
        <v>Popular</v>
      </c>
    </row>
    <row r="953" spans="1:12" x14ac:dyDescent="0.3">
      <c r="A953" t="s">
        <v>1612</v>
      </c>
      <c r="B953" t="s">
        <v>853</v>
      </c>
      <c r="C953" s="3">
        <v>4.5</v>
      </c>
      <c r="D953" s="3">
        <v>2570</v>
      </c>
      <c r="E953" t="s">
        <v>854</v>
      </c>
      <c r="F953" s="3">
        <v>19.067784</v>
      </c>
      <c r="G953">
        <v>72.868971799999997</v>
      </c>
      <c r="H953">
        <f t="shared" si="70"/>
        <v>11565</v>
      </c>
      <c r="I953" s="3">
        <f t="shared" si="71"/>
        <v>64250</v>
      </c>
      <c r="J953" s="1">
        <f t="shared" si="72"/>
        <v>450</v>
      </c>
      <c r="K953" s="1">
        <f t="shared" si="73"/>
        <v>28912500</v>
      </c>
      <c r="L953" s="2" t="str">
        <f t="shared" si="74"/>
        <v>Premium</v>
      </c>
    </row>
    <row r="954" spans="1:12" x14ac:dyDescent="0.3">
      <c r="A954" t="s">
        <v>1612</v>
      </c>
      <c r="B954" t="s">
        <v>1691</v>
      </c>
      <c r="C954" s="3">
        <v>3.2</v>
      </c>
      <c r="D954" s="3">
        <v>5</v>
      </c>
      <c r="E954" t="s">
        <v>1692</v>
      </c>
      <c r="F954" s="3">
        <v>19.046849300000002</v>
      </c>
      <c r="G954">
        <v>72.852132299999994</v>
      </c>
      <c r="H954">
        <f t="shared" si="70"/>
        <v>16</v>
      </c>
      <c r="I954" s="3">
        <f t="shared" si="71"/>
        <v>125</v>
      </c>
      <c r="J954" s="1">
        <f t="shared" si="72"/>
        <v>350</v>
      </c>
      <c r="K954" s="1">
        <f t="shared" si="73"/>
        <v>43750</v>
      </c>
      <c r="L954" s="2" t="str">
        <f t="shared" si="74"/>
        <v>Average</v>
      </c>
    </row>
    <row r="955" spans="1:12" x14ac:dyDescent="0.3">
      <c r="A955" t="s">
        <v>1612</v>
      </c>
      <c r="B955" t="s">
        <v>1693</v>
      </c>
      <c r="C955" s="3">
        <v>3.4</v>
      </c>
      <c r="D955" s="3">
        <v>24</v>
      </c>
      <c r="E955" t="s">
        <v>1694</v>
      </c>
      <c r="F955" s="3">
        <v>19.043824999999998</v>
      </c>
      <c r="G955">
        <v>72.848335499999905</v>
      </c>
      <c r="H955">
        <f t="shared" si="70"/>
        <v>81.599999999999994</v>
      </c>
      <c r="I955" s="3">
        <f t="shared" si="71"/>
        <v>600</v>
      </c>
      <c r="J955" s="1">
        <f t="shared" si="72"/>
        <v>350</v>
      </c>
      <c r="K955" s="1">
        <f t="shared" si="73"/>
        <v>210000</v>
      </c>
      <c r="L955" s="2" t="str">
        <f t="shared" si="74"/>
        <v>Average</v>
      </c>
    </row>
    <row r="956" spans="1:12" x14ac:dyDescent="0.3">
      <c r="A956" t="s">
        <v>1612</v>
      </c>
      <c r="B956" t="s">
        <v>1695</v>
      </c>
      <c r="C956" s="3">
        <v>3.8</v>
      </c>
      <c r="D956" s="3">
        <v>11</v>
      </c>
      <c r="E956" t="s">
        <v>1696</v>
      </c>
      <c r="F956" s="3">
        <v>19.050506599999999</v>
      </c>
      <c r="G956">
        <v>72.865108399999997</v>
      </c>
      <c r="H956">
        <f t="shared" si="70"/>
        <v>41.8</v>
      </c>
      <c r="I956" s="3">
        <f t="shared" si="71"/>
        <v>275</v>
      </c>
      <c r="J956" s="1">
        <f t="shared" si="72"/>
        <v>350</v>
      </c>
      <c r="K956" s="1">
        <f t="shared" si="73"/>
        <v>96250</v>
      </c>
      <c r="L956" s="2" t="str">
        <f t="shared" si="74"/>
        <v>Average</v>
      </c>
    </row>
    <row r="957" spans="1:12" x14ac:dyDescent="0.3">
      <c r="A957" t="s">
        <v>1612</v>
      </c>
      <c r="B957" t="s">
        <v>235</v>
      </c>
      <c r="C957" s="3">
        <v>4.5</v>
      </c>
      <c r="D957" s="3">
        <v>774</v>
      </c>
      <c r="E957" t="s">
        <v>236</v>
      </c>
      <c r="F957" s="3">
        <v>19.019539099999999</v>
      </c>
      <c r="G957">
        <v>72.831898199999998</v>
      </c>
      <c r="H957">
        <f t="shared" si="70"/>
        <v>3483</v>
      </c>
      <c r="I957" s="3">
        <f t="shared" si="71"/>
        <v>19350</v>
      </c>
      <c r="J957" s="1">
        <f t="shared" si="72"/>
        <v>450</v>
      </c>
      <c r="K957" s="1">
        <f t="shared" si="73"/>
        <v>8707500</v>
      </c>
      <c r="L957" s="2" t="str">
        <f t="shared" si="74"/>
        <v>Premium</v>
      </c>
    </row>
    <row r="958" spans="1:12" x14ac:dyDescent="0.3">
      <c r="A958" t="s">
        <v>1612</v>
      </c>
      <c r="B958" t="s">
        <v>1697</v>
      </c>
      <c r="C958" s="3">
        <v>3.9</v>
      </c>
      <c r="D958" s="3">
        <v>482</v>
      </c>
      <c r="E958" t="s">
        <v>1698</v>
      </c>
      <c r="F958" s="3">
        <v>19.042317100000002</v>
      </c>
      <c r="G958">
        <v>72.856722099999999</v>
      </c>
      <c r="H958">
        <f t="shared" si="70"/>
        <v>1879.8</v>
      </c>
      <c r="I958" s="3">
        <f t="shared" si="71"/>
        <v>12050</v>
      </c>
      <c r="J958" s="1">
        <f t="shared" si="72"/>
        <v>350</v>
      </c>
      <c r="K958" s="1">
        <f t="shared" si="73"/>
        <v>4217500</v>
      </c>
      <c r="L958" s="2" t="str">
        <f t="shared" si="74"/>
        <v>Average</v>
      </c>
    </row>
    <row r="959" spans="1:12" x14ac:dyDescent="0.3">
      <c r="A959" t="s">
        <v>1612</v>
      </c>
      <c r="B959" t="s">
        <v>1699</v>
      </c>
      <c r="C959" s="3">
        <v>5</v>
      </c>
      <c r="D959" s="3">
        <v>5</v>
      </c>
      <c r="E959" t="s">
        <v>1700</v>
      </c>
      <c r="F959" s="3">
        <v>19.046227600000002</v>
      </c>
      <c r="G959">
        <v>72.859600200000003</v>
      </c>
      <c r="H959">
        <f t="shared" si="70"/>
        <v>25</v>
      </c>
      <c r="I959" s="3">
        <f t="shared" si="71"/>
        <v>125</v>
      </c>
      <c r="J959" s="1">
        <f t="shared" si="72"/>
        <v>550</v>
      </c>
      <c r="K959" s="1">
        <f t="shared" si="73"/>
        <v>68750</v>
      </c>
      <c r="L959" s="2" t="str">
        <f t="shared" si="74"/>
        <v>Premium</v>
      </c>
    </row>
    <row r="960" spans="1:12" x14ac:dyDescent="0.3">
      <c r="A960" t="s">
        <v>1612</v>
      </c>
      <c r="B960" t="s">
        <v>1701</v>
      </c>
      <c r="C960" s="3">
        <v>3.6</v>
      </c>
      <c r="D960" s="3">
        <v>211</v>
      </c>
      <c r="E960" t="s">
        <v>1702</v>
      </c>
      <c r="F960" s="3">
        <v>19.041358899999999</v>
      </c>
      <c r="G960">
        <v>72.855917499999904</v>
      </c>
      <c r="H960">
        <f t="shared" si="70"/>
        <v>759.6</v>
      </c>
      <c r="I960" s="3">
        <f t="shared" si="71"/>
        <v>5275</v>
      </c>
      <c r="J960" s="1">
        <f t="shared" si="72"/>
        <v>350</v>
      </c>
      <c r="K960" s="1">
        <f t="shared" si="73"/>
        <v>1846250</v>
      </c>
      <c r="L960" s="2" t="str">
        <f t="shared" si="74"/>
        <v>Average</v>
      </c>
    </row>
    <row r="961" spans="1:12" x14ac:dyDescent="0.3">
      <c r="A961" t="s">
        <v>1612</v>
      </c>
      <c r="B961" t="s">
        <v>415</v>
      </c>
      <c r="C961" s="3">
        <v>4.5</v>
      </c>
      <c r="D961" s="3">
        <v>3809</v>
      </c>
      <c r="E961" t="s">
        <v>416</v>
      </c>
      <c r="F961" s="3">
        <v>19.060597900000001</v>
      </c>
      <c r="G961">
        <v>72.824389999999994</v>
      </c>
      <c r="H961">
        <f t="shared" si="70"/>
        <v>17140.5</v>
      </c>
      <c r="I961" s="3">
        <f t="shared" si="71"/>
        <v>95225</v>
      </c>
      <c r="J961" s="1">
        <f t="shared" si="72"/>
        <v>450</v>
      </c>
      <c r="K961" s="1">
        <f t="shared" si="73"/>
        <v>42851250</v>
      </c>
      <c r="L961" s="2" t="str">
        <f t="shared" si="74"/>
        <v>Premium</v>
      </c>
    </row>
    <row r="962" spans="1:12" x14ac:dyDescent="0.3">
      <c r="A962" t="s">
        <v>1703</v>
      </c>
      <c r="B962" t="s">
        <v>433</v>
      </c>
      <c r="C962" s="3">
        <v>4.3</v>
      </c>
      <c r="D962" s="3">
        <v>9381</v>
      </c>
      <c r="E962" t="s">
        <v>1704</v>
      </c>
      <c r="F962" s="3">
        <v>19.116927700000002</v>
      </c>
      <c r="G962">
        <v>72.909896799999999</v>
      </c>
      <c r="H962">
        <f t="shared" ref="H962:H1025" si="75">C962*D962</f>
        <v>40338.299999999996</v>
      </c>
      <c r="I962" s="3">
        <f t="shared" ref="I962:I1025" si="76">D962*25</f>
        <v>234525</v>
      </c>
      <c r="J962" s="1">
        <f t="shared" ref="J962:J1025" si="77">IF(C962&gt;=4.7,550,IF(C962&gt;=4.4,450,IF(C962&gt;=O964,350,250)))</f>
        <v>350</v>
      </c>
      <c r="K962" s="1">
        <f t="shared" ref="K962:K1025" si="78">I962*J962</f>
        <v>82083750</v>
      </c>
      <c r="L962" s="2" t="str">
        <f t="shared" ref="L962:L1025" si="79">IF(C962&gt;=4.5,"Premium",IF(C962&gt;=4,"Popular","Average"))</f>
        <v>Popular</v>
      </c>
    </row>
    <row r="963" spans="1:12" x14ac:dyDescent="0.3">
      <c r="A963" t="s">
        <v>1703</v>
      </c>
      <c r="B963" t="s">
        <v>195</v>
      </c>
      <c r="C963" s="3">
        <v>4.4000000000000004</v>
      </c>
      <c r="D963" s="3">
        <v>2129</v>
      </c>
      <c r="E963" t="s">
        <v>1705</v>
      </c>
      <c r="F963" s="3">
        <v>19.115683799999999</v>
      </c>
      <c r="G963">
        <v>72.9090305</v>
      </c>
      <c r="H963">
        <f t="shared" si="75"/>
        <v>9367.6</v>
      </c>
      <c r="I963" s="3">
        <f t="shared" si="76"/>
        <v>53225</v>
      </c>
      <c r="J963" s="1">
        <f t="shared" si="77"/>
        <v>450</v>
      </c>
      <c r="K963" s="1">
        <f t="shared" si="78"/>
        <v>23951250</v>
      </c>
      <c r="L963" s="2" t="str">
        <f t="shared" si="79"/>
        <v>Popular</v>
      </c>
    </row>
    <row r="964" spans="1:12" x14ac:dyDescent="0.3">
      <c r="A964" t="s">
        <v>1703</v>
      </c>
      <c r="B964" t="s">
        <v>1706</v>
      </c>
      <c r="C964" s="3">
        <v>4.2</v>
      </c>
      <c r="D964" s="3">
        <v>397</v>
      </c>
      <c r="E964" t="s">
        <v>1707</v>
      </c>
      <c r="F964" s="3">
        <v>19.117204999999998</v>
      </c>
      <c r="G964">
        <v>72.909686299999905</v>
      </c>
      <c r="H964">
        <f t="shared" si="75"/>
        <v>1667.4</v>
      </c>
      <c r="I964" s="3">
        <f t="shared" si="76"/>
        <v>9925</v>
      </c>
      <c r="J964" s="1">
        <f t="shared" si="77"/>
        <v>350</v>
      </c>
      <c r="K964" s="1">
        <f t="shared" si="78"/>
        <v>3473750</v>
      </c>
      <c r="L964" s="2" t="str">
        <f t="shared" si="79"/>
        <v>Popular</v>
      </c>
    </row>
    <row r="965" spans="1:12" x14ac:dyDescent="0.3">
      <c r="A965" t="s">
        <v>1703</v>
      </c>
      <c r="B965" t="s">
        <v>1708</v>
      </c>
      <c r="C965" s="3">
        <v>4</v>
      </c>
      <c r="D965" s="3">
        <v>4099</v>
      </c>
      <c r="E965" t="s">
        <v>1709</v>
      </c>
      <c r="F965" s="3">
        <v>19.116056199999999</v>
      </c>
      <c r="G965">
        <v>72.908977499999907</v>
      </c>
      <c r="H965">
        <f t="shared" si="75"/>
        <v>16396</v>
      </c>
      <c r="I965" s="3">
        <f t="shared" si="76"/>
        <v>102475</v>
      </c>
      <c r="J965" s="1">
        <f t="shared" si="77"/>
        <v>350</v>
      </c>
      <c r="K965" s="1">
        <f t="shared" si="78"/>
        <v>35866250</v>
      </c>
      <c r="L965" s="2" t="str">
        <f t="shared" si="79"/>
        <v>Popular</v>
      </c>
    </row>
    <row r="966" spans="1:12" x14ac:dyDescent="0.3">
      <c r="A966" t="s">
        <v>1703</v>
      </c>
      <c r="B966" t="s">
        <v>1710</v>
      </c>
      <c r="C966" s="3">
        <v>4.7</v>
      </c>
      <c r="D966" s="3">
        <v>7350</v>
      </c>
      <c r="E966" t="s">
        <v>1711</v>
      </c>
      <c r="F966" s="3">
        <v>19.134335100000001</v>
      </c>
      <c r="G966">
        <v>72.901352899999907</v>
      </c>
      <c r="H966">
        <f t="shared" si="75"/>
        <v>34545</v>
      </c>
      <c r="I966" s="3">
        <f t="shared" si="76"/>
        <v>183750</v>
      </c>
      <c r="J966" s="1">
        <f t="shared" si="77"/>
        <v>550</v>
      </c>
      <c r="K966" s="1">
        <f t="shared" si="78"/>
        <v>101062500</v>
      </c>
      <c r="L966" s="2" t="str">
        <f t="shared" si="79"/>
        <v>Premium</v>
      </c>
    </row>
    <row r="967" spans="1:12" x14ac:dyDescent="0.3">
      <c r="A967" t="s">
        <v>1703</v>
      </c>
      <c r="B967" t="s">
        <v>1712</v>
      </c>
      <c r="C967" s="3">
        <v>4.7</v>
      </c>
      <c r="D967" s="3">
        <v>22</v>
      </c>
      <c r="E967" t="s">
        <v>1713</v>
      </c>
      <c r="F967" s="3">
        <v>19.120161499999998</v>
      </c>
      <c r="G967">
        <v>72.916308299999997</v>
      </c>
      <c r="H967">
        <f t="shared" si="75"/>
        <v>103.4</v>
      </c>
      <c r="I967" s="3">
        <f t="shared" si="76"/>
        <v>550</v>
      </c>
      <c r="J967" s="1">
        <f t="shared" si="77"/>
        <v>550</v>
      </c>
      <c r="K967" s="1">
        <f t="shared" si="78"/>
        <v>302500</v>
      </c>
      <c r="L967" s="2" t="str">
        <f t="shared" si="79"/>
        <v>Premium</v>
      </c>
    </row>
    <row r="968" spans="1:12" x14ac:dyDescent="0.3">
      <c r="A968" t="s">
        <v>1703</v>
      </c>
      <c r="B968" t="s">
        <v>1714</v>
      </c>
      <c r="C968" s="3">
        <v>4.2</v>
      </c>
      <c r="D968" s="3">
        <v>4372</v>
      </c>
      <c r="E968" t="s">
        <v>1715</v>
      </c>
      <c r="F968" s="3">
        <v>19.1205079</v>
      </c>
      <c r="G968">
        <v>72.909278200000003</v>
      </c>
      <c r="H968">
        <f t="shared" si="75"/>
        <v>18362.400000000001</v>
      </c>
      <c r="I968" s="3">
        <f t="shared" si="76"/>
        <v>109300</v>
      </c>
      <c r="J968" s="1">
        <f t="shared" si="77"/>
        <v>350</v>
      </c>
      <c r="K968" s="1">
        <f t="shared" si="78"/>
        <v>38255000</v>
      </c>
      <c r="L968" s="2" t="str">
        <f t="shared" si="79"/>
        <v>Popular</v>
      </c>
    </row>
    <row r="969" spans="1:12" x14ac:dyDescent="0.3">
      <c r="A969" t="s">
        <v>1703</v>
      </c>
      <c r="B969" t="s">
        <v>145</v>
      </c>
      <c r="C969" s="3">
        <v>3.8</v>
      </c>
      <c r="D969" s="3">
        <v>736</v>
      </c>
      <c r="E969" t="s">
        <v>1716</v>
      </c>
      <c r="F969" s="3">
        <v>19.1186878</v>
      </c>
      <c r="G969">
        <v>72.911358100000001</v>
      </c>
      <c r="H969">
        <f t="shared" si="75"/>
        <v>2796.7999999999997</v>
      </c>
      <c r="I969" s="3">
        <f t="shared" si="76"/>
        <v>18400</v>
      </c>
      <c r="J969" s="1">
        <f t="shared" si="77"/>
        <v>350</v>
      </c>
      <c r="K969" s="1">
        <f t="shared" si="78"/>
        <v>6440000</v>
      </c>
      <c r="L969" s="2" t="str">
        <f t="shared" si="79"/>
        <v>Average</v>
      </c>
    </row>
    <row r="970" spans="1:12" x14ac:dyDescent="0.3">
      <c r="A970" t="s">
        <v>1703</v>
      </c>
      <c r="B970" t="s">
        <v>1717</v>
      </c>
      <c r="C970" s="3">
        <v>4.5</v>
      </c>
      <c r="D970" s="3">
        <v>853</v>
      </c>
      <c r="E970" t="s">
        <v>1718</v>
      </c>
      <c r="F970" s="3">
        <v>19.1307887</v>
      </c>
      <c r="G970">
        <v>72.917240699999994</v>
      </c>
      <c r="H970">
        <f t="shared" si="75"/>
        <v>3838.5</v>
      </c>
      <c r="I970" s="3">
        <f t="shared" si="76"/>
        <v>21325</v>
      </c>
      <c r="J970" s="1">
        <f t="shared" si="77"/>
        <v>450</v>
      </c>
      <c r="K970" s="1">
        <f t="shared" si="78"/>
        <v>9596250</v>
      </c>
      <c r="L970" s="2" t="str">
        <f t="shared" si="79"/>
        <v>Premium</v>
      </c>
    </row>
    <row r="971" spans="1:12" x14ac:dyDescent="0.3">
      <c r="A971" t="s">
        <v>1703</v>
      </c>
      <c r="B971" t="s">
        <v>1719</v>
      </c>
      <c r="C971" s="3">
        <v>4.5</v>
      </c>
      <c r="D971" s="3">
        <v>6775</v>
      </c>
      <c r="E971" t="s">
        <v>1720</v>
      </c>
      <c r="F971" s="3">
        <v>19.120090900000001</v>
      </c>
      <c r="G971">
        <v>72.907065500000002</v>
      </c>
      <c r="H971">
        <f t="shared" si="75"/>
        <v>30487.5</v>
      </c>
      <c r="I971" s="3">
        <f t="shared" si="76"/>
        <v>169375</v>
      </c>
      <c r="J971" s="1">
        <f t="shared" si="77"/>
        <v>450</v>
      </c>
      <c r="K971" s="1">
        <f t="shared" si="78"/>
        <v>76218750</v>
      </c>
      <c r="L971" s="2" t="str">
        <f t="shared" si="79"/>
        <v>Premium</v>
      </c>
    </row>
    <row r="972" spans="1:12" x14ac:dyDescent="0.3">
      <c r="A972" t="s">
        <v>1703</v>
      </c>
      <c r="B972" t="s">
        <v>1721</v>
      </c>
      <c r="C972" s="3">
        <v>4.8</v>
      </c>
      <c r="D972" s="3">
        <v>172</v>
      </c>
      <c r="E972" t="s">
        <v>1722</v>
      </c>
      <c r="F972" s="3">
        <v>19.116477100000001</v>
      </c>
      <c r="G972">
        <v>72.901579299999995</v>
      </c>
      <c r="H972">
        <f t="shared" si="75"/>
        <v>825.6</v>
      </c>
      <c r="I972" s="3">
        <f t="shared" si="76"/>
        <v>4300</v>
      </c>
      <c r="J972" s="1">
        <f t="shared" si="77"/>
        <v>550</v>
      </c>
      <c r="K972" s="1">
        <f t="shared" si="78"/>
        <v>2365000</v>
      </c>
      <c r="L972" s="2" t="str">
        <f t="shared" si="79"/>
        <v>Premium</v>
      </c>
    </row>
    <row r="973" spans="1:12" x14ac:dyDescent="0.3">
      <c r="A973" t="s">
        <v>1703</v>
      </c>
      <c r="B973" t="s">
        <v>1723</v>
      </c>
      <c r="C973" s="3">
        <v>4.0999999999999996</v>
      </c>
      <c r="D973" s="3">
        <v>333</v>
      </c>
      <c r="E973" t="s">
        <v>1724</v>
      </c>
      <c r="F973" s="3">
        <v>19.132177500000001</v>
      </c>
      <c r="G973">
        <v>72.915937200000002</v>
      </c>
      <c r="H973">
        <f t="shared" si="75"/>
        <v>1365.3</v>
      </c>
      <c r="I973" s="3">
        <f t="shared" si="76"/>
        <v>8325</v>
      </c>
      <c r="J973" s="1">
        <f t="shared" si="77"/>
        <v>350</v>
      </c>
      <c r="K973" s="1">
        <f t="shared" si="78"/>
        <v>2913750</v>
      </c>
      <c r="L973" s="2" t="str">
        <f t="shared" si="79"/>
        <v>Popular</v>
      </c>
    </row>
    <row r="974" spans="1:12" x14ac:dyDescent="0.3">
      <c r="A974" t="s">
        <v>1703</v>
      </c>
      <c r="B974" t="s">
        <v>145</v>
      </c>
      <c r="C974" s="3">
        <v>4</v>
      </c>
      <c r="D974" s="3">
        <v>1373</v>
      </c>
      <c r="E974" t="s">
        <v>1725</v>
      </c>
      <c r="F974" s="3">
        <v>19.119576599999998</v>
      </c>
      <c r="G974">
        <v>72.901091199999996</v>
      </c>
      <c r="H974">
        <f t="shared" si="75"/>
        <v>5492</v>
      </c>
      <c r="I974" s="3">
        <f t="shared" si="76"/>
        <v>34325</v>
      </c>
      <c r="J974" s="1">
        <f t="shared" si="77"/>
        <v>350</v>
      </c>
      <c r="K974" s="1">
        <f t="shared" si="78"/>
        <v>12013750</v>
      </c>
      <c r="L974" s="2" t="str">
        <f t="shared" si="79"/>
        <v>Popular</v>
      </c>
    </row>
    <row r="975" spans="1:12" x14ac:dyDescent="0.3">
      <c r="A975" t="s">
        <v>1703</v>
      </c>
      <c r="B975" t="s">
        <v>1726</v>
      </c>
      <c r="C975" s="3">
        <v>4.2</v>
      </c>
      <c r="D975" s="3">
        <v>2522</v>
      </c>
      <c r="E975" t="s">
        <v>1727</v>
      </c>
      <c r="F975" s="3">
        <v>19.119988599999999</v>
      </c>
      <c r="G975">
        <v>72.907105099999995</v>
      </c>
      <c r="H975">
        <f t="shared" si="75"/>
        <v>10592.4</v>
      </c>
      <c r="I975" s="3">
        <f t="shared" si="76"/>
        <v>63050</v>
      </c>
      <c r="J975" s="1">
        <f t="shared" si="77"/>
        <v>350</v>
      </c>
      <c r="K975" s="1">
        <f t="shared" si="78"/>
        <v>22067500</v>
      </c>
      <c r="L975" s="2" t="str">
        <f t="shared" si="79"/>
        <v>Popular</v>
      </c>
    </row>
    <row r="976" spans="1:12" x14ac:dyDescent="0.3">
      <c r="A976" t="s">
        <v>1703</v>
      </c>
      <c r="B976" t="s">
        <v>1728</v>
      </c>
      <c r="C976" s="3">
        <v>4.2</v>
      </c>
      <c r="D976" s="3">
        <v>1327</v>
      </c>
      <c r="E976" t="s">
        <v>1729</v>
      </c>
      <c r="F976" s="3">
        <v>19.120491399999999</v>
      </c>
      <c r="G976">
        <v>72.909051300000002</v>
      </c>
      <c r="H976">
        <f t="shared" si="75"/>
        <v>5573.4000000000005</v>
      </c>
      <c r="I976" s="3">
        <f t="shared" si="76"/>
        <v>33175</v>
      </c>
      <c r="J976" s="1">
        <f t="shared" si="77"/>
        <v>350</v>
      </c>
      <c r="K976" s="1">
        <f t="shared" si="78"/>
        <v>11611250</v>
      </c>
      <c r="L976" s="2" t="str">
        <f t="shared" si="79"/>
        <v>Popular</v>
      </c>
    </row>
    <row r="977" spans="1:12" x14ac:dyDescent="0.3">
      <c r="A977" t="s">
        <v>1703</v>
      </c>
      <c r="B977" t="s">
        <v>1730</v>
      </c>
      <c r="C977" s="3">
        <v>4.4000000000000004</v>
      </c>
      <c r="D977" s="3">
        <v>4025</v>
      </c>
      <c r="E977" t="s">
        <v>1731</v>
      </c>
      <c r="F977" s="3">
        <v>19.115667699999999</v>
      </c>
      <c r="G977">
        <v>72.908939699999905</v>
      </c>
      <c r="H977">
        <f t="shared" si="75"/>
        <v>17710</v>
      </c>
      <c r="I977" s="3">
        <f t="shared" si="76"/>
        <v>100625</v>
      </c>
      <c r="J977" s="1">
        <f t="shared" si="77"/>
        <v>450</v>
      </c>
      <c r="K977" s="1">
        <f t="shared" si="78"/>
        <v>45281250</v>
      </c>
      <c r="L977" s="2" t="str">
        <f t="shared" si="79"/>
        <v>Popular</v>
      </c>
    </row>
    <row r="978" spans="1:12" x14ac:dyDescent="0.3">
      <c r="A978" t="s">
        <v>1703</v>
      </c>
      <c r="B978" t="s">
        <v>1732</v>
      </c>
      <c r="C978" s="3">
        <v>4.0999999999999996</v>
      </c>
      <c r="D978" s="3">
        <v>4794</v>
      </c>
      <c r="E978" t="s">
        <v>1733</v>
      </c>
      <c r="F978" s="3">
        <v>19.114965300000001</v>
      </c>
      <c r="G978">
        <v>72.888896799999998</v>
      </c>
      <c r="H978">
        <f t="shared" si="75"/>
        <v>19655.399999999998</v>
      </c>
      <c r="I978" s="3">
        <f t="shared" si="76"/>
        <v>119850</v>
      </c>
      <c r="J978" s="1">
        <f t="shared" si="77"/>
        <v>350</v>
      </c>
      <c r="K978" s="1">
        <f t="shared" si="78"/>
        <v>41947500</v>
      </c>
      <c r="L978" s="2" t="str">
        <f t="shared" si="79"/>
        <v>Popular</v>
      </c>
    </row>
    <row r="979" spans="1:12" x14ac:dyDescent="0.3">
      <c r="A979" t="s">
        <v>1703</v>
      </c>
      <c r="B979" t="s">
        <v>537</v>
      </c>
      <c r="C979" s="3">
        <v>4.5999999999999996</v>
      </c>
      <c r="D979" s="3">
        <v>2589</v>
      </c>
      <c r="E979" t="s">
        <v>538</v>
      </c>
      <c r="F979" s="3">
        <v>19.109420400000001</v>
      </c>
      <c r="G979">
        <v>72.881181099999907</v>
      </c>
      <c r="H979">
        <f t="shared" si="75"/>
        <v>11909.4</v>
      </c>
      <c r="I979" s="3">
        <f t="shared" si="76"/>
        <v>64725</v>
      </c>
      <c r="J979" s="1">
        <f t="shared" si="77"/>
        <v>450</v>
      </c>
      <c r="K979" s="1">
        <f t="shared" si="78"/>
        <v>29126250</v>
      </c>
      <c r="L979" s="2" t="str">
        <f t="shared" si="79"/>
        <v>Premium</v>
      </c>
    </row>
    <row r="980" spans="1:12" x14ac:dyDescent="0.3">
      <c r="A980" t="s">
        <v>1703</v>
      </c>
      <c r="B980" t="s">
        <v>1734</v>
      </c>
      <c r="C980" s="3">
        <v>4.4000000000000004</v>
      </c>
      <c r="D980" s="3">
        <v>3358</v>
      </c>
      <c r="E980" t="s">
        <v>1735</v>
      </c>
      <c r="F980" s="3">
        <v>19.120169799999999</v>
      </c>
      <c r="G980">
        <v>72.907008500000003</v>
      </c>
      <c r="H980">
        <f t="shared" si="75"/>
        <v>14775.2</v>
      </c>
      <c r="I980" s="3">
        <f t="shared" si="76"/>
        <v>83950</v>
      </c>
      <c r="J980" s="1">
        <f t="shared" si="77"/>
        <v>450</v>
      </c>
      <c r="K980" s="1">
        <f t="shared" si="78"/>
        <v>37777500</v>
      </c>
      <c r="L980" s="2" t="str">
        <f t="shared" si="79"/>
        <v>Popular</v>
      </c>
    </row>
    <row r="981" spans="1:12" x14ac:dyDescent="0.3">
      <c r="A981" t="s">
        <v>1703</v>
      </c>
      <c r="B981" t="s">
        <v>128</v>
      </c>
      <c r="C981" s="3">
        <v>4.4000000000000004</v>
      </c>
      <c r="D981" s="3">
        <v>850</v>
      </c>
      <c r="E981" t="s">
        <v>1736</v>
      </c>
      <c r="F981" s="3">
        <v>19.116104</v>
      </c>
      <c r="G981">
        <v>72.909806000000003</v>
      </c>
      <c r="H981">
        <f t="shared" si="75"/>
        <v>3740.0000000000005</v>
      </c>
      <c r="I981" s="3">
        <f t="shared" si="76"/>
        <v>21250</v>
      </c>
      <c r="J981" s="1">
        <f t="shared" si="77"/>
        <v>450</v>
      </c>
      <c r="K981" s="1">
        <f t="shared" si="78"/>
        <v>9562500</v>
      </c>
      <c r="L981" s="2" t="str">
        <f t="shared" si="79"/>
        <v>Popular</v>
      </c>
    </row>
    <row r="982" spans="1:12" x14ac:dyDescent="0.3">
      <c r="A982" t="s">
        <v>1703</v>
      </c>
      <c r="B982" t="s">
        <v>1737</v>
      </c>
      <c r="C982" s="3">
        <v>4.5999999999999996</v>
      </c>
      <c r="D982" s="3">
        <v>147</v>
      </c>
      <c r="E982" t="s">
        <v>1738</v>
      </c>
      <c r="F982" s="3">
        <v>19.122349</v>
      </c>
      <c r="G982">
        <v>72.908635099999998</v>
      </c>
      <c r="H982">
        <f t="shared" si="75"/>
        <v>676.19999999999993</v>
      </c>
      <c r="I982" s="3">
        <f t="shared" si="76"/>
        <v>3675</v>
      </c>
      <c r="J982" s="1">
        <f t="shared" si="77"/>
        <v>450</v>
      </c>
      <c r="K982" s="1">
        <f t="shared" si="78"/>
        <v>1653750</v>
      </c>
      <c r="L982" s="2" t="str">
        <f t="shared" si="79"/>
        <v>Premium</v>
      </c>
    </row>
    <row r="983" spans="1:12" x14ac:dyDescent="0.3">
      <c r="A983" t="s">
        <v>1703</v>
      </c>
      <c r="B983" t="s">
        <v>1739</v>
      </c>
      <c r="C983" s="3">
        <v>4</v>
      </c>
      <c r="D983" s="3">
        <v>428</v>
      </c>
      <c r="E983" t="s">
        <v>1740</v>
      </c>
      <c r="F983" s="3">
        <v>19.125161599999998</v>
      </c>
      <c r="G983">
        <v>72.919349499999996</v>
      </c>
      <c r="H983">
        <f t="shared" si="75"/>
        <v>1712</v>
      </c>
      <c r="I983" s="3">
        <f t="shared" si="76"/>
        <v>10700</v>
      </c>
      <c r="J983" s="1">
        <f t="shared" si="77"/>
        <v>350</v>
      </c>
      <c r="K983" s="1">
        <f t="shared" si="78"/>
        <v>3745000</v>
      </c>
      <c r="L983" s="2" t="str">
        <f t="shared" si="79"/>
        <v>Popular</v>
      </c>
    </row>
    <row r="984" spans="1:12" x14ac:dyDescent="0.3">
      <c r="A984" t="s">
        <v>1703</v>
      </c>
      <c r="B984" t="s">
        <v>1741</v>
      </c>
      <c r="C984" s="3">
        <v>4.4000000000000004</v>
      </c>
      <c r="D984" s="3">
        <v>342</v>
      </c>
      <c r="E984" t="s">
        <v>1742</v>
      </c>
      <c r="F984" s="3">
        <v>19.119866099999999</v>
      </c>
      <c r="G984">
        <v>72.908950099999998</v>
      </c>
      <c r="H984">
        <f t="shared" si="75"/>
        <v>1504.8000000000002</v>
      </c>
      <c r="I984" s="3">
        <f t="shared" si="76"/>
        <v>8550</v>
      </c>
      <c r="J984" s="1">
        <f t="shared" si="77"/>
        <v>450</v>
      </c>
      <c r="K984" s="1">
        <f t="shared" si="78"/>
        <v>3847500</v>
      </c>
      <c r="L984" s="2" t="str">
        <f t="shared" si="79"/>
        <v>Popular</v>
      </c>
    </row>
    <row r="985" spans="1:12" x14ac:dyDescent="0.3">
      <c r="A985" t="s">
        <v>1703</v>
      </c>
      <c r="B985" t="s">
        <v>1743</v>
      </c>
      <c r="C985" s="3">
        <v>4.4000000000000004</v>
      </c>
      <c r="D985" s="3">
        <v>2632</v>
      </c>
      <c r="E985" t="s">
        <v>1744</v>
      </c>
      <c r="F985" s="3">
        <v>19.1234246</v>
      </c>
      <c r="G985">
        <v>72.912469599999994</v>
      </c>
      <c r="H985">
        <f t="shared" si="75"/>
        <v>11580.800000000001</v>
      </c>
      <c r="I985" s="3">
        <f t="shared" si="76"/>
        <v>65800</v>
      </c>
      <c r="J985" s="1">
        <f t="shared" si="77"/>
        <v>450</v>
      </c>
      <c r="K985" s="1">
        <f t="shared" si="78"/>
        <v>29610000</v>
      </c>
      <c r="L985" s="2" t="str">
        <f t="shared" si="79"/>
        <v>Popular</v>
      </c>
    </row>
    <row r="986" spans="1:12" x14ac:dyDescent="0.3">
      <c r="A986" t="s">
        <v>1703</v>
      </c>
      <c r="B986" t="s">
        <v>1745</v>
      </c>
      <c r="C986" s="3">
        <v>4.2</v>
      </c>
      <c r="D986" s="3">
        <v>16998</v>
      </c>
      <c r="E986" t="s">
        <v>1746</v>
      </c>
      <c r="F986" s="3">
        <v>19.110952699999999</v>
      </c>
      <c r="G986">
        <v>72.908296699999994</v>
      </c>
      <c r="H986">
        <f t="shared" si="75"/>
        <v>71391.600000000006</v>
      </c>
      <c r="I986" s="3">
        <f t="shared" si="76"/>
        <v>424950</v>
      </c>
      <c r="J986" s="1">
        <f t="shared" si="77"/>
        <v>350</v>
      </c>
      <c r="K986" s="1">
        <f t="shared" si="78"/>
        <v>148732500</v>
      </c>
      <c r="L986" s="2" t="str">
        <f t="shared" si="79"/>
        <v>Popular</v>
      </c>
    </row>
    <row r="987" spans="1:12" x14ac:dyDescent="0.3">
      <c r="A987" t="s">
        <v>1703</v>
      </c>
      <c r="B987" t="s">
        <v>1747</v>
      </c>
      <c r="C987" s="3">
        <v>4.3</v>
      </c>
      <c r="D987" s="3">
        <v>352</v>
      </c>
      <c r="E987" t="s">
        <v>1748</v>
      </c>
      <c r="F987" s="3">
        <v>19.110046100000002</v>
      </c>
      <c r="G987">
        <v>72.888003799999893</v>
      </c>
      <c r="H987">
        <f t="shared" si="75"/>
        <v>1513.6</v>
      </c>
      <c r="I987" s="3">
        <f t="shared" si="76"/>
        <v>8800</v>
      </c>
      <c r="J987" s="1">
        <f t="shared" si="77"/>
        <v>350</v>
      </c>
      <c r="K987" s="1">
        <f t="shared" si="78"/>
        <v>3080000</v>
      </c>
      <c r="L987" s="2" t="str">
        <f t="shared" si="79"/>
        <v>Popular</v>
      </c>
    </row>
    <row r="988" spans="1:12" x14ac:dyDescent="0.3">
      <c r="A988" t="s">
        <v>1703</v>
      </c>
      <c r="B988" t="s">
        <v>1749</v>
      </c>
      <c r="C988" s="3">
        <v>4.2</v>
      </c>
      <c r="D988" s="3">
        <v>11298</v>
      </c>
      <c r="E988" t="s">
        <v>1750</v>
      </c>
      <c r="F988" s="3">
        <v>19.119916700000001</v>
      </c>
      <c r="G988">
        <v>72.907131300000003</v>
      </c>
      <c r="H988">
        <f t="shared" si="75"/>
        <v>47451.6</v>
      </c>
      <c r="I988" s="3">
        <f t="shared" si="76"/>
        <v>282450</v>
      </c>
      <c r="J988" s="1">
        <f t="shared" si="77"/>
        <v>350</v>
      </c>
      <c r="K988" s="1">
        <f t="shared" si="78"/>
        <v>98857500</v>
      </c>
      <c r="L988" s="2" t="str">
        <f t="shared" si="79"/>
        <v>Popular</v>
      </c>
    </row>
    <row r="989" spans="1:12" x14ac:dyDescent="0.3">
      <c r="A989" t="s">
        <v>1703</v>
      </c>
      <c r="B989" t="s">
        <v>1038</v>
      </c>
      <c r="C989" s="3">
        <v>4.5999999999999996</v>
      </c>
      <c r="D989" s="3">
        <v>284</v>
      </c>
      <c r="E989" t="s">
        <v>1039</v>
      </c>
      <c r="F989" s="3">
        <v>19.093147200000001</v>
      </c>
      <c r="G989">
        <v>72.920238499999996</v>
      </c>
      <c r="H989">
        <f t="shared" si="75"/>
        <v>1306.3999999999999</v>
      </c>
      <c r="I989" s="3">
        <f t="shared" si="76"/>
        <v>7100</v>
      </c>
      <c r="J989" s="1">
        <f t="shared" si="77"/>
        <v>450</v>
      </c>
      <c r="K989" s="1">
        <f t="shared" si="78"/>
        <v>3195000</v>
      </c>
      <c r="L989" s="2" t="str">
        <f t="shared" si="79"/>
        <v>Premium</v>
      </c>
    </row>
    <row r="990" spans="1:12" x14ac:dyDescent="0.3">
      <c r="A990" t="s">
        <v>1703</v>
      </c>
      <c r="B990" t="s">
        <v>969</v>
      </c>
      <c r="C990" s="3">
        <v>4.2</v>
      </c>
      <c r="D990" s="3">
        <v>1699</v>
      </c>
      <c r="E990" t="s">
        <v>970</v>
      </c>
      <c r="F990" s="3">
        <v>19.099355800000001</v>
      </c>
      <c r="G990">
        <v>72.916342099999994</v>
      </c>
      <c r="H990">
        <f t="shared" si="75"/>
        <v>7135.8</v>
      </c>
      <c r="I990" s="3">
        <f t="shared" si="76"/>
        <v>42475</v>
      </c>
      <c r="J990" s="1">
        <f t="shared" si="77"/>
        <v>350</v>
      </c>
      <c r="K990" s="1">
        <f t="shared" si="78"/>
        <v>14866250</v>
      </c>
      <c r="L990" s="2" t="str">
        <f t="shared" si="79"/>
        <v>Popular</v>
      </c>
    </row>
    <row r="991" spans="1:12" x14ac:dyDescent="0.3">
      <c r="A991" t="s">
        <v>1703</v>
      </c>
      <c r="B991" t="s">
        <v>1751</v>
      </c>
      <c r="C991" s="3">
        <v>4.2</v>
      </c>
      <c r="D991" s="3">
        <v>749</v>
      </c>
      <c r="E991" t="s">
        <v>1752</v>
      </c>
      <c r="F991" s="3">
        <v>19.120491399999999</v>
      </c>
      <c r="G991">
        <v>72.909051300000002</v>
      </c>
      <c r="H991">
        <f t="shared" si="75"/>
        <v>3145.8</v>
      </c>
      <c r="I991" s="3">
        <f t="shared" si="76"/>
        <v>18725</v>
      </c>
      <c r="J991" s="1">
        <f t="shared" si="77"/>
        <v>350</v>
      </c>
      <c r="K991" s="1">
        <f t="shared" si="78"/>
        <v>6553750</v>
      </c>
      <c r="L991" s="2" t="str">
        <f t="shared" si="79"/>
        <v>Popular</v>
      </c>
    </row>
    <row r="992" spans="1:12" x14ac:dyDescent="0.3">
      <c r="A992" t="s">
        <v>1703</v>
      </c>
      <c r="B992" t="s">
        <v>1753</v>
      </c>
      <c r="C992" s="3">
        <v>3.9</v>
      </c>
      <c r="D992" s="3">
        <v>108</v>
      </c>
      <c r="E992" t="s">
        <v>1754</v>
      </c>
      <c r="F992" s="3">
        <v>19.130005300000001</v>
      </c>
      <c r="G992">
        <v>72.918790099999995</v>
      </c>
      <c r="H992">
        <f t="shared" si="75"/>
        <v>421.2</v>
      </c>
      <c r="I992" s="3">
        <f t="shared" si="76"/>
        <v>2700</v>
      </c>
      <c r="J992" s="1">
        <f t="shared" si="77"/>
        <v>350</v>
      </c>
      <c r="K992" s="1">
        <f t="shared" si="78"/>
        <v>945000</v>
      </c>
      <c r="L992" s="2" t="str">
        <f t="shared" si="79"/>
        <v>Average</v>
      </c>
    </row>
    <row r="993" spans="1:12" x14ac:dyDescent="0.3">
      <c r="A993" t="s">
        <v>1703</v>
      </c>
      <c r="B993" t="s">
        <v>128</v>
      </c>
      <c r="C993" s="3">
        <v>4.5</v>
      </c>
      <c r="D993" s="3">
        <v>316</v>
      </c>
      <c r="E993" t="s">
        <v>1755</v>
      </c>
      <c r="F993" s="3">
        <v>19.119738999999999</v>
      </c>
      <c r="G993">
        <v>72.908049899999995</v>
      </c>
      <c r="H993">
        <f t="shared" si="75"/>
        <v>1422</v>
      </c>
      <c r="I993" s="3">
        <f t="shared" si="76"/>
        <v>7900</v>
      </c>
      <c r="J993" s="1">
        <f t="shared" si="77"/>
        <v>450</v>
      </c>
      <c r="K993" s="1">
        <f t="shared" si="78"/>
        <v>3555000</v>
      </c>
      <c r="L993" s="2" t="str">
        <f t="shared" si="79"/>
        <v>Premium</v>
      </c>
    </row>
    <row r="994" spans="1:12" x14ac:dyDescent="0.3">
      <c r="A994" t="s">
        <v>1703</v>
      </c>
      <c r="B994" t="s">
        <v>1756</v>
      </c>
      <c r="C994" s="3">
        <v>4.5999999999999996</v>
      </c>
      <c r="D994" s="3">
        <v>12095</v>
      </c>
      <c r="E994" t="s">
        <v>1757</v>
      </c>
      <c r="F994" s="3">
        <v>19.119808800000001</v>
      </c>
      <c r="G994">
        <v>72.907341199999905</v>
      </c>
      <c r="H994">
        <f t="shared" si="75"/>
        <v>55636.999999999993</v>
      </c>
      <c r="I994" s="3">
        <f t="shared" si="76"/>
        <v>302375</v>
      </c>
      <c r="J994" s="1">
        <f t="shared" si="77"/>
        <v>450</v>
      </c>
      <c r="K994" s="1">
        <f t="shared" si="78"/>
        <v>136068750</v>
      </c>
      <c r="L994" s="2" t="str">
        <f t="shared" si="79"/>
        <v>Premium</v>
      </c>
    </row>
    <row r="995" spans="1:12" x14ac:dyDescent="0.3">
      <c r="A995" t="s">
        <v>1703</v>
      </c>
      <c r="B995" t="s">
        <v>1758</v>
      </c>
      <c r="C995" s="3">
        <v>3.9</v>
      </c>
      <c r="D995" s="3">
        <v>673</v>
      </c>
      <c r="E995" t="s">
        <v>1759</v>
      </c>
      <c r="F995" s="3">
        <v>19.1117472</v>
      </c>
      <c r="G995">
        <v>72.909514299999998</v>
      </c>
      <c r="H995">
        <f t="shared" si="75"/>
        <v>2624.7</v>
      </c>
      <c r="I995" s="3">
        <f t="shared" si="76"/>
        <v>16825</v>
      </c>
      <c r="J995" s="1">
        <f t="shared" si="77"/>
        <v>350</v>
      </c>
      <c r="K995" s="1">
        <f t="shared" si="78"/>
        <v>5888750</v>
      </c>
      <c r="L995" s="2" t="str">
        <f t="shared" si="79"/>
        <v>Average</v>
      </c>
    </row>
    <row r="996" spans="1:12" x14ac:dyDescent="0.3">
      <c r="A996" t="s">
        <v>1703</v>
      </c>
      <c r="B996" t="s">
        <v>1760</v>
      </c>
      <c r="C996" s="3">
        <v>4.4000000000000004</v>
      </c>
      <c r="D996" s="3">
        <v>19</v>
      </c>
      <c r="E996" t="s">
        <v>1761</v>
      </c>
      <c r="F996" s="3">
        <v>19.112470299999998</v>
      </c>
      <c r="G996">
        <v>72.897706900000003</v>
      </c>
      <c r="H996">
        <f t="shared" si="75"/>
        <v>83.600000000000009</v>
      </c>
      <c r="I996" s="3">
        <f t="shared" si="76"/>
        <v>475</v>
      </c>
      <c r="J996" s="1">
        <f t="shared" si="77"/>
        <v>450</v>
      </c>
      <c r="K996" s="1">
        <f t="shared" si="78"/>
        <v>213750</v>
      </c>
      <c r="L996" s="2" t="str">
        <f t="shared" si="79"/>
        <v>Popular</v>
      </c>
    </row>
    <row r="997" spans="1:12" x14ac:dyDescent="0.3">
      <c r="A997" t="s">
        <v>1703</v>
      </c>
      <c r="B997" t="s">
        <v>1762</v>
      </c>
      <c r="C997" s="3">
        <v>4.3</v>
      </c>
      <c r="D997" s="3">
        <v>866</v>
      </c>
      <c r="E997" t="s">
        <v>1763</v>
      </c>
      <c r="F997" s="3">
        <v>19.120558800000001</v>
      </c>
      <c r="G997">
        <v>72.909351399999906</v>
      </c>
      <c r="H997">
        <f t="shared" si="75"/>
        <v>3723.7999999999997</v>
      </c>
      <c r="I997" s="3">
        <f t="shared" si="76"/>
        <v>21650</v>
      </c>
      <c r="J997" s="1">
        <f t="shared" si="77"/>
        <v>350</v>
      </c>
      <c r="K997" s="1">
        <f t="shared" si="78"/>
        <v>7577500</v>
      </c>
      <c r="L997" s="2" t="str">
        <f t="shared" si="79"/>
        <v>Popular</v>
      </c>
    </row>
    <row r="998" spans="1:12" x14ac:dyDescent="0.3">
      <c r="A998" t="s">
        <v>1703</v>
      </c>
      <c r="B998" t="s">
        <v>1764</v>
      </c>
      <c r="C998" s="3">
        <v>4.2</v>
      </c>
      <c r="D998" s="3">
        <v>65</v>
      </c>
      <c r="E998" t="s">
        <v>1765</v>
      </c>
      <c r="F998" s="3">
        <v>19.132683700000001</v>
      </c>
      <c r="G998">
        <v>72.916424699999993</v>
      </c>
      <c r="H998">
        <f t="shared" si="75"/>
        <v>273</v>
      </c>
      <c r="I998" s="3">
        <f t="shared" si="76"/>
        <v>1625</v>
      </c>
      <c r="J998" s="1">
        <f t="shared" si="77"/>
        <v>350</v>
      </c>
      <c r="K998" s="1">
        <f t="shared" si="78"/>
        <v>568750</v>
      </c>
      <c r="L998" s="2" t="str">
        <f t="shared" si="79"/>
        <v>Popular</v>
      </c>
    </row>
    <row r="999" spans="1:12" x14ac:dyDescent="0.3">
      <c r="A999" t="s">
        <v>1703</v>
      </c>
      <c r="B999" t="s">
        <v>1766</v>
      </c>
      <c r="C999" s="3">
        <v>4.5999999999999996</v>
      </c>
      <c r="D999" s="3">
        <v>29</v>
      </c>
      <c r="E999" t="s">
        <v>1767</v>
      </c>
      <c r="F999" s="3">
        <v>19.118979100000001</v>
      </c>
      <c r="G999">
        <v>72.912512100000001</v>
      </c>
      <c r="H999">
        <f t="shared" si="75"/>
        <v>133.39999999999998</v>
      </c>
      <c r="I999" s="3">
        <f t="shared" si="76"/>
        <v>725</v>
      </c>
      <c r="J999" s="1">
        <f t="shared" si="77"/>
        <v>450</v>
      </c>
      <c r="K999" s="1">
        <f t="shared" si="78"/>
        <v>326250</v>
      </c>
      <c r="L999" s="2" t="str">
        <f t="shared" si="79"/>
        <v>Premium</v>
      </c>
    </row>
    <row r="1000" spans="1:12" x14ac:dyDescent="0.3">
      <c r="A1000" t="s">
        <v>1703</v>
      </c>
      <c r="B1000" t="s">
        <v>1681</v>
      </c>
      <c r="C1000" s="3">
        <v>4.2</v>
      </c>
      <c r="D1000" s="3">
        <v>9186</v>
      </c>
      <c r="E1000" t="s">
        <v>1768</v>
      </c>
      <c r="F1000" s="3">
        <v>19.116963399999999</v>
      </c>
      <c r="G1000">
        <v>72.889099399999907</v>
      </c>
      <c r="H1000">
        <f t="shared" si="75"/>
        <v>38581.200000000004</v>
      </c>
      <c r="I1000" s="3">
        <f t="shared" si="76"/>
        <v>229650</v>
      </c>
      <c r="J1000" s="1">
        <f t="shared" si="77"/>
        <v>350</v>
      </c>
      <c r="K1000" s="1">
        <f t="shared" si="78"/>
        <v>80377500</v>
      </c>
      <c r="L1000" s="2" t="str">
        <f t="shared" si="79"/>
        <v>Popular</v>
      </c>
    </row>
    <row r="1001" spans="1:12" x14ac:dyDescent="0.3">
      <c r="A1001" t="s">
        <v>1703</v>
      </c>
      <c r="B1001" t="s">
        <v>1769</v>
      </c>
      <c r="C1001" s="3">
        <v>4</v>
      </c>
      <c r="D1001" s="3">
        <v>43</v>
      </c>
      <c r="E1001" t="s">
        <v>1770</v>
      </c>
      <c r="F1001" s="3">
        <v>19.1191569</v>
      </c>
      <c r="G1001">
        <v>72.911959099999905</v>
      </c>
      <c r="H1001">
        <f t="shared" si="75"/>
        <v>172</v>
      </c>
      <c r="I1001" s="3">
        <f t="shared" si="76"/>
        <v>1075</v>
      </c>
      <c r="J1001" s="1">
        <f t="shared" si="77"/>
        <v>350</v>
      </c>
      <c r="K1001" s="1">
        <f t="shared" si="78"/>
        <v>376250</v>
      </c>
      <c r="L1001" s="2" t="str">
        <f t="shared" si="79"/>
        <v>Popular</v>
      </c>
    </row>
    <row r="1002" spans="1:12" x14ac:dyDescent="0.3">
      <c r="A1002" t="s">
        <v>1703</v>
      </c>
      <c r="B1002" t="s">
        <v>583</v>
      </c>
      <c r="C1002" s="3">
        <v>4.5999999999999996</v>
      </c>
      <c r="D1002" s="3">
        <v>2453</v>
      </c>
      <c r="E1002" t="s">
        <v>584</v>
      </c>
      <c r="F1002" s="3">
        <v>19.103168</v>
      </c>
      <c r="G1002">
        <v>72.877701999999999</v>
      </c>
      <c r="H1002">
        <f t="shared" si="75"/>
        <v>11283.8</v>
      </c>
      <c r="I1002" s="3">
        <f t="shared" si="76"/>
        <v>61325</v>
      </c>
      <c r="J1002" s="1">
        <f t="shared" si="77"/>
        <v>450</v>
      </c>
      <c r="K1002" s="1">
        <f t="shared" si="78"/>
        <v>27596250</v>
      </c>
      <c r="L1002" s="2" t="str">
        <f t="shared" si="79"/>
        <v>Premium</v>
      </c>
    </row>
    <row r="1003" spans="1:12" x14ac:dyDescent="0.3">
      <c r="A1003" t="s">
        <v>1703</v>
      </c>
      <c r="B1003" t="s">
        <v>402</v>
      </c>
      <c r="C1003" s="3">
        <v>4.3</v>
      </c>
      <c r="D1003" s="3">
        <v>36</v>
      </c>
      <c r="E1003" t="s">
        <v>1771</v>
      </c>
      <c r="F1003" s="3">
        <v>19.115127900000001</v>
      </c>
      <c r="G1003">
        <v>72.907099000000002</v>
      </c>
      <c r="H1003">
        <f t="shared" si="75"/>
        <v>154.79999999999998</v>
      </c>
      <c r="I1003" s="3">
        <f t="shared" si="76"/>
        <v>900</v>
      </c>
      <c r="J1003" s="1">
        <f t="shared" si="77"/>
        <v>350</v>
      </c>
      <c r="K1003" s="1">
        <f t="shared" si="78"/>
        <v>315000</v>
      </c>
      <c r="L1003" s="2" t="str">
        <f t="shared" si="79"/>
        <v>Popular</v>
      </c>
    </row>
    <row r="1004" spans="1:12" x14ac:dyDescent="0.3">
      <c r="A1004" t="s">
        <v>1703</v>
      </c>
      <c r="B1004" t="s">
        <v>53</v>
      </c>
      <c r="C1004" s="3">
        <v>4.8</v>
      </c>
      <c r="D1004" s="3">
        <v>786</v>
      </c>
      <c r="E1004" t="s">
        <v>985</v>
      </c>
      <c r="F1004" s="3">
        <v>19.099697599999999</v>
      </c>
      <c r="G1004">
        <v>72.9166685</v>
      </c>
      <c r="H1004">
        <f t="shared" si="75"/>
        <v>3772.7999999999997</v>
      </c>
      <c r="I1004" s="3">
        <f t="shared" si="76"/>
        <v>19650</v>
      </c>
      <c r="J1004" s="1">
        <f t="shared" si="77"/>
        <v>550</v>
      </c>
      <c r="K1004" s="1">
        <f t="shared" si="78"/>
        <v>10807500</v>
      </c>
      <c r="L1004" s="2" t="str">
        <f t="shared" si="79"/>
        <v>Premium</v>
      </c>
    </row>
    <row r="1005" spans="1:12" x14ac:dyDescent="0.3">
      <c r="A1005" t="s">
        <v>1703</v>
      </c>
      <c r="B1005" t="s">
        <v>986</v>
      </c>
      <c r="C1005" s="3">
        <v>4.5</v>
      </c>
      <c r="D1005" s="3">
        <v>808</v>
      </c>
      <c r="E1005" t="s">
        <v>987</v>
      </c>
      <c r="F1005" s="3">
        <v>19.0999087</v>
      </c>
      <c r="G1005">
        <v>72.917145599999998</v>
      </c>
      <c r="H1005">
        <f t="shared" si="75"/>
        <v>3636</v>
      </c>
      <c r="I1005" s="3">
        <f t="shared" si="76"/>
        <v>20200</v>
      </c>
      <c r="J1005" s="1">
        <f t="shared" si="77"/>
        <v>450</v>
      </c>
      <c r="K1005" s="1">
        <f t="shared" si="78"/>
        <v>9090000</v>
      </c>
      <c r="L1005" s="2" t="str">
        <f t="shared" si="79"/>
        <v>Premium</v>
      </c>
    </row>
    <row r="1006" spans="1:12" x14ac:dyDescent="0.3">
      <c r="A1006" t="s">
        <v>1703</v>
      </c>
      <c r="B1006" t="s">
        <v>575</v>
      </c>
      <c r="C1006" s="3">
        <v>4.5999999999999996</v>
      </c>
      <c r="D1006" s="3">
        <v>93</v>
      </c>
      <c r="E1006" t="s">
        <v>576</v>
      </c>
      <c r="F1006" s="3">
        <v>19.1131891</v>
      </c>
      <c r="G1006">
        <v>72.882127699999998</v>
      </c>
      <c r="H1006">
        <f t="shared" si="75"/>
        <v>427.79999999999995</v>
      </c>
      <c r="I1006" s="3">
        <f t="shared" si="76"/>
        <v>2325</v>
      </c>
      <c r="J1006" s="1">
        <f t="shared" si="77"/>
        <v>450</v>
      </c>
      <c r="K1006" s="1">
        <f t="shared" si="78"/>
        <v>1046250</v>
      </c>
      <c r="L1006" s="2" t="str">
        <f t="shared" si="79"/>
        <v>Premium</v>
      </c>
    </row>
    <row r="1007" spans="1:12" x14ac:dyDescent="0.3">
      <c r="A1007" t="s">
        <v>1703</v>
      </c>
      <c r="B1007" t="s">
        <v>625</v>
      </c>
      <c r="C1007" s="3">
        <v>3.9</v>
      </c>
      <c r="D1007" s="3">
        <v>929</v>
      </c>
      <c r="E1007" t="s">
        <v>626</v>
      </c>
      <c r="F1007" s="3">
        <v>19.102402600000001</v>
      </c>
      <c r="G1007">
        <v>72.888413200000002</v>
      </c>
      <c r="H1007">
        <f t="shared" si="75"/>
        <v>3623.1</v>
      </c>
      <c r="I1007" s="3">
        <f t="shared" si="76"/>
        <v>23225</v>
      </c>
      <c r="J1007" s="1">
        <f t="shared" si="77"/>
        <v>350</v>
      </c>
      <c r="K1007" s="1">
        <f t="shared" si="78"/>
        <v>8128750</v>
      </c>
      <c r="L1007" s="2" t="str">
        <f t="shared" si="79"/>
        <v>Average</v>
      </c>
    </row>
    <row r="1008" spans="1:12" x14ac:dyDescent="0.3">
      <c r="A1008" t="s">
        <v>1703</v>
      </c>
      <c r="B1008" t="s">
        <v>1772</v>
      </c>
      <c r="C1008" s="3">
        <v>4.5999999999999996</v>
      </c>
      <c r="D1008" s="3">
        <v>5</v>
      </c>
      <c r="E1008" t="s">
        <v>1773</v>
      </c>
      <c r="F1008" s="3">
        <v>19.123391999999999</v>
      </c>
      <c r="G1008">
        <v>72.913145</v>
      </c>
      <c r="H1008">
        <f t="shared" si="75"/>
        <v>23</v>
      </c>
      <c r="I1008" s="3">
        <f t="shared" si="76"/>
        <v>125</v>
      </c>
      <c r="J1008" s="1">
        <f t="shared" si="77"/>
        <v>450</v>
      </c>
      <c r="K1008" s="1">
        <f t="shared" si="78"/>
        <v>56250</v>
      </c>
      <c r="L1008" s="2" t="str">
        <f t="shared" si="79"/>
        <v>Premium</v>
      </c>
    </row>
    <row r="1009" spans="1:12" x14ac:dyDescent="0.3">
      <c r="A1009" t="s">
        <v>1703</v>
      </c>
      <c r="B1009" t="s">
        <v>631</v>
      </c>
      <c r="C1009" s="3">
        <v>4.0999999999999996</v>
      </c>
      <c r="D1009" s="3">
        <v>259</v>
      </c>
      <c r="E1009" t="s">
        <v>632</v>
      </c>
      <c r="F1009" s="3">
        <v>19.1033051</v>
      </c>
      <c r="G1009">
        <v>72.886342099999993</v>
      </c>
      <c r="H1009">
        <f t="shared" si="75"/>
        <v>1061.8999999999999</v>
      </c>
      <c r="I1009" s="3">
        <f t="shared" si="76"/>
        <v>6475</v>
      </c>
      <c r="J1009" s="1">
        <f t="shared" si="77"/>
        <v>350</v>
      </c>
      <c r="K1009" s="1">
        <f t="shared" si="78"/>
        <v>2266250</v>
      </c>
      <c r="L1009" s="2" t="str">
        <f t="shared" si="79"/>
        <v>Popular</v>
      </c>
    </row>
    <row r="1010" spans="1:12" x14ac:dyDescent="0.3">
      <c r="A1010" t="s">
        <v>1703</v>
      </c>
      <c r="B1010" t="s">
        <v>1774</v>
      </c>
      <c r="C1010" s="3">
        <v>4</v>
      </c>
      <c r="D1010" s="3">
        <v>7739</v>
      </c>
      <c r="E1010" t="s">
        <v>1775</v>
      </c>
      <c r="F1010" s="3">
        <v>19.116298100000002</v>
      </c>
      <c r="G1010">
        <v>72.909161299999994</v>
      </c>
      <c r="H1010">
        <f t="shared" si="75"/>
        <v>30956</v>
      </c>
      <c r="I1010" s="3">
        <f t="shared" si="76"/>
        <v>193475</v>
      </c>
      <c r="J1010" s="1">
        <f t="shared" si="77"/>
        <v>350</v>
      </c>
      <c r="K1010" s="1">
        <f t="shared" si="78"/>
        <v>67716250</v>
      </c>
      <c r="L1010" s="2" t="str">
        <f t="shared" si="79"/>
        <v>Popular</v>
      </c>
    </row>
    <row r="1011" spans="1:12" x14ac:dyDescent="0.3">
      <c r="A1011" t="s">
        <v>1703</v>
      </c>
      <c r="B1011" t="s">
        <v>1776</v>
      </c>
      <c r="C1011" s="3">
        <v>4.4000000000000004</v>
      </c>
      <c r="D1011" s="3">
        <v>1233</v>
      </c>
      <c r="E1011" t="s">
        <v>1777</v>
      </c>
      <c r="F1011" s="3">
        <v>19.116203299999999</v>
      </c>
      <c r="G1011">
        <v>72.909040599999997</v>
      </c>
      <c r="H1011">
        <f t="shared" si="75"/>
        <v>5425.2000000000007</v>
      </c>
      <c r="I1011" s="3">
        <f t="shared" si="76"/>
        <v>30825</v>
      </c>
      <c r="J1011" s="1">
        <f t="shared" si="77"/>
        <v>450</v>
      </c>
      <c r="K1011" s="1">
        <f t="shared" si="78"/>
        <v>13871250</v>
      </c>
      <c r="L1011" s="2" t="str">
        <f t="shared" si="79"/>
        <v>Popular</v>
      </c>
    </row>
    <row r="1012" spans="1:12" x14ac:dyDescent="0.3">
      <c r="A1012" t="s">
        <v>1703</v>
      </c>
      <c r="B1012" t="s">
        <v>979</v>
      </c>
      <c r="C1012" s="3">
        <v>4.5</v>
      </c>
      <c r="D1012" s="3">
        <v>172</v>
      </c>
      <c r="E1012" t="s">
        <v>980</v>
      </c>
      <c r="F1012" s="3">
        <v>19.099660700000001</v>
      </c>
      <c r="G1012">
        <v>72.916021099999995</v>
      </c>
      <c r="H1012">
        <f t="shared" si="75"/>
        <v>774</v>
      </c>
      <c r="I1012" s="3">
        <f t="shared" si="76"/>
        <v>4300</v>
      </c>
      <c r="J1012" s="1">
        <f t="shared" si="77"/>
        <v>450</v>
      </c>
      <c r="K1012" s="1">
        <f t="shared" si="78"/>
        <v>1935000</v>
      </c>
      <c r="L1012" s="2" t="str">
        <f t="shared" si="79"/>
        <v>Premium</v>
      </c>
    </row>
    <row r="1013" spans="1:12" x14ac:dyDescent="0.3">
      <c r="A1013" t="s">
        <v>1703</v>
      </c>
      <c r="B1013" t="s">
        <v>1778</v>
      </c>
      <c r="C1013" s="3">
        <v>4.2</v>
      </c>
      <c r="D1013" s="3">
        <v>168</v>
      </c>
      <c r="E1013" t="s">
        <v>1779</v>
      </c>
      <c r="F1013" s="3">
        <v>19.115239299999999</v>
      </c>
      <c r="G1013">
        <v>72.901121799999999</v>
      </c>
      <c r="H1013">
        <f t="shared" si="75"/>
        <v>705.6</v>
      </c>
      <c r="I1013" s="3">
        <f t="shared" si="76"/>
        <v>4200</v>
      </c>
      <c r="J1013" s="1">
        <f t="shared" si="77"/>
        <v>350</v>
      </c>
      <c r="K1013" s="1">
        <f t="shared" si="78"/>
        <v>1470000</v>
      </c>
      <c r="L1013" s="2" t="str">
        <f t="shared" si="79"/>
        <v>Popular</v>
      </c>
    </row>
    <row r="1014" spans="1:12" x14ac:dyDescent="0.3">
      <c r="A1014" t="s">
        <v>1703</v>
      </c>
      <c r="B1014" t="s">
        <v>1780</v>
      </c>
      <c r="C1014" s="3">
        <v>4.3</v>
      </c>
      <c r="D1014" s="3">
        <v>4724</v>
      </c>
      <c r="E1014" t="s">
        <v>1781</v>
      </c>
      <c r="F1014" s="3">
        <v>19.123325300000001</v>
      </c>
      <c r="G1014">
        <v>72.913108800000003</v>
      </c>
      <c r="H1014">
        <f t="shared" si="75"/>
        <v>20313.2</v>
      </c>
      <c r="I1014" s="3">
        <f t="shared" si="76"/>
        <v>118100</v>
      </c>
      <c r="J1014" s="1">
        <f t="shared" si="77"/>
        <v>350</v>
      </c>
      <c r="K1014" s="1">
        <f t="shared" si="78"/>
        <v>41335000</v>
      </c>
      <c r="L1014" s="2" t="str">
        <f t="shared" si="79"/>
        <v>Popular</v>
      </c>
    </row>
    <row r="1015" spans="1:12" x14ac:dyDescent="0.3">
      <c r="A1015" t="s">
        <v>1703</v>
      </c>
      <c r="B1015" t="s">
        <v>1782</v>
      </c>
      <c r="C1015" s="3">
        <v>3.4</v>
      </c>
      <c r="D1015" s="3">
        <v>39</v>
      </c>
      <c r="E1015" t="s">
        <v>1783</v>
      </c>
      <c r="F1015" s="3">
        <v>19.134477799999999</v>
      </c>
      <c r="G1015">
        <v>72.910039400000002</v>
      </c>
      <c r="H1015">
        <f t="shared" si="75"/>
        <v>132.6</v>
      </c>
      <c r="I1015" s="3">
        <f t="shared" si="76"/>
        <v>975</v>
      </c>
      <c r="J1015" s="1">
        <f t="shared" si="77"/>
        <v>350</v>
      </c>
      <c r="K1015" s="1">
        <f t="shared" si="78"/>
        <v>341250</v>
      </c>
      <c r="L1015" s="2" t="str">
        <f t="shared" si="79"/>
        <v>Average</v>
      </c>
    </row>
    <row r="1016" spans="1:12" x14ac:dyDescent="0.3">
      <c r="A1016" t="s">
        <v>1703</v>
      </c>
      <c r="B1016" t="s">
        <v>1784</v>
      </c>
      <c r="C1016" s="3">
        <v>3.5</v>
      </c>
      <c r="D1016" s="3">
        <v>61</v>
      </c>
      <c r="E1016" t="s">
        <v>1785</v>
      </c>
      <c r="F1016" s="3">
        <v>19.099816300000001</v>
      </c>
      <c r="G1016">
        <v>72.8891074</v>
      </c>
      <c r="H1016">
        <f t="shared" si="75"/>
        <v>213.5</v>
      </c>
      <c r="I1016" s="3">
        <f t="shared" si="76"/>
        <v>1525</v>
      </c>
      <c r="J1016" s="1">
        <f t="shared" si="77"/>
        <v>350</v>
      </c>
      <c r="K1016" s="1">
        <f t="shared" si="78"/>
        <v>533750</v>
      </c>
      <c r="L1016" s="2" t="str">
        <f t="shared" si="79"/>
        <v>Average</v>
      </c>
    </row>
    <row r="1017" spans="1:12" x14ac:dyDescent="0.3">
      <c r="A1017" t="s">
        <v>1703</v>
      </c>
      <c r="B1017" t="s">
        <v>1786</v>
      </c>
      <c r="C1017" s="3">
        <v>4.2</v>
      </c>
      <c r="D1017" s="3">
        <v>539</v>
      </c>
      <c r="E1017" t="s">
        <v>1787</v>
      </c>
      <c r="F1017" s="3">
        <v>19.1184598</v>
      </c>
      <c r="G1017">
        <v>72.911565199999998</v>
      </c>
      <c r="H1017">
        <f t="shared" si="75"/>
        <v>2263.8000000000002</v>
      </c>
      <c r="I1017" s="3">
        <f t="shared" si="76"/>
        <v>13475</v>
      </c>
      <c r="J1017" s="1">
        <f t="shared" si="77"/>
        <v>350</v>
      </c>
      <c r="K1017" s="1">
        <f t="shared" si="78"/>
        <v>4716250</v>
      </c>
      <c r="L1017" s="2" t="str">
        <f t="shared" si="79"/>
        <v>Popular</v>
      </c>
    </row>
    <row r="1018" spans="1:12" x14ac:dyDescent="0.3">
      <c r="A1018" t="s">
        <v>1703</v>
      </c>
      <c r="B1018" t="s">
        <v>1788</v>
      </c>
      <c r="C1018" s="3">
        <v>4.5</v>
      </c>
      <c r="D1018" s="3">
        <v>156</v>
      </c>
      <c r="E1018" t="s">
        <v>1789</v>
      </c>
      <c r="F1018" s="3">
        <v>19.119612100000001</v>
      </c>
      <c r="G1018">
        <v>72.901198600000001</v>
      </c>
      <c r="H1018">
        <f t="shared" si="75"/>
        <v>702</v>
      </c>
      <c r="I1018" s="3">
        <f t="shared" si="76"/>
        <v>3900</v>
      </c>
      <c r="J1018" s="1">
        <f t="shared" si="77"/>
        <v>450</v>
      </c>
      <c r="K1018" s="1">
        <f t="shared" si="78"/>
        <v>1755000</v>
      </c>
      <c r="L1018" s="2" t="str">
        <f t="shared" si="79"/>
        <v>Premium</v>
      </c>
    </row>
    <row r="1019" spans="1:12" x14ac:dyDescent="0.3">
      <c r="A1019" t="s">
        <v>1703</v>
      </c>
      <c r="B1019" t="s">
        <v>1790</v>
      </c>
      <c r="C1019" s="3">
        <v>4.2</v>
      </c>
      <c r="D1019" s="3">
        <v>75</v>
      </c>
      <c r="E1019" t="s">
        <v>1791</v>
      </c>
      <c r="F1019" s="3">
        <v>19.120491399999999</v>
      </c>
      <c r="G1019">
        <v>72.909051300000002</v>
      </c>
      <c r="H1019">
        <f t="shared" si="75"/>
        <v>315</v>
      </c>
      <c r="I1019" s="3">
        <f t="shared" si="76"/>
        <v>1875</v>
      </c>
      <c r="J1019" s="1">
        <f t="shared" si="77"/>
        <v>350</v>
      </c>
      <c r="K1019" s="1">
        <f t="shared" si="78"/>
        <v>656250</v>
      </c>
      <c r="L1019" s="2" t="str">
        <f t="shared" si="79"/>
        <v>Popular</v>
      </c>
    </row>
    <row r="1020" spans="1:12" x14ac:dyDescent="0.3">
      <c r="A1020" t="s">
        <v>1703</v>
      </c>
      <c r="B1020" t="s">
        <v>1792</v>
      </c>
      <c r="C1020" s="3">
        <v>4.9000000000000004</v>
      </c>
      <c r="D1020" s="3">
        <v>18</v>
      </c>
      <c r="E1020" t="s">
        <v>1793</v>
      </c>
      <c r="F1020" s="3">
        <v>19.130307200000001</v>
      </c>
      <c r="G1020">
        <v>72.918111099999905</v>
      </c>
      <c r="H1020">
        <f t="shared" si="75"/>
        <v>88.2</v>
      </c>
      <c r="I1020" s="3">
        <f t="shared" si="76"/>
        <v>450</v>
      </c>
      <c r="J1020" s="1">
        <f t="shared" si="77"/>
        <v>550</v>
      </c>
      <c r="K1020" s="1">
        <f t="shared" si="78"/>
        <v>247500</v>
      </c>
      <c r="L1020" s="2" t="str">
        <f t="shared" si="79"/>
        <v>Premium</v>
      </c>
    </row>
    <row r="1021" spans="1:12" x14ac:dyDescent="0.3">
      <c r="A1021" t="s">
        <v>1703</v>
      </c>
      <c r="B1021" t="s">
        <v>1794</v>
      </c>
      <c r="C1021" s="3">
        <v>4.3</v>
      </c>
      <c r="D1021" s="3">
        <v>1671</v>
      </c>
      <c r="E1021" t="s">
        <v>1795</v>
      </c>
      <c r="F1021" s="3">
        <v>19.111243099999999</v>
      </c>
      <c r="G1021">
        <v>72.908766900000003</v>
      </c>
      <c r="H1021">
        <f t="shared" si="75"/>
        <v>7185.2999999999993</v>
      </c>
      <c r="I1021" s="3">
        <f t="shared" si="76"/>
        <v>41775</v>
      </c>
      <c r="J1021" s="1">
        <f t="shared" si="77"/>
        <v>350</v>
      </c>
      <c r="K1021" s="1">
        <f t="shared" si="78"/>
        <v>14621250</v>
      </c>
      <c r="L1021" s="2" t="str">
        <f t="shared" si="79"/>
        <v>Popular</v>
      </c>
    </row>
    <row r="1022" spans="1:12" x14ac:dyDescent="0.3">
      <c r="A1022" t="s">
        <v>1796</v>
      </c>
      <c r="B1022" t="s">
        <v>1040</v>
      </c>
      <c r="C1022" s="3">
        <v>4.4000000000000004</v>
      </c>
      <c r="D1022" s="3">
        <v>3152</v>
      </c>
      <c r="E1022" t="s">
        <v>1041</v>
      </c>
      <c r="F1022" s="3">
        <v>19.061594199999998</v>
      </c>
      <c r="G1022">
        <v>72.899740999999906</v>
      </c>
      <c r="H1022">
        <f t="shared" si="75"/>
        <v>13868.800000000001</v>
      </c>
      <c r="I1022" s="3">
        <f t="shared" si="76"/>
        <v>78800</v>
      </c>
      <c r="J1022" s="1">
        <f t="shared" si="77"/>
        <v>450</v>
      </c>
      <c r="K1022" s="1">
        <f t="shared" si="78"/>
        <v>35460000</v>
      </c>
      <c r="L1022" s="2" t="str">
        <f t="shared" si="79"/>
        <v>Popular</v>
      </c>
    </row>
    <row r="1023" spans="1:12" x14ac:dyDescent="0.3">
      <c r="A1023" t="s">
        <v>1796</v>
      </c>
      <c r="B1023" t="s">
        <v>1797</v>
      </c>
      <c r="C1023" s="3">
        <v>4.2</v>
      </c>
      <c r="D1023" s="3">
        <v>10165</v>
      </c>
      <c r="E1023" t="s">
        <v>1798</v>
      </c>
      <c r="F1023" s="3">
        <v>19.053038000000001</v>
      </c>
      <c r="G1023">
        <v>72.897680999999906</v>
      </c>
      <c r="H1023">
        <f t="shared" si="75"/>
        <v>42693</v>
      </c>
      <c r="I1023" s="3">
        <f t="shared" si="76"/>
        <v>254125</v>
      </c>
      <c r="J1023" s="1">
        <f t="shared" si="77"/>
        <v>350</v>
      </c>
      <c r="K1023" s="1">
        <f t="shared" si="78"/>
        <v>88943750</v>
      </c>
      <c r="L1023" s="2" t="str">
        <f t="shared" si="79"/>
        <v>Popular</v>
      </c>
    </row>
    <row r="1024" spans="1:12" x14ac:dyDescent="0.3">
      <c r="A1024" t="s">
        <v>1796</v>
      </c>
      <c r="B1024" t="s">
        <v>1799</v>
      </c>
      <c r="C1024" s="3">
        <v>4.2</v>
      </c>
      <c r="D1024" s="3">
        <v>1460</v>
      </c>
      <c r="E1024" t="s">
        <v>1800</v>
      </c>
      <c r="F1024" s="3">
        <v>19.047415300000001</v>
      </c>
      <c r="G1024">
        <v>72.906936700000003</v>
      </c>
      <c r="H1024">
        <f t="shared" si="75"/>
        <v>6132</v>
      </c>
      <c r="I1024" s="3">
        <f t="shared" si="76"/>
        <v>36500</v>
      </c>
      <c r="J1024" s="1">
        <f t="shared" si="77"/>
        <v>350</v>
      </c>
      <c r="K1024" s="1">
        <f t="shared" si="78"/>
        <v>12775000</v>
      </c>
      <c r="L1024" s="2" t="str">
        <f t="shared" si="79"/>
        <v>Popular</v>
      </c>
    </row>
    <row r="1025" spans="1:12" x14ac:dyDescent="0.3">
      <c r="A1025" t="s">
        <v>1796</v>
      </c>
      <c r="B1025" t="s">
        <v>1801</v>
      </c>
      <c r="C1025" s="3">
        <v>4.3</v>
      </c>
      <c r="D1025" s="3">
        <v>346</v>
      </c>
      <c r="E1025" t="s">
        <v>1802</v>
      </c>
      <c r="F1025" s="3">
        <v>19.046987099999999</v>
      </c>
      <c r="G1025">
        <v>72.910994399999893</v>
      </c>
      <c r="H1025">
        <f t="shared" si="75"/>
        <v>1487.8</v>
      </c>
      <c r="I1025" s="3">
        <f t="shared" si="76"/>
        <v>8650</v>
      </c>
      <c r="J1025" s="1">
        <f t="shared" si="77"/>
        <v>350</v>
      </c>
      <c r="K1025" s="1">
        <f t="shared" si="78"/>
        <v>3027500</v>
      </c>
      <c r="L1025" s="2" t="str">
        <f t="shared" si="79"/>
        <v>Popular</v>
      </c>
    </row>
    <row r="1026" spans="1:12" x14ac:dyDescent="0.3">
      <c r="A1026" t="s">
        <v>1796</v>
      </c>
      <c r="B1026" t="s">
        <v>1803</v>
      </c>
      <c r="C1026" s="3">
        <v>4.9000000000000004</v>
      </c>
      <c r="D1026" s="3">
        <v>130</v>
      </c>
      <c r="E1026" t="s">
        <v>1804</v>
      </c>
      <c r="F1026" s="3">
        <v>19.041826799999999</v>
      </c>
      <c r="G1026">
        <v>72.8938323</v>
      </c>
      <c r="H1026">
        <f t="shared" ref="H1026:H1089" si="80">C1026*D1026</f>
        <v>637</v>
      </c>
      <c r="I1026" s="3">
        <f t="shared" ref="I1026:I1089" si="81">D1026*25</f>
        <v>3250</v>
      </c>
      <c r="J1026" s="1">
        <f t="shared" ref="J1026:J1089" si="82">IF(C1026&gt;=4.7,550,IF(C1026&gt;=4.4,450,IF(C1026&gt;=O1028,350,250)))</f>
        <v>550</v>
      </c>
      <c r="K1026" s="1">
        <f t="shared" ref="K1026:K1089" si="83">I1026*J1026</f>
        <v>1787500</v>
      </c>
      <c r="L1026" s="2" t="str">
        <f t="shared" ref="L1026:L1089" si="84">IF(C1026&gt;=4.5,"Premium",IF(C1026&gt;=4,"Popular","Average"))</f>
        <v>Premium</v>
      </c>
    </row>
    <row r="1027" spans="1:12" x14ac:dyDescent="0.3">
      <c r="A1027" t="s">
        <v>1796</v>
      </c>
      <c r="B1027" t="s">
        <v>1805</v>
      </c>
      <c r="C1027" s="3">
        <v>4</v>
      </c>
      <c r="D1027" s="3">
        <v>453</v>
      </c>
      <c r="E1027" t="s">
        <v>1806</v>
      </c>
      <c r="F1027" s="3">
        <v>19.0455665</v>
      </c>
      <c r="G1027">
        <v>72.903101399999997</v>
      </c>
      <c r="H1027">
        <f t="shared" si="80"/>
        <v>1812</v>
      </c>
      <c r="I1027" s="3">
        <f t="shared" si="81"/>
        <v>11325</v>
      </c>
      <c r="J1027" s="1">
        <f t="shared" si="82"/>
        <v>350</v>
      </c>
      <c r="K1027" s="1">
        <f t="shared" si="83"/>
        <v>3963750</v>
      </c>
      <c r="L1027" s="2" t="str">
        <f t="shared" si="84"/>
        <v>Popular</v>
      </c>
    </row>
    <row r="1028" spans="1:12" x14ac:dyDescent="0.3">
      <c r="A1028" t="s">
        <v>1796</v>
      </c>
      <c r="B1028" t="s">
        <v>1807</v>
      </c>
      <c r="C1028" s="3">
        <v>4.4000000000000004</v>
      </c>
      <c r="D1028" s="3">
        <v>29</v>
      </c>
      <c r="E1028" t="s">
        <v>1808</v>
      </c>
      <c r="F1028" s="3">
        <v>19.0603613</v>
      </c>
      <c r="G1028">
        <v>72.898915399999893</v>
      </c>
      <c r="H1028">
        <f t="shared" si="80"/>
        <v>127.60000000000001</v>
      </c>
      <c r="I1028" s="3">
        <f t="shared" si="81"/>
        <v>725</v>
      </c>
      <c r="J1028" s="1">
        <f t="shared" si="82"/>
        <v>450</v>
      </c>
      <c r="K1028" s="1">
        <f t="shared" si="83"/>
        <v>326250</v>
      </c>
      <c r="L1028" s="2" t="str">
        <f t="shared" si="84"/>
        <v>Popular</v>
      </c>
    </row>
    <row r="1029" spans="1:12" x14ac:dyDescent="0.3">
      <c r="A1029" t="s">
        <v>1796</v>
      </c>
      <c r="B1029" t="s">
        <v>1809</v>
      </c>
      <c r="C1029" s="3">
        <v>4.2</v>
      </c>
      <c r="D1029" s="3">
        <v>664</v>
      </c>
      <c r="E1029" t="s">
        <v>1810</v>
      </c>
      <c r="F1029" s="3">
        <v>19.051201800000001</v>
      </c>
      <c r="G1029">
        <v>72.918116299999994</v>
      </c>
      <c r="H1029">
        <f t="shared" si="80"/>
        <v>2788.8</v>
      </c>
      <c r="I1029" s="3">
        <f t="shared" si="81"/>
        <v>16600</v>
      </c>
      <c r="J1029" s="1">
        <f t="shared" si="82"/>
        <v>350</v>
      </c>
      <c r="K1029" s="1">
        <f t="shared" si="83"/>
        <v>5810000</v>
      </c>
      <c r="L1029" s="2" t="str">
        <f t="shared" si="84"/>
        <v>Popular</v>
      </c>
    </row>
    <row r="1030" spans="1:12" x14ac:dyDescent="0.3">
      <c r="A1030" t="s">
        <v>1796</v>
      </c>
      <c r="B1030" t="s">
        <v>1811</v>
      </c>
      <c r="C1030" s="3">
        <v>4.5999999999999996</v>
      </c>
      <c r="D1030" s="3">
        <v>101</v>
      </c>
      <c r="E1030" t="s">
        <v>1812</v>
      </c>
      <c r="F1030" s="3">
        <v>19.059688399999999</v>
      </c>
      <c r="G1030">
        <v>72.898968400000001</v>
      </c>
      <c r="H1030">
        <f t="shared" si="80"/>
        <v>464.59999999999997</v>
      </c>
      <c r="I1030" s="3">
        <f t="shared" si="81"/>
        <v>2525</v>
      </c>
      <c r="J1030" s="1">
        <f t="shared" si="82"/>
        <v>450</v>
      </c>
      <c r="K1030" s="1">
        <f t="shared" si="83"/>
        <v>1136250</v>
      </c>
      <c r="L1030" s="2" t="str">
        <f t="shared" si="84"/>
        <v>Premium</v>
      </c>
    </row>
    <row r="1031" spans="1:12" x14ac:dyDescent="0.3">
      <c r="A1031" t="s">
        <v>1796</v>
      </c>
      <c r="B1031" t="s">
        <v>867</v>
      </c>
      <c r="C1031" s="3">
        <v>4.5</v>
      </c>
      <c r="D1031" s="3">
        <v>2253</v>
      </c>
      <c r="E1031" t="s">
        <v>868</v>
      </c>
      <c r="F1031" s="3">
        <v>19.070120500000002</v>
      </c>
      <c r="G1031">
        <v>72.8975121</v>
      </c>
      <c r="H1031">
        <f t="shared" si="80"/>
        <v>10138.5</v>
      </c>
      <c r="I1031" s="3">
        <f t="shared" si="81"/>
        <v>56325</v>
      </c>
      <c r="J1031" s="1">
        <f t="shared" si="82"/>
        <v>450</v>
      </c>
      <c r="K1031" s="1">
        <f t="shared" si="83"/>
        <v>25346250</v>
      </c>
      <c r="L1031" s="2" t="str">
        <f t="shared" si="84"/>
        <v>Premium</v>
      </c>
    </row>
    <row r="1032" spans="1:12" x14ac:dyDescent="0.3">
      <c r="A1032" t="s">
        <v>1796</v>
      </c>
      <c r="B1032" t="s">
        <v>1813</v>
      </c>
      <c r="C1032" s="3">
        <v>4.2</v>
      </c>
      <c r="D1032" s="3">
        <v>46</v>
      </c>
      <c r="E1032" t="s">
        <v>1814</v>
      </c>
      <c r="F1032" s="3">
        <v>19.048492</v>
      </c>
      <c r="G1032">
        <v>72.893210999999994</v>
      </c>
      <c r="H1032">
        <f t="shared" si="80"/>
        <v>193.20000000000002</v>
      </c>
      <c r="I1032" s="3">
        <f t="shared" si="81"/>
        <v>1150</v>
      </c>
      <c r="J1032" s="1">
        <f t="shared" si="82"/>
        <v>350</v>
      </c>
      <c r="K1032" s="1">
        <f t="shared" si="83"/>
        <v>402500</v>
      </c>
      <c r="L1032" s="2" t="str">
        <f t="shared" si="84"/>
        <v>Popular</v>
      </c>
    </row>
    <row r="1033" spans="1:12" x14ac:dyDescent="0.3">
      <c r="A1033" t="s">
        <v>1796</v>
      </c>
      <c r="B1033" t="s">
        <v>856</v>
      </c>
      <c r="C1033" s="3">
        <v>4.9000000000000004</v>
      </c>
      <c r="D1033" s="3">
        <v>94</v>
      </c>
      <c r="E1033" t="s">
        <v>857</v>
      </c>
      <c r="F1033" s="3">
        <v>19.070182599999999</v>
      </c>
      <c r="G1033">
        <v>72.898175600000002</v>
      </c>
      <c r="H1033">
        <f t="shared" si="80"/>
        <v>460.6</v>
      </c>
      <c r="I1033" s="3">
        <f t="shared" si="81"/>
        <v>2350</v>
      </c>
      <c r="J1033" s="1">
        <f t="shared" si="82"/>
        <v>550</v>
      </c>
      <c r="K1033" s="1">
        <f t="shared" si="83"/>
        <v>1292500</v>
      </c>
      <c r="L1033" s="2" t="str">
        <f t="shared" si="84"/>
        <v>Premium</v>
      </c>
    </row>
    <row r="1034" spans="1:12" x14ac:dyDescent="0.3">
      <c r="A1034" t="s">
        <v>1796</v>
      </c>
      <c r="B1034" t="s">
        <v>1815</v>
      </c>
      <c r="C1034" s="3">
        <v>4.7</v>
      </c>
      <c r="D1034" s="3">
        <v>175</v>
      </c>
      <c r="E1034" t="s">
        <v>1816</v>
      </c>
      <c r="F1034" s="3">
        <v>19.0444645</v>
      </c>
      <c r="G1034">
        <v>72.917659899999904</v>
      </c>
      <c r="H1034">
        <f t="shared" si="80"/>
        <v>822.5</v>
      </c>
      <c r="I1034" s="3">
        <f t="shared" si="81"/>
        <v>4375</v>
      </c>
      <c r="J1034" s="1">
        <f t="shared" si="82"/>
        <v>550</v>
      </c>
      <c r="K1034" s="1">
        <f t="shared" si="83"/>
        <v>2406250</v>
      </c>
      <c r="L1034" s="2" t="str">
        <f t="shared" si="84"/>
        <v>Premium</v>
      </c>
    </row>
    <row r="1035" spans="1:12" x14ac:dyDescent="0.3">
      <c r="A1035" t="s">
        <v>1796</v>
      </c>
      <c r="B1035" t="s">
        <v>53</v>
      </c>
      <c r="C1035" s="3">
        <v>4.5</v>
      </c>
      <c r="D1035" s="3">
        <v>644</v>
      </c>
      <c r="E1035" t="s">
        <v>1817</v>
      </c>
      <c r="F1035" s="3">
        <v>19.056580700000001</v>
      </c>
      <c r="G1035">
        <v>72.897811199999893</v>
      </c>
      <c r="H1035">
        <f t="shared" si="80"/>
        <v>2898</v>
      </c>
      <c r="I1035" s="3">
        <f t="shared" si="81"/>
        <v>16100</v>
      </c>
      <c r="J1035" s="1">
        <f t="shared" si="82"/>
        <v>450</v>
      </c>
      <c r="K1035" s="1">
        <f t="shared" si="83"/>
        <v>7245000</v>
      </c>
      <c r="L1035" s="2" t="str">
        <f t="shared" si="84"/>
        <v>Premium</v>
      </c>
    </row>
    <row r="1036" spans="1:12" x14ac:dyDescent="0.3">
      <c r="A1036" t="s">
        <v>1796</v>
      </c>
      <c r="B1036" t="s">
        <v>1044</v>
      </c>
      <c r="C1036" s="3">
        <v>4.5999999999999996</v>
      </c>
      <c r="D1036" s="3">
        <v>504</v>
      </c>
      <c r="E1036" t="s">
        <v>1045</v>
      </c>
      <c r="F1036" s="3">
        <v>19.069397200000001</v>
      </c>
      <c r="G1036">
        <v>72.896929599999893</v>
      </c>
      <c r="H1036">
        <f t="shared" si="80"/>
        <v>2318.3999999999996</v>
      </c>
      <c r="I1036" s="3">
        <f t="shared" si="81"/>
        <v>12600</v>
      </c>
      <c r="J1036" s="1">
        <f t="shared" si="82"/>
        <v>450</v>
      </c>
      <c r="K1036" s="1">
        <f t="shared" si="83"/>
        <v>5670000</v>
      </c>
      <c r="L1036" s="2" t="str">
        <f t="shared" si="84"/>
        <v>Premium</v>
      </c>
    </row>
    <row r="1037" spans="1:12" x14ac:dyDescent="0.3">
      <c r="A1037" t="s">
        <v>1796</v>
      </c>
      <c r="B1037" t="s">
        <v>936</v>
      </c>
      <c r="C1037" s="3">
        <v>4.2</v>
      </c>
      <c r="D1037" s="3">
        <v>66</v>
      </c>
      <c r="E1037" t="s">
        <v>937</v>
      </c>
      <c r="F1037" s="3">
        <v>19.0612198</v>
      </c>
      <c r="G1037">
        <v>72.899378299999995</v>
      </c>
      <c r="H1037">
        <f t="shared" si="80"/>
        <v>277.2</v>
      </c>
      <c r="I1037" s="3">
        <f t="shared" si="81"/>
        <v>1650</v>
      </c>
      <c r="J1037" s="1">
        <f t="shared" si="82"/>
        <v>350</v>
      </c>
      <c r="K1037" s="1">
        <f t="shared" si="83"/>
        <v>577500</v>
      </c>
      <c r="L1037" s="2" t="str">
        <f t="shared" si="84"/>
        <v>Popular</v>
      </c>
    </row>
    <row r="1038" spans="1:12" x14ac:dyDescent="0.3">
      <c r="A1038" t="s">
        <v>1796</v>
      </c>
      <c r="B1038" t="s">
        <v>1818</v>
      </c>
      <c r="C1038" s="3">
        <v>4.0999999999999996</v>
      </c>
      <c r="D1038" s="3">
        <v>1338</v>
      </c>
      <c r="E1038" t="s">
        <v>1819</v>
      </c>
      <c r="F1038" s="3">
        <v>19.052778</v>
      </c>
      <c r="G1038">
        <v>72.899598099999906</v>
      </c>
      <c r="H1038">
        <f t="shared" si="80"/>
        <v>5485.7999999999993</v>
      </c>
      <c r="I1038" s="3">
        <f t="shared" si="81"/>
        <v>33450</v>
      </c>
      <c r="J1038" s="1">
        <f t="shared" si="82"/>
        <v>350</v>
      </c>
      <c r="K1038" s="1">
        <f t="shared" si="83"/>
        <v>11707500</v>
      </c>
      <c r="L1038" s="2" t="str">
        <f t="shared" si="84"/>
        <v>Popular</v>
      </c>
    </row>
    <row r="1039" spans="1:12" x14ac:dyDescent="0.3">
      <c r="A1039" t="s">
        <v>1796</v>
      </c>
      <c r="B1039" t="s">
        <v>1820</v>
      </c>
      <c r="C1039" s="3">
        <v>4.0999999999999996</v>
      </c>
      <c r="D1039" s="3">
        <v>2057</v>
      </c>
      <c r="E1039" t="s">
        <v>1821</v>
      </c>
      <c r="F1039" s="3">
        <v>19.046042400000001</v>
      </c>
      <c r="G1039">
        <v>72.908238400000002</v>
      </c>
      <c r="H1039">
        <f t="shared" si="80"/>
        <v>8433.6999999999989</v>
      </c>
      <c r="I1039" s="3">
        <f t="shared" si="81"/>
        <v>51425</v>
      </c>
      <c r="J1039" s="1">
        <f t="shared" si="82"/>
        <v>350</v>
      </c>
      <c r="K1039" s="1">
        <f t="shared" si="83"/>
        <v>17998750</v>
      </c>
      <c r="L1039" s="2" t="str">
        <f t="shared" si="84"/>
        <v>Popular</v>
      </c>
    </row>
    <row r="1040" spans="1:12" x14ac:dyDescent="0.3">
      <c r="A1040" t="s">
        <v>1796</v>
      </c>
      <c r="B1040" t="s">
        <v>1822</v>
      </c>
      <c r="C1040" s="3">
        <v>4.9000000000000004</v>
      </c>
      <c r="D1040" s="3">
        <v>72</v>
      </c>
      <c r="E1040" t="s">
        <v>1823</v>
      </c>
      <c r="F1040" s="3">
        <v>19.051893</v>
      </c>
      <c r="G1040">
        <v>72.889983399999906</v>
      </c>
      <c r="H1040">
        <f t="shared" si="80"/>
        <v>352.8</v>
      </c>
      <c r="I1040" s="3">
        <f t="shared" si="81"/>
        <v>1800</v>
      </c>
      <c r="J1040" s="1">
        <f t="shared" si="82"/>
        <v>550</v>
      </c>
      <c r="K1040" s="1">
        <f t="shared" si="83"/>
        <v>990000</v>
      </c>
      <c r="L1040" s="2" t="str">
        <f t="shared" si="84"/>
        <v>Premium</v>
      </c>
    </row>
    <row r="1041" spans="1:12" x14ac:dyDescent="0.3">
      <c r="A1041" t="s">
        <v>1796</v>
      </c>
      <c r="B1041" t="s">
        <v>195</v>
      </c>
      <c r="C1041" s="3">
        <v>4.2</v>
      </c>
      <c r="D1041" s="3">
        <v>278</v>
      </c>
      <c r="E1041" t="s">
        <v>1824</v>
      </c>
      <c r="F1041" s="3">
        <v>19.051459099999999</v>
      </c>
      <c r="G1041">
        <v>72.9020431</v>
      </c>
      <c r="H1041">
        <f t="shared" si="80"/>
        <v>1167.6000000000001</v>
      </c>
      <c r="I1041" s="3">
        <f t="shared" si="81"/>
        <v>6950</v>
      </c>
      <c r="J1041" s="1">
        <f t="shared" si="82"/>
        <v>350</v>
      </c>
      <c r="K1041" s="1">
        <f t="shared" si="83"/>
        <v>2432500</v>
      </c>
      <c r="L1041" s="2" t="str">
        <f t="shared" si="84"/>
        <v>Popular</v>
      </c>
    </row>
    <row r="1042" spans="1:12" x14ac:dyDescent="0.3">
      <c r="A1042" t="s">
        <v>1796</v>
      </c>
      <c r="B1042" t="s">
        <v>1825</v>
      </c>
      <c r="C1042" s="3">
        <v>4.7</v>
      </c>
      <c r="D1042" s="3">
        <v>175</v>
      </c>
      <c r="E1042" t="s">
        <v>1826</v>
      </c>
      <c r="F1042" s="3">
        <v>19.0701863</v>
      </c>
      <c r="G1042">
        <v>72.898086500000005</v>
      </c>
      <c r="H1042">
        <f t="shared" si="80"/>
        <v>822.5</v>
      </c>
      <c r="I1042" s="3">
        <f t="shared" si="81"/>
        <v>4375</v>
      </c>
      <c r="J1042" s="1">
        <f t="shared" si="82"/>
        <v>550</v>
      </c>
      <c r="K1042" s="1">
        <f t="shared" si="83"/>
        <v>2406250</v>
      </c>
      <c r="L1042" s="2" t="str">
        <f t="shared" si="84"/>
        <v>Premium</v>
      </c>
    </row>
    <row r="1043" spans="1:12" x14ac:dyDescent="0.3">
      <c r="A1043" t="s">
        <v>1796</v>
      </c>
      <c r="B1043" t="s">
        <v>259</v>
      </c>
      <c r="C1043" s="3">
        <v>4</v>
      </c>
      <c r="D1043" s="3">
        <v>1417</v>
      </c>
      <c r="E1043" t="s">
        <v>1827</v>
      </c>
      <c r="F1043" s="3">
        <v>19.051912699999999</v>
      </c>
      <c r="G1043">
        <v>72.900778399999993</v>
      </c>
      <c r="H1043">
        <f t="shared" si="80"/>
        <v>5668</v>
      </c>
      <c r="I1043" s="3">
        <f t="shared" si="81"/>
        <v>35425</v>
      </c>
      <c r="J1043" s="1">
        <f t="shared" si="82"/>
        <v>350</v>
      </c>
      <c r="K1043" s="1">
        <f t="shared" si="83"/>
        <v>12398750</v>
      </c>
      <c r="L1043" s="2" t="str">
        <f t="shared" si="84"/>
        <v>Popular</v>
      </c>
    </row>
    <row r="1044" spans="1:12" x14ac:dyDescent="0.3">
      <c r="A1044" t="s">
        <v>1796</v>
      </c>
      <c r="B1044" t="s">
        <v>1828</v>
      </c>
      <c r="C1044" s="3">
        <v>4.2</v>
      </c>
      <c r="D1044" s="3">
        <v>413</v>
      </c>
      <c r="E1044" t="s">
        <v>1829</v>
      </c>
      <c r="F1044" s="3">
        <v>19.0614822</v>
      </c>
      <c r="G1044">
        <v>72.900430099999994</v>
      </c>
      <c r="H1044">
        <f t="shared" si="80"/>
        <v>1734.6000000000001</v>
      </c>
      <c r="I1044" s="3">
        <f t="shared" si="81"/>
        <v>10325</v>
      </c>
      <c r="J1044" s="1">
        <f t="shared" si="82"/>
        <v>350</v>
      </c>
      <c r="K1044" s="1">
        <f t="shared" si="83"/>
        <v>3613750</v>
      </c>
      <c r="L1044" s="2" t="str">
        <f t="shared" si="84"/>
        <v>Popular</v>
      </c>
    </row>
    <row r="1045" spans="1:12" x14ac:dyDescent="0.3">
      <c r="A1045" t="s">
        <v>1796</v>
      </c>
      <c r="B1045" t="s">
        <v>1830</v>
      </c>
      <c r="C1045" s="3">
        <v>4.5999999999999996</v>
      </c>
      <c r="D1045" s="3">
        <v>121</v>
      </c>
      <c r="E1045" t="s">
        <v>1831</v>
      </c>
      <c r="F1045" s="3">
        <v>19.0693093</v>
      </c>
      <c r="G1045">
        <v>72.899453299999905</v>
      </c>
      <c r="H1045">
        <f t="shared" si="80"/>
        <v>556.59999999999991</v>
      </c>
      <c r="I1045" s="3">
        <f t="shared" si="81"/>
        <v>3025</v>
      </c>
      <c r="J1045" s="1">
        <f t="shared" si="82"/>
        <v>450</v>
      </c>
      <c r="K1045" s="1">
        <f t="shared" si="83"/>
        <v>1361250</v>
      </c>
      <c r="L1045" s="2" t="str">
        <f t="shared" si="84"/>
        <v>Premium</v>
      </c>
    </row>
    <row r="1046" spans="1:12" x14ac:dyDescent="0.3">
      <c r="A1046" t="s">
        <v>1796</v>
      </c>
      <c r="B1046" t="s">
        <v>293</v>
      </c>
      <c r="C1046" s="3">
        <v>4.3</v>
      </c>
      <c r="D1046" s="3">
        <v>1225</v>
      </c>
      <c r="E1046" t="s">
        <v>1832</v>
      </c>
      <c r="F1046" s="3">
        <v>19.061724099999999</v>
      </c>
      <c r="G1046">
        <v>72.898037199999905</v>
      </c>
      <c r="H1046">
        <f t="shared" si="80"/>
        <v>5267.5</v>
      </c>
      <c r="I1046" s="3">
        <f t="shared" si="81"/>
        <v>30625</v>
      </c>
      <c r="J1046" s="1">
        <f t="shared" si="82"/>
        <v>350</v>
      </c>
      <c r="K1046" s="1">
        <f t="shared" si="83"/>
        <v>10718750</v>
      </c>
      <c r="L1046" s="2" t="str">
        <f t="shared" si="84"/>
        <v>Popular</v>
      </c>
    </row>
    <row r="1047" spans="1:12" x14ac:dyDescent="0.3">
      <c r="A1047" t="s">
        <v>1796</v>
      </c>
      <c r="B1047" t="s">
        <v>1833</v>
      </c>
      <c r="C1047" s="3">
        <v>4.7</v>
      </c>
      <c r="D1047" s="3">
        <v>251</v>
      </c>
      <c r="E1047" t="s">
        <v>1834</v>
      </c>
      <c r="F1047" s="3">
        <v>19.051871800000001</v>
      </c>
      <c r="G1047">
        <v>72.901080499999907</v>
      </c>
      <c r="H1047">
        <f t="shared" si="80"/>
        <v>1179.7</v>
      </c>
      <c r="I1047" s="3">
        <f t="shared" si="81"/>
        <v>6275</v>
      </c>
      <c r="J1047" s="1">
        <f t="shared" si="82"/>
        <v>550</v>
      </c>
      <c r="K1047" s="1">
        <f t="shared" si="83"/>
        <v>3451250</v>
      </c>
      <c r="L1047" s="2" t="str">
        <f t="shared" si="84"/>
        <v>Premium</v>
      </c>
    </row>
    <row r="1048" spans="1:12" x14ac:dyDescent="0.3">
      <c r="A1048" t="s">
        <v>1796</v>
      </c>
      <c r="B1048" t="s">
        <v>1835</v>
      </c>
      <c r="C1048" s="3">
        <v>4.8</v>
      </c>
      <c r="D1048" s="3">
        <v>84</v>
      </c>
      <c r="E1048" t="s">
        <v>1836</v>
      </c>
      <c r="F1048" s="3">
        <v>19.069580800000001</v>
      </c>
      <c r="G1048">
        <v>72.896940799999996</v>
      </c>
      <c r="H1048">
        <f t="shared" si="80"/>
        <v>403.2</v>
      </c>
      <c r="I1048" s="3">
        <f t="shared" si="81"/>
        <v>2100</v>
      </c>
      <c r="J1048" s="1">
        <f t="shared" si="82"/>
        <v>550</v>
      </c>
      <c r="K1048" s="1">
        <f t="shared" si="83"/>
        <v>1155000</v>
      </c>
      <c r="L1048" s="2" t="str">
        <f t="shared" si="84"/>
        <v>Premium</v>
      </c>
    </row>
    <row r="1049" spans="1:12" x14ac:dyDescent="0.3">
      <c r="A1049" t="s">
        <v>1796</v>
      </c>
      <c r="B1049" t="s">
        <v>1837</v>
      </c>
      <c r="C1049" s="3">
        <v>5</v>
      </c>
      <c r="D1049" s="3">
        <v>17</v>
      </c>
      <c r="E1049" t="s">
        <v>1838</v>
      </c>
      <c r="F1049" s="3">
        <v>19.046012900000001</v>
      </c>
      <c r="G1049">
        <v>72.897610599999993</v>
      </c>
      <c r="H1049">
        <f t="shared" si="80"/>
        <v>85</v>
      </c>
      <c r="I1049" s="3">
        <f t="shared" si="81"/>
        <v>425</v>
      </c>
      <c r="J1049" s="1">
        <f t="shared" si="82"/>
        <v>550</v>
      </c>
      <c r="K1049" s="1">
        <f t="shared" si="83"/>
        <v>233750</v>
      </c>
      <c r="L1049" s="2" t="str">
        <f t="shared" si="84"/>
        <v>Premium</v>
      </c>
    </row>
    <row r="1050" spans="1:12" x14ac:dyDescent="0.3">
      <c r="A1050" t="s">
        <v>1796</v>
      </c>
      <c r="B1050" t="s">
        <v>145</v>
      </c>
      <c r="C1050" s="3">
        <v>4</v>
      </c>
      <c r="D1050" s="3">
        <v>1235</v>
      </c>
      <c r="E1050" t="s">
        <v>1839</v>
      </c>
      <c r="F1050" s="3">
        <v>19.0441419</v>
      </c>
      <c r="G1050">
        <v>72.918695799999995</v>
      </c>
      <c r="H1050">
        <f t="shared" si="80"/>
        <v>4940</v>
      </c>
      <c r="I1050" s="3">
        <f t="shared" si="81"/>
        <v>30875</v>
      </c>
      <c r="J1050" s="1">
        <f t="shared" si="82"/>
        <v>350</v>
      </c>
      <c r="K1050" s="1">
        <f t="shared" si="83"/>
        <v>10806250</v>
      </c>
      <c r="L1050" s="2" t="str">
        <f t="shared" si="84"/>
        <v>Popular</v>
      </c>
    </row>
    <row r="1051" spans="1:12" x14ac:dyDescent="0.3">
      <c r="A1051" t="s">
        <v>1796</v>
      </c>
      <c r="B1051" t="s">
        <v>1840</v>
      </c>
      <c r="C1051" s="3">
        <v>4.9000000000000004</v>
      </c>
      <c r="D1051" s="3">
        <v>170</v>
      </c>
      <c r="E1051" t="s">
        <v>1841</v>
      </c>
      <c r="F1051" s="3">
        <v>19.059703200000001</v>
      </c>
      <c r="G1051">
        <v>72.896427099999997</v>
      </c>
      <c r="H1051">
        <f t="shared" si="80"/>
        <v>833.00000000000011</v>
      </c>
      <c r="I1051" s="3">
        <f t="shared" si="81"/>
        <v>4250</v>
      </c>
      <c r="J1051" s="1">
        <f t="shared" si="82"/>
        <v>550</v>
      </c>
      <c r="K1051" s="1">
        <f t="shared" si="83"/>
        <v>2337500</v>
      </c>
      <c r="L1051" s="2" t="str">
        <f t="shared" si="84"/>
        <v>Premium</v>
      </c>
    </row>
    <row r="1052" spans="1:12" x14ac:dyDescent="0.3">
      <c r="A1052" t="s">
        <v>1796</v>
      </c>
      <c r="B1052" t="s">
        <v>1842</v>
      </c>
      <c r="C1052" s="3">
        <v>3.5</v>
      </c>
      <c r="D1052" s="3">
        <v>142</v>
      </c>
      <c r="E1052" t="s">
        <v>1843</v>
      </c>
      <c r="F1052" s="3">
        <v>19.070433900000001</v>
      </c>
      <c r="G1052">
        <v>72.898780099999996</v>
      </c>
      <c r="H1052">
        <f t="shared" si="80"/>
        <v>497</v>
      </c>
      <c r="I1052" s="3">
        <f t="shared" si="81"/>
        <v>3550</v>
      </c>
      <c r="J1052" s="1">
        <f t="shared" si="82"/>
        <v>350</v>
      </c>
      <c r="K1052" s="1">
        <f t="shared" si="83"/>
        <v>1242500</v>
      </c>
      <c r="L1052" s="2" t="str">
        <f t="shared" si="84"/>
        <v>Average</v>
      </c>
    </row>
    <row r="1053" spans="1:12" x14ac:dyDescent="0.3">
      <c r="A1053" t="s">
        <v>1796</v>
      </c>
      <c r="B1053" t="s">
        <v>1844</v>
      </c>
      <c r="C1053" s="3">
        <v>4.3</v>
      </c>
      <c r="D1053" s="3">
        <v>104</v>
      </c>
      <c r="E1053" t="s">
        <v>1845</v>
      </c>
      <c r="F1053" s="3">
        <v>19.0456103</v>
      </c>
      <c r="G1053">
        <v>72.895061999999996</v>
      </c>
      <c r="H1053">
        <f t="shared" si="80"/>
        <v>447.2</v>
      </c>
      <c r="I1053" s="3">
        <f t="shared" si="81"/>
        <v>2600</v>
      </c>
      <c r="J1053" s="1">
        <f t="shared" si="82"/>
        <v>350</v>
      </c>
      <c r="K1053" s="1">
        <f t="shared" si="83"/>
        <v>910000</v>
      </c>
      <c r="L1053" s="2" t="str">
        <f t="shared" si="84"/>
        <v>Popular</v>
      </c>
    </row>
    <row r="1054" spans="1:12" x14ac:dyDescent="0.3">
      <c r="A1054" t="s">
        <v>1796</v>
      </c>
      <c r="B1054" t="s">
        <v>1846</v>
      </c>
      <c r="C1054" s="3">
        <v>4.7</v>
      </c>
      <c r="D1054" s="3">
        <v>3269</v>
      </c>
      <c r="E1054" t="s">
        <v>1847</v>
      </c>
      <c r="F1054" s="3">
        <v>19.046616100000001</v>
      </c>
      <c r="G1054">
        <v>72.906934100000001</v>
      </c>
      <c r="H1054">
        <f t="shared" si="80"/>
        <v>15364.300000000001</v>
      </c>
      <c r="I1054" s="3">
        <f t="shared" si="81"/>
        <v>81725</v>
      </c>
      <c r="J1054" s="1">
        <f t="shared" si="82"/>
        <v>550</v>
      </c>
      <c r="K1054" s="1">
        <f t="shared" si="83"/>
        <v>44948750</v>
      </c>
      <c r="L1054" s="2" t="str">
        <f t="shared" si="84"/>
        <v>Premium</v>
      </c>
    </row>
    <row r="1055" spans="1:12" x14ac:dyDescent="0.3">
      <c r="A1055" t="s">
        <v>1796</v>
      </c>
      <c r="B1055" t="s">
        <v>1848</v>
      </c>
      <c r="C1055" s="3">
        <v>4.4000000000000004</v>
      </c>
      <c r="D1055" s="3">
        <v>1777</v>
      </c>
      <c r="E1055" t="s">
        <v>1849</v>
      </c>
      <c r="F1055" s="3">
        <v>19.060717199999999</v>
      </c>
      <c r="G1055">
        <v>72.900001199999906</v>
      </c>
      <c r="H1055">
        <f t="shared" si="80"/>
        <v>7818.8</v>
      </c>
      <c r="I1055" s="3">
        <f t="shared" si="81"/>
        <v>44425</v>
      </c>
      <c r="J1055" s="1">
        <f t="shared" si="82"/>
        <v>450</v>
      </c>
      <c r="K1055" s="1">
        <f t="shared" si="83"/>
        <v>19991250</v>
      </c>
      <c r="L1055" s="2" t="str">
        <f t="shared" si="84"/>
        <v>Popular</v>
      </c>
    </row>
    <row r="1056" spans="1:12" x14ac:dyDescent="0.3">
      <c r="A1056" t="s">
        <v>1796</v>
      </c>
      <c r="B1056" t="s">
        <v>128</v>
      </c>
      <c r="C1056" s="3">
        <v>4.4000000000000004</v>
      </c>
      <c r="D1056" s="3">
        <v>2583</v>
      </c>
      <c r="E1056" t="s">
        <v>1850</v>
      </c>
      <c r="F1056" s="3">
        <v>19.060486000000001</v>
      </c>
      <c r="G1056">
        <v>72.898553999999905</v>
      </c>
      <c r="H1056">
        <f t="shared" si="80"/>
        <v>11365.2</v>
      </c>
      <c r="I1056" s="3">
        <f t="shared" si="81"/>
        <v>64575</v>
      </c>
      <c r="J1056" s="1">
        <f t="shared" si="82"/>
        <v>450</v>
      </c>
      <c r="K1056" s="1">
        <f t="shared" si="83"/>
        <v>29058750</v>
      </c>
      <c r="L1056" s="2" t="str">
        <f t="shared" si="84"/>
        <v>Popular</v>
      </c>
    </row>
    <row r="1057" spans="1:12" x14ac:dyDescent="0.3">
      <c r="A1057" t="s">
        <v>1796</v>
      </c>
      <c r="B1057" t="s">
        <v>1851</v>
      </c>
      <c r="C1057" s="3">
        <v>4.5</v>
      </c>
      <c r="D1057" s="3">
        <v>142</v>
      </c>
      <c r="E1057" t="s">
        <v>1852</v>
      </c>
      <c r="F1057" s="3">
        <v>19.045520499999999</v>
      </c>
      <c r="G1057">
        <v>72.894493599999905</v>
      </c>
      <c r="H1057">
        <f t="shared" si="80"/>
        <v>639</v>
      </c>
      <c r="I1057" s="3">
        <f t="shared" si="81"/>
        <v>3550</v>
      </c>
      <c r="J1057" s="1">
        <f t="shared" si="82"/>
        <v>450</v>
      </c>
      <c r="K1057" s="1">
        <f t="shared" si="83"/>
        <v>1597500</v>
      </c>
      <c r="L1057" s="2" t="str">
        <f t="shared" si="84"/>
        <v>Premium</v>
      </c>
    </row>
    <row r="1058" spans="1:12" x14ac:dyDescent="0.3">
      <c r="A1058" t="s">
        <v>1796</v>
      </c>
      <c r="B1058" t="s">
        <v>1853</v>
      </c>
      <c r="C1058" s="3">
        <v>4.2</v>
      </c>
      <c r="D1058" s="3">
        <v>1440</v>
      </c>
      <c r="E1058" t="s">
        <v>1854</v>
      </c>
      <c r="F1058" s="3">
        <v>19.052115199999999</v>
      </c>
      <c r="G1058">
        <v>72.900217400000002</v>
      </c>
      <c r="H1058">
        <f t="shared" si="80"/>
        <v>6048</v>
      </c>
      <c r="I1058" s="3">
        <f t="shared" si="81"/>
        <v>36000</v>
      </c>
      <c r="J1058" s="1">
        <f t="shared" si="82"/>
        <v>350</v>
      </c>
      <c r="K1058" s="1">
        <f t="shared" si="83"/>
        <v>12600000</v>
      </c>
      <c r="L1058" s="2" t="str">
        <f t="shared" si="84"/>
        <v>Popular</v>
      </c>
    </row>
    <row r="1059" spans="1:12" x14ac:dyDescent="0.3">
      <c r="A1059" t="s">
        <v>1796</v>
      </c>
      <c r="B1059" t="s">
        <v>1855</v>
      </c>
      <c r="C1059" s="3">
        <v>3.7</v>
      </c>
      <c r="D1059" s="3">
        <v>207</v>
      </c>
      <c r="E1059" t="s">
        <v>1856</v>
      </c>
      <c r="F1059" s="3">
        <v>19.052711299999999</v>
      </c>
      <c r="G1059">
        <v>72.910345499999906</v>
      </c>
      <c r="H1059">
        <f t="shared" si="80"/>
        <v>765.90000000000009</v>
      </c>
      <c r="I1059" s="3">
        <f t="shared" si="81"/>
        <v>5175</v>
      </c>
      <c r="J1059" s="1">
        <f t="shared" si="82"/>
        <v>350</v>
      </c>
      <c r="K1059" s="1">
        <f t="shared" si="83"/>
        <v>1811250</v>
      </c>
      <c r="L1059" s="2" t="str">
        <f t="shared" si="84"/>
        <v>Average</v>
      </c>
    </row>
    <row r="1060" spans="1:12" x14ac:dyDescent="0.3">
      <c r="A1060" t="s">
        <v>1796</v>
      </c>
      <c r="B1060" t="s">
        <v>1857</v>
      </c>
      <c r="C1060" s="3">
        <v>4.5999999999999996</v>
      </c>
      <c r="D1060" s="3">
        <v>20</v>
      </c>
      <c r="E1060" t="s">
        <v>1858</v>
      </c>
      <c r="F1060" s="3">
        <v>19.052257900000001</v>
      </c>
      <c r="G1060">
        <v>72.890100199999907</v>
      </c>
      <c r="H1060">
        <f t="shared" si="80"/>
        <v>92</v>
      </c>
      <c r="I1060" s="3">
        <f t="shared" si="81"/>
        <v>500</v>
      </c>
      <c r="J1060" s="1">
        <f t="shared" si="82"/>
        <v>450</v>
      </c>
      <c r="K1060" s="1">
        <f t="shared" si="83"/>
        <v>225000</v>
      </c>
      <c r="L1060" s="2" t="str">
        <f t="shared" si="84"/>
        <v>Premium</v>
      </c>
    </row>
    <row r="1061" spans="1:12" x14ac:dyDescent="0.3">
      <c r="A1061" t="s">
        <v>1796</v>
      </c>
      <c r="B1061" t="s">
        <v>1859</v>
      </c>
      <c r="C1061" s="3">
        <v>4.3</v>
      </c>
      <c r="D1061" s="3">
        <v>2578</v>
      </c>
      <c r="E1061" t="s">
        <v>1860</v>
      </c>
      <c r="F1061" s="3">
        <v>19.0610617</v>
      </c>
      <c r="G1061">
        <v>72.899697099999997</v>
      </c>
      <c r="H1061">
        <f t="shared" si="80"/>
        <v>11085.4</v>
      </c>
      <c r="I1061" s="3">
        <f t="shared" si="81"/>
        <v>64450</v>
      </c>
      <c r="J1061" s="1">
        <f t="shared" si="82"/>
        <v>350</v>
      </c>
      <c r="K1061" s="1">
        <f t="shared" si="83"/>
        <v>22557500</v>
      </c>
      <c r="L1061" s="2" t="str">
        <f t="shared" si="84"/>
        <v>Popular</v>
      </c>
    </row>
    <row r="1062" spans="1:12" x14ac:dyDescent="0.3">
      <c r="A1062" t="s">
        <v>1796</v>
      </c>
      <c r="B1062" t="s">
        <v>1861</v>
      </c>
      <c r="C1062" s="3">
        <v>4.5999999999999996</v>
      </c>
      <c r="D1062" s="3">
        <v>19</v>
      </c>
      <c r="E1062" t="s">
        <v>1862</v>
      </c>
      <c r="F1062" s="3">
        <v>19.070277399999998</v>
      </c>
      <c r="G1062">
        <v>72.901405099999906</v>
      </c>
      <c r="H1062">
        <f t="shared" si="80"/>
        <v>87.399999999999991</v>
      </c>
      <c r="I1062" s="3">
        <f t="shared" si="81"/>
        <v>475</v>
      </c>
      <c r="J1062" s="1">
        <f t="shared" si="82"/>
        <v>450</v>
      </c>
      <c r="K1062" s="1">
        <f t="shared" si="83"/>
        <v>213750</v>
      </c>
      <c r="L1062" s="2" t="str">
        <f t="shared" si="84"/>
        <v>Premium</v>
      </c>
    </row>
    <row r="1063" spans="1:12" x14ac:dyDescent="0.3">
      <c r="A1063" t="s">
        <v>1796</v>
      </c>
      <c r="B1063" t="s">
        <v>251</v>
      </c>
      <c r="C1063" s="3">
        <v>4.0999999999999996</v>
      </c>
      <c r="D1063" s="3">
        <v>299</v>
      </c>
      <c r="E1063" t="s">
        <v>1863</v>
      </c>
      <c r="F1063" s="3">
        <v>19.0530027</v>
      </c>
      <c r="G1063">
        <v>72.890419399999999</v>
      </c>
      <c r="H1063">
        <f t="shared" si="80"/>
        <v>1225.8999999999999</v>
      </c>
      <c r="I1063" s="3">
        <f t="shared" si="81"/>
        <v>7475</v>
      </c>
      <c r="J1063" s="1">
        <f t="shared" si="82"/>
        <v>350</v>
      </c>
      <c r="K1063" s="1">
        <f t="shared" si="83"/>
        <v>2616250</v>
      </c>
      <c r="L1063" s="2" t="str">
        <f t="shared" si="84"/>
        <v>Popular</v>
      </c>
    </row>
    <row r="1064" spans="1:12" x14ac:dyDescent="0.3">
      <c r="A1064" t="s">
        <v>1796</v>
      </c>
      <c r="B1064" t="s">
        <v>1864</v>
      </c>
      <c r="C1064" s="3">
        <v>4.2</v>
      </c>
      <c r="D1064" s="3">
        <v>1788</v>
      </c>
      <c r="E1064" t="s">
        <v>1865</v>
      </c>
      <c r="F1064" s="3">
        <v>19.060827199999999</v>
      </c>
      <c r="G1064">
        <v>72.916293999999994</v>
      </c>
      <c r="H1064">
        <f t="shared" si="80"/>
        <v>7509.6</v>
      </c>
      <c r="I1064" s="3">
        <f t="shared" si="81"/>
        <v>44700</v>
      </c>
      <c r="J1064" s="1">
        <f t="shared" si="82"/>
        <v>350</v>
      </c>
      <c r="K1064" s="1">
        <f t="shared" si="83"/>
        <v>15645000</v>
      </c>
      <c r="L1064" s="2" t="str">
        <f t="shared" si="84"/>
        <v>Popular</v>
      </c>
    </row>
    <row r="1065" spans="1:12" x14ac:dyDescent="0.3">
      <c r="A1065" t="s">
        <v>1796</v>
      </c>
      <c r="B1065" t="s">
        <v>1866</v>
      </c>
      <c r="C1065" s="3">
        <v>4.5999999999999996</v>
      </c>
      <c r="D1065" s="3">
        <v>22</v>
      </c>
      <c r="E1065" t="s">
        <v>1867</v>
      </c>
      <c r="F1065" s="3">
        <v>19.045271100000001</v>
      </c>
      <c r="G1065">
        <v>72.8970463</v>
      </c>
      <c r="H1065">
        <f t="shared" si="80"/>
        <v>101.19999999999999</v>
      </c>
      <c r="I1065" s="3">
        <f t="shared" si="81"/>
        <v>550</v>
      </c>
      <c r="J1065" s="1">
        <f t="shared" si="82"/>
        <v>450</v>
      </c>
      <c r="K1065" s="1">
        <f t="shared" si="83"/>
        <v>247500</v>
      </c>
      <c r="L1065" s="2" t="str">
        <f t="shared" si="84"/>
        <v>Premium</v>
      </c>
    </row>
    <row r="1066" spans="1:12" x14ac:dyDescent="0.3">
      <c r="A1066" t="s">
        <v>1796</v>
      </c>
      <c r="B1066" t="s">
        <v>1868</v>
      </c>
      <c r="C1066" s="3">
        <v>4</v>
      </c>
      <c r="D1066" s="3">
        <v>2062</v>
      </c>
      <c r="E1066" t="s">
        <v>1869</v>
      </c>
      <c r="F1066" s="3">
        <v>19.061550700000002</v>
      </c>
      <c r="G1066">
        <v>72.900831499999995</v>
      </c>
      <c r="H1066">
        <f t="shared" si="80"/>
        <v>8248</v>
      </c>
      <c r="I1066" s="3">
        <f t="shared" si="81"/>
        <v>51550</v>
      </c>
      <c r="J1066" s="1">
        <f t="shared" si="82"/>
        <v>350</v>
      </c>
      <c r="K1066" s="1">
        <f t="shared" si="83"/>
        <v>18042500</v>
      </c>
      <c r="L1066" s="2" t="str">
        <f t="shared" si="84"/>
        <v>Popular</v>
      </c>
    </row>
    <row r="1067" spans="1:12" x14ac:dyDescent="0.3">
      <c r="A1067" t="s">
        <v>1796</v>
      </c>
      <c r="B1067" t="s">
        <v>1671</v>
      </c>
      <c r="C1067" s="3">
        <v>3.5</v>
      </c>
      <c r="D1067" s="3">
        <v>293</v>
      </c>
      <c r="E1067" t="s">
        <v>1870</v>
      </c>
      <c r="F1067" s="3">
        <v>19.031685</v>
      </c>
      <c r="G1067">
        <v>72.897010899999998</v>
      </c>
      <c r="H1067">
        <f t="shared" si="80"/>
        <v>1025.5</v>
      </c>
      <c r="I1067" s="3">
        <f t="shared" si="81"/>
        <v>7325</v>
      </c>
      <c r="J1067" s="1">
        <f t="shared" si="82"/>
        <v>350</v>
      </c>
      <c r="K1067" s="1">
        <f t="shared" si="83"/>
        <v>2563750</v>
      </c>
      <c r="L1067" s="2" t="str">
        <f t="shared" si="84"/>
        <v>Average</v>
      </c>
    </row>
    <row r="1068" spans="1:12" x14ac:dyDescent="0.3">
      <c r="A1068" t="s">
        <v>1796</v>
      </c>
      <c r="B1068" t="s">
        <v>971</v>
      </c>
      <c r="C1068" s="3">
        <v>4.0999999999999996</v>
      </c>
      <c r="D1068" s="3">
        <v>2538</v>
      </c>
      <c r="E1068" t="s">
        <v>972</v>
      </c>
      <c r="F1068" s="3">
        <v>19.0783825</v>
      </c>
      <c r="G1068">
        <v>72.903865400000001</v>
      </c>
      <c r="H1068">
        <f t="shared" si="80"/>
        <v>10405.799999999999</v>
      </c>
      <c r="I1068" s="3">
        <f t="shared" si="81"/>
        <v>63450</v>
      </c>
      <c r="J1068" s="1">
        <f t="shared" si="82"/>
        <v>350</v>
      </c>
      <c r="K1068" s="1">
        <f t="shared" si="83"/>
        <v>22207500</v>
      </c>
      <c r="L1068" s="2" t="str">
        <f t="shared" si="84"/>
        <v>Popular</v>
      </c>
    </row>
    <row r="1069" spans="1:12" x14ac:dyDescent="0.3">
      <c r="A1069" t="s">
        <v>1796</v>
      </c>
      <c r="B1069" t="s">
        <v>1871</v>
      </c>
      <c r="C1069" s="3">
        <v>4.5</v>
      </c>
      <c r="D1069" s="3">
        <v>63</v>
      </c>
      <c r="E1069" t="s">
        <v>1872</v>
      </c>
      <c r="F1069" s="3">
        <v>19.067507200000001</v>
      </c>
      <c r="G1069">
        <v>72.910164299999906</v>
      </c>
      <c r="H1069">
        <f t="shared" si="80"/>
        <v>283.5</v>
      </c>
      <c r="I1069" s="3">
        <f t="shared" si="81"/>
        <v>1575</v>
      </c>
      <c r="J1069" s="1">
        <f t="shared" si="82"/>
        <v>450</v>
      </c>
      <c r="K1069" s="1">
        <f t="shared" si="83"/>
        <v>708750</v>
      </c>
      <c r="L1069" s="2" t="str">
        <f t="shared" si="84"/>
        <v>Premium</v>
      </c>
    </row>
    <row r="1070" spans="1:12" x14ac:dyDescent="0.3">
      <c r="A1070" t="s">
        <v>1796</v>
      </c>
      <c r="B1070" t="s">
        <v>1873</v>
      </c>
      <c r="C1070" s="3">
        <v>4.7</v>
      </c>
      <c r="D1070" s="3">
        <v>75</v>
      </c>
      <c r="E1070" t="s">
        <v>1874</v>
      </c>
      <c r="F1070" s="3">
        <v>19.069506400000002</v>
      </c>
      <c r="G1070">
        <v>72.896918399999905</v>
      </c>
      <c r="H1070">
        <f t="shared" si="80"/>
        <v>352.5</v>
      </c>
      <c r="I1070" s="3">
        <f t="shared" si="81"/>
        <v>1875</v>
      </c>
      <c r="J1070" s="1">
        <f t="shared" si="82"/>
        <v>550</v>
      </c>
      <c r="K1070" s="1">
        <f t="shared" si="83"/>
        <v>1031250</v>
      </c>
      <c r="L1070" s="2" t="str">
        <f t="shared" si="84"/>
        <v>Premium</v>
      </c>
    </row>
    <row r="1071" spans="1:12" x14ac:dyDescent="0.3">
      <c r="A1071" t="s">
        <v>1796</v>
      </c>
      <c r="B1071" t="s">
        <v>1875</v>
      </c>
      <c r="C1071" s="3">
        <v>4.8</v>
      </c>
      <c r="D1071" s="3">
        <v>38</v>
      </c>
      <c r="E1071" t="s">
        <v>1876</v>
      </c>
      <c r="F1071" s="3">
        <v>19.0703526</v>
      </c>
      <c r="G1071">
        <v>72.901348999999996</v>
      </c>
      <c r="H1071">
        <f t="shared" si="80"/>
        <v>182.4</v>
      </c>
      <c r="I1071" s="3">
        <f t="shared" si="81"/>
        <v>950</v>
      </c>
      <c r="J1071" s="1">
        <f t="shared" si="82"/>
        <v>550</v>
      </c>
      <c r="K1071" s="1">
        <f t="shared" si="83"/>
        <v>522500</v>
      </c>
      <c r="L1071" s="2" t="str">
        <f t="shared" si="84"/>
        <v>Premium</v>
      </c>
    </row>
    <row r="1072" spans="1:12" x14ac:dyDescent="0.3">
      <c r="A1072" t="s">
        <v>1796</v>
      </c>
      <c r="B1072" t="s">
        <v>53</v>
      </c>
      <c r="C1072" s="3">
        <v>4.9000000000000004</v>
      </c>
      <c r="D1072" s="3">
        <v>420</v>
      </c>
      <c r="E1072" t="s">
        <v>855</v>
      </c>
      <c r="F1072" s="3">
        <v>19.0718611</v>
      </c>
      <c r="G1072">
        <v>72.876555600000003</v>
      </c>
      <c r="H1072">
        <f t="shared" si="80"/>
        <v>2058</v>
      </c>
      <c r="I1072" s="3">
        <f t="shared" si="81"/>
        <v>10500</v>
      </c>
      <c r="J1072" s="1">
        <f t="shared" si="82"/>
        <v>550</v>
      </c>
      <c r="K1072" s="1">
        <f t="shared" si="83"/>
        <v>5775000</v>
      </c>
      <c r="L1072" s="2" t="str">
        <f t="shared" si="84"/>
        <v>Premium</v>
      </c>
    </row>
    <row r="1073" spans="1:12" x14ac:dyDescent="0.3">
      <c r="A1073" t="s">
        <v>1796</v>
      </c>
      <c r="B1073" t="s">
        <v>1877</v>
      </c>
      <c r="C1073" s="3">
        <v>4.2</v>
      </c>
      <c r="D1073" s="3">
        <v>1133</v>
      </c>
      <c r="E1073" t="s">
        <v>1878</v>
      </c>
      <c r="F1073" s="3">
        <v>19.0613323</v>
      </c>
      <c r="G1073">
        <v>72.900725800000004</v>
      </c>
      <c r="H1073">
        <f t="shared" si="80"/>
        <v>4758.6000000000004</v>
      </c>
      <c r="I1073" s="3">
        <f t="shared" si="81"/>
        <v>28325</v>
      </c>
      <c r="J1073" s="1">
        <f t="shared" si="82"/>
        <v>350</v>
      </c>
      <c r="K1073" s="1">
        <f t="shared" si="83"/>
        <v>9913750</v>
      </c>
      <c r="L1073" s="2" t="str">
        <f t="shared" si="84"/>
        <v>Popular</v>
      </c>
    </row>
    <row r="1074" spans="1:12" x14ac:dyDescent="0.3">
      <c r="A1074" t="s">
        <v>1796</v>
      </c>
      <c r="B1074" t="s">
        <v>1879</v>
      </c>
      <c r="C1074" s="3">
        <v>5</v>
      </c>
      <c r="D1074" s="3">
        <v>369</v>
      </c>
      <c r="E1074" t="s">
        <v>1880</v>
      </c>
      <c r="F1074" s="3">
        <v>19.051908300000001</v>
      </c>
      <c r="G1074">
        <v>72.889997600000001</v>
      </c>
      <c r="H1074">
        <f t="shared" si="80"/>
        <v>1845</v>
      </c>
      <c r="I1074" s="3">
        <f t="shared" si="81"/>
        <v>9225</v>
      </c>
      <c r="J1074" s="1">
        <f t="shared" si="82"/>
        <v>550</v>
      </c>
      <c r="K1074" s="1">
        <f t="shared" si="83"/>
        <v>5073750</v>
      </c>
      <c r="L1074" s="2" t="str">
        <f t="shared" si="84"/>
        <v>Premium</v>
      </c>
    </row>
    <row r="1075" spans="1:12" x14ac:dyDescent="0.3">
      <c r="A1075" t="s">
        <v>1796</v>
      </c>
      <c r="B1075" t="s">
        <v>1881</v>
      </c>
      <c r="C1075" s="3">
        <v>4.0999999999999996</v>
      </c>
      <c r="D1075" s="3">
        <v>1590</v>
      </c>
      <c r="E1075" t="s">
        <v>1882</v>
      </c>
      <c r="F1075" s="3">
        <v>19.059586199999998</v>
      </c>
      <c r="G1075">
        <v>72.9234115</v>
      </c>
      <c r="H1075">
        <f t="shared" si="80"/>
        <v>6518.9999999999991</v>
      </c>
      <c r="I1075" s="3">
        <f t="shared" si="81"/>
        <v>39750</v>
      </c>
      <c r="J1075" s="1">
        <f t="shared" si="82"/>
        <v>350</v>
      </c>
      <c r="K1075" s="1">
        <f t="shared" si="83"/>
        <v>13912500</v>
      </c>
      <c r="L1075" s="2" t="str">
        <f t="shared" si="84"/>
        <v>Popular</v>
      </c>
    </row>
    <row r="1076" spans="1:12" x14ac:dyDescent="0.3">
      <c r="A1076" t="s">
        <v>1796</v>
      </c>
      <c r="B1076" t="s">
        <v>1883</v>
      </c>
      <c r="C1076" s="3">
        <v>5</v>
      </c>
      <c r="D1076" s="3">
        <v>16</v>
      </c>
      <c r="E1076" t="s">
        <v>1884</v>
      </c>
      <c r="F1076" s="3">
        <v>19.046165599999998</v>
      </c>
      <c r="G1076">
        <v>72.908248799999996</v>
      </c>
      <c r="H1076">
        <f t="shared" si="80"/>
        <v>80</v>
      </c>
      <c r="I1076" s="3">
        <f t="shared" si="81"/>
        <v>400</v>
      </c>
      <c r="J1076" s="1">
        <f t="shared" si="82"/>
        <v>550</v>
      </c>
      <c r="K1076" s="1">
        <f t="shared" si="83"/>
        <v>220000</v>
      </c>
      <c r="L1076" s="2" t="str">
        <f t="shared" si="84"/>
        <v>Premium</v>
      </c>
    </row>
    <row r="1077" spans="1:12" x14ac:dyDescent="0.3">
      <c r="A1077" t="s">
        <v>1796</v>
      </c>
      <c r="B1077" t="s">
        <v>1885</v>
      </c>
      <c r="C1077" s="3">
        <v>5</v>
      </c>
      <c r="D1077" s="3">
        <v>4</v>
      </c>
      <c r="E1077" t="s">
        <v>1886</v>
      </c>
      <c r="F1077" s="3">
        <v>19.0451762</v>
      </c>
      <c r="G1077">
        <v>72.894623600000003</v>
      </c>
      <c r="H1077">
        <f t="shared" si="80"/>
        <v>20</v>
      </c>
      <c r="I1077" s="3">
        <f t="shared" si="81"/>
        <v>100</v>
      </c>
      <c r="J1077" s="1">
        <f t="shared" si="82"/>
        <v>550</v>
      </c>
      <c r="K1077" s="1">
        <f t="shared" si="83"/>
        <v>55000</v>
      </c>
      <c r="L1077" s="2" t="str">
        <f t="shared" si="84"/>
        <v>Premium</v>
      </c>
    </row>
    <row r="1078" spans="1:12" x14ac:dyDescent="0.3">
      <c r="A1078" t="s">
        <v>1796</v>
      </c>
      <c r="B1078" t="s">
        <v>1887</v>
      </c>
      <c r="C1078" s="3">
        <v>4.0999999999999996</v>
      </c>
      <c r="D1078" s="3">
        <v>16</v>
      </c>
      <c r="E1078" t="s">
        <v>1888</v>
      </c>
      <c r="F1078" s="3">
        <v>19.0484507</v>
      </c>
      <c r="G1078">
        <v>72.887706100000003</v>
      </c>
      <c r="H1078">
        <f t="shared" si="80"/>
        <v>65.599999999999994</v>
      </c>
      <c r="I1078" s="3">
        <f t="shared" si="81"/>
        <v>400</v>
      </c>
      <c r="J1078" s="1">
        <f t="shared" si="82"/>
        <v>350</v>
      </c>
      <c r="K1078" s="1">
        <f t="shared" si="83"/>
        <v>140000</v>
      </c>
      <c r="L1078" s="2" t="str">
        <f t="shared" si="84"/>
        <v>Popular</v>
      </c>
    </row>
    <row r="1079" spans="1:12" x14ac:dyDescent="0.3">
      <c r="A1079" t="s">
        <v>1796</v>
      </c>
      <c r="B1079" t="s">
        <v>1889</v>
      </c>
      <c r="C1079" s="3">
        <v>5</v>
      </c>
      <c r="D1079" s="3">
        <v>2</v>
      </c>
      <c r="E1079" t="s">
        <v>1890</v>
      </c>
      <c r="F1079" s="3">
        <v>19.046037599999998</v>
      </c>
      <c r="G1079">
        <v>72.9081513</v>
      </c>
      <c r="H1079">
        <f t="shared" si="80"/>
        <v>10</v>
      </c>
      <c r="I1079" s="3">
        <f t="shared" si="81"/>
        <v>50</v>
      </c>
      <c r="J1079" s="1">
        <f t="shared" si="82"/>
        <v>550</v>
      </c>
      <c r="K1079" s="1">
        <f t="shared" si="83"/>
        <v>27500</v>
      </c>
      <c r="L1079" s="2" t="str">
        <f t="shared" si="84"/>
        <v>Premium</v>
      </c>
    </row>
    <row r="1080" spans="1:12" x14ac:dyDescent="0.3">
      <c r="A1080" t="s">
        <v>1796</v>
      </c>
      <c r="B1080" t="s">
        <v>981</v>
      </c>
      <c r="C1080" s="3">
        <v>4.4000000000000004</v>
      </c>
      <c r="D1080" s="3">
        <v>101</v>
      </c>
      <c r="E1080" t="s">
        <v>982</v>
      </c>
      <c r="F1080" s="3">
        <v>19.077449099999999</v>
      </c>
      <c r="G1080">
        <v>72.898932500000001</v>
      </c>
      <c r="H1080">
        <f t="shared" si="80"/>
        <v>444.40000000000003</v>
      </c>
      <c r="I1080" s="3">
        <f t="shared" si="81"/>
        <v>2525</v>
      </c>
      <c r="J1080" s="1">
        <f t="shared" si="82"/>
        <v>450</v>
      </c>
      <c r="K1080" s="1">
        <f t="shared" si="83"/>
        <v>1136250</v>
      </c>
      <c r="L1080" s="2" t="str">
        <f t="shared" si="84"/>
        <v>Popular</v>
      </c>
    </row>
    <row r="1081" spans="1:12" x14ac:dyDescent="0.3">
      <c r="A1081" t="s">
        <v>1796</v>
      </c>
      <c r="B1081" t="s">
        <v>1891</v>
      </c>
      <c r="C1081" s="3">
        <v>4.9000000000000004</v>
      </c>
      <c r="D1081" s="3">
        <v>9</v>
      </c>
      <c r="E1081" t="s">
        <v>1892</v>
      </c>
      <c r="F1081" s="3">
        <v>19.0539019</v>
      </c>
      <c r="G1081">
        <v>72.896321499999999</v>
      </c>
      <c r="H1081">
        <f t="shared" si="80"/>
        <v>44.1</v>
      </c>
      <c r="I1081" s="3">
        <f t="shared" si="81"/>
        <v>225</v>
      </c>
      <c r="J1081" s="1">
        <f t="shared" si="82"/>
        <v>550</v>
      </c>
      <c r="K1081" s="1">
        <f t="shared" si="83"/>
        <v>123750</v>
      </c>
      <c r="L1081" s="2" t="str">
        <f t="shared" si="84"/>
        <v>Premium</v>
      </c>
    </row>
    <row r="1082" spans="1:12" x14ac:dyDescent="0.3">
      <c r="A1082" t="s">
        <v>1893</v>
      </c>
      <c r="B1082" t="s">
        <v>1613</v>
      </c>
      <c r="C1082" s="3">
        <v>4.4000000000000004</v>
      </c>
      <c r="D1082" s="3">
        <v>3106</v>
      </c>
      <c r="E1082" t="s">
        <v>1614</v>
      </c>
      <c r="F1082" s="3">
        <v>19.041910000000001</v>
      </c>
      <c r="G1082">
        <v>72.861122799999904</v>
      </c>
      <c r="H1082">
        <f t="shared" si="80"/>
        <v>13666.400000000001</v>
      </c>
      <c r="I1082" s="3">
        <f t="shared" si="81"/>
        <v>77650</v>
      </c>
      <c r="J1082" s="1">
        <f t="shared" si="82"/>
        <v>450</v>
      </c>
      <c r="K1082" s="1">
        <f t="shared" si="83"/>
        <v>34942500</v>
      </c>
      <c r="L1082" s="2" t="str">
        <f t="shared" si="84"/>
        <v>Popular</v>
      </c>
    </row>
    <row r="1083" spans="1:12" x14ac:dyDescent="0.3">
      <c r="A1083" t="s">
        <v>1893</v>
      </c>
      <c r="B1083" t="s">
        <v>1894</v>
      </c>
      <c r="C1083" s="3">
        <v>4.8</v>
      </c>
      <c r="D1083" s="3">
        <v>52</v>
      </c>
      <c r="E1083" t="s">
        <v>1895</v>
      </c>
      <c r="F1083" s="3">
        <v>19.0407774</v>
      </c>
      <c r="G1083">
        <v>72.860838599999994</v>
      </c>
      <c r="H1083">
        <f t="shared" si="80"/>
        <v>249.6</v>
      </c>
      <c r="I1083" s="3">
        <f t="shared" si="81"/>
        <v>1300</v>
      </c>
      <c r="J1083" s="1">
        <f t="shared" si="82"/>
        <v>550</v>
      </c>
      <c r="K1083" s="1">
        <f t="shared" si="83"/>
        <v>715000</v>
      </c>
      <c r="L1083" s="2" t="str">
        <f t="shared" si="84"/>
        <v>Premium</v>
      </c>
    </row>
    <row r="1084" spans="1:12" x14ac:dyDescent="0.3">
      <c r="A1084" t="s">
        <v>1893</v>
      </c>
      <c r="B1084" t="s">
        <v>1681</v>
      </c>
      <c r="C1084" s="3">
        <v>4.3</v>
      </c>
      <c r="D1084" s="3">
        <v>35428</v>
      </c>
      <c r="E1084" t="s">
        <v>1682</v>
      </c>
      <c r="F1084" s="3">
        <v>19.0429043</v>
      </c>
      <c r="G1084">
        <v>72.861876499999994</v>
      </c>
      <c r="H1084">
        <f t="shared" si="80"/>
        <v>152340.4</v>
      </c>
      <c r="I1084" s="3">
        <f t="shared" si="81"/>
        <v>885700</v>
      </c>
      <c r="J1084" s="1">
        <f t="shared" si="82"/>
        <v>350</v>
      </c>
      <c r="K1084" s="1">
        <f t="shared" si="83"/>
        <v>309995000</v>
      </c>
      <c r="L1084" s="2" t="str">
        <f t="shared" si="84"/>
        <v>Popular</v>
      </c>
    </row>
    <row r="1085" spans="1:12" x14ac:dyDescent="0.3">
      <c r="A1085" t="s">
        <v>1893</v>
      </c>
      <c r="B1085" t="s">
        <v>1896</v>
      </c>
      <c r="C1085" s="3">
        <v>4.3</v>
      </c>
      <c r="D1085" s="3">
        <v>1093</v>
      </c>
      <c r="E1085" t="s">
        <v>1897</v>
      </c>
      <c r="F1085" s="3">
        <v>19.040451900000001</v>
      </c>
      <c r="G1085">
        <v>72.865048000000002</v>
      </c>
      <c r="H1085">
        <f t="shared" si="80"/>
        <v>4699.8999999999996</v>
      </c>
      <c r="I1085" s="3">
        <f t="shared" si="81"/>
        <v>27325</v>
      </c>
      <c r="J1085" s="1">
        <f t="shared" si="82"/>
        <v>350</v>
      </c>
      <c r="K1085" s="1">
        <f t="shared" si="83"/>
        <v>9563750</v>
      </c>
      <c r="L1085" s="2" t="str">
        <f t="shared" si="84"/>
        <v>Popular</v>
      </c>
    </row>
    <row r="1086" spans="1:12" x14ac:dyDescent="0.3">
      <c r="A1086" t="s">
        <v>1893</v>
      </c>
      <c r="B1086" t="s">
        <v>243</v>
      </c>
      <c r="C1086" s="3">
        <v>4.4000000000000004</v>
      </c>
      <c r="D1086" s="3">
        <v>24600</v>
      </c>
      <c r="E1086" t="s">
        <v>244</v>
      </c>
      <c r="F1086" s="3">
        <v>19.027620299999999</v>
      </c>
      <c r="G1086">
        <v>72.855041499999999</v>
      </c>
      <c r="H1086">
        <f t="shared" si="80"/>
        <v>108240.00000000001</v>
      </c>
      <c r="I1086" s="3">
        <f t="shared" si="81"/>
        <v>615000</v>
      </c>
      <c r="J1086" s="1">
        <f t="shared" si="82"/>
        <v>450</v>
      </c>
      <c r="K1086" s="1">
        <f t="shared" si="83"/>
        <v>276750000</v>
      </c>
      <c r="L1086" s="2" t="str">
        <f t="shared" si="84"/>
        <v>Popular</v>
      </c>
    </row>
    <row r="1087" spans="1:12" x14ac:dyDescent="0.3">
      <c r="A1087" t="s">
        <v>1893</v>
      </c>
      <c r="B1087" t="s">
        <v>1898</v>
      </c>
      <c r="C1087" s="3">
        <v>4.2</v>
      </c>
      <c r="D1087" s="3">
        <v>5746</v>
      </c>
      <c r="E1087" t="s">
        <v>1899</v>
      </c>
      <c r="F1087" s="3">
        <v>19.034059299999999</v>
      </c>
      <c r="G1087">
        <v>72.863132499999907</v>
      </c>
      <c r="H1087">
        <f t="shared" si="80"/>
        <v>24133.200000000001</v>
      </c>
      <c r="I1087" s="3">
        <f t="shared" si="81"/>
        <v>143650</v>
      </c>
      <c r="J1087" s="1">
        <f t="shared" si="82"/>
        <v>350</v>
      </c>
      <c r="K1087" s="1">
        <f t="shared" si="83"/>
        <v>50277500</v>
      </c>
      <c r="L1087" s="2" t="str">
        <f t="shared" si="84"/>
        <v>Popular</v>
      </c>
    </row>
    <row r="1088" spans="1:12" x14ac:dyDescent="0.3">
      <c r="A1088" t="s">
        <v>1893</v>
      </c>
      <c r="B1088" t="s">
        <v>1900</v>
      </c>
      <c r="C1088" s="3">
        <v>4</v>
      </c>
      <c r="D1088" s="3">
        <v>508</v>
      </c>
      <c r="E1088" t="s">
        <v>1901</v>
      </c>
      <c r="F1088" s="3">
        <v>19.0455495</v>
      </c>
      <c r="G1088">
        <v>72.864501599999997</v>
      </c>
      <c r="H1088">
        <f t="shared" si="80"/>
        <v>2032</v>
      </c>
      <c r="I1088" s="3">
        <f t="shared" si="81"/>
        <v>12700</v>
      </c>
      <c r="J1088" s="1">
        <f t="shared" si="82"/>
        <v>350</v>
      </c>
      <c r="K1088" s="1">
        <f t="shared" si="83"/>
        <v>4445000</v>
      </c>
      <c r="L1088" s="2" t="str">
        <f t="shared" si="84"/>
        <v>Popular</v>
      </c>
    </row>
    <row r="1089" spans="1:12" x14ac:dyDescent="0.3">
      <c r="A1089" t="s">
        <v>1893</v>
      </c>
      <c r="B1089" t="s">
        <v>1902</v>
      </c>
      <c r="C1089" s="3">
        <v>4.0999999999999996</v>
      </c>
      <c r="D1089" s="3">
        <v>5013</v>
      </c>
      <c r="E1089" t="s">
        <v>1903</v>
      </c>
      <c r="F1089" s="3">
        <v>19.0452957</v>
      </c>
      <c r="G1089">
        <v>72.864223299999907</v>
      </c>
      <c r="H1089">
        <f t="shared" si="80"/>
        <v>20553.3</v>
      </c>
      <c r="I1089" s="3">
        <f t="shared" si="81"/>
        <v>125325</v>
      </c>
      <c r="J1089" s="1">
        <f t="shared" si="82"/>
        <v>350</v>
      </c>
      <c r="K1089" s="1">
        <f t="shared" si="83"/>
        <v>43863750</v>
      </c>
      <c r="L1089" s="2" t="str">
        <f t="shared" si="84"/>
        <v>Popular</v>
      </c>
    </row>
    <row r="1090" spans="1:12" x14ac:dyDescent="0.3">
      <c r="A1090" t="s">
        <v>1893</v>
      </c>
      <c r="B1090" t="s">
        <v>1904</v>
      </c>
      <c r="C1090" s="3">
        <v>4.0999999999999996</v>
      </c>
      <c r="D1090" s="3">
        <v>228</v>
      </c>
      <c r="E1090" t="s">
        <v>1905</v>
      </c>
      <c r="F1090" s="3">
        <v>19.045309199999998</v>
      </c>
      <c r="G1090">
        <v>72.863601599999996</v>
      </c>
      <c r="H1090">
        <f t="shared" ref="H1090:H1153" si="85">C1090*D1090</f>
        <v>934.8</v>
      </c>
      <c r="I1090" s="3">
        <f t="shared" ref="I1090:I1153" si="86">D1090*25</f>
        <v>5700</v>
      </c>
      <c r="J1090" s="1">
        <f t="shared" ref="J1090:J1153" si="87">IF(C1090&gt;=4.7,550,IF(C1090&gt;=4.4,450,IF(C1090&gt;=O1092,350,250)))</f>
        <v>350</v>
      </c>
      <c r="K1090" s="1">
        <f t="shared" ref="K1090:K1153" si="88">I1090*J1090</f>
        <v>1995000</v>
      </c>
      <c r="L1090" s="2" t="str">
        <f t="shared" ref="L1090:L1153" si="89">IF(C1090&gt;=4.5,"Premium",IF(C1090&gt;=4,"Popular","Average"))</f>
        <v>Popular</v>
      </c>
    </row>
    <row r="1091" spans="1:12" x14ac:dyDescent="0.3">
      <c r="A1091" t="s">
        <v>1893</v>
      </c>
      <c r="B1091" t="s">
        <v>318</v>
      </c>
      <c r="C1091" s="3">
        <v>4.2</v>
      </c>
      <c r="D1091" s="3">
        <v>5086</v>
      </c>
      <c r="E1091" t="s">
        <v>319</v>
      </c>
      <c r="F1091" s="3">
        <v>19.0276064</v>
      </c>
      <c r="G1091">
        <v>72.855504400000001</v>
      </c>
      <c r="H1091">
        <f t="shared" si="85"/>
        <v>21361.200000000001</v>
      </c>
      <c r="I1091" s="3">
        <f t="shared" si="86"/>
        <v>127150</v>
      </c>
      <c r="J1091" s="1">
        <f t="shared" si="87"/>
        <v>350</v>
      </c>
      <c r="K1091" s="1">
        <f t="shared" si="88"/>
        <v>44502500</v>
      </c>
      <c r="L1091" s="2" t="str">
        <f t="shared" si="89"/>
        <v>Popular</v>
      </c>
    </row>
    <row r="1092" spans="1:12" x14ac:dyDescent="0.3">
      <c r="A1092" t="s">
        <v>1893</v>
      </c>
      <c r="B1092" t="s">
        <v>298</v>
      </c>
      <c r="C1092" s="3">
        <v>4.3</v>
      </c>
      <c r="D1092" s="3">
        <v>1817</v>
      </c>
      <c r="E1092" t="s">
        <v>299</v>
      </c>
      <c r="F1092" s="3">
        <v>19.0272942</v>
      </c>
      <c r="G1092">
        <v>72.854620299999993</v>
      </c>
      <c r="H1092">
        <f t="shared" si="85"/>
        <v>7813.0999999999995</v>
      </c>
      <c r="I1092" s="3">
        <f t="shared" si="86"/>
        <v>45425</v>
      </c>
      <c r="J1092" s="1">
        <f t="shared" si="87"/>
        <v>350</v>
      </c>
      <c r="K1092" s="1">
        <f t="shared" si="88"/>
        <v>15898750</v>
      </c>
      <c r="L1092" s="2" t="str">
        <f t="shared" si="89"/>
        <v>Popular</v>
      </c>
    </row>
    <row r="1093" spans="1:12" x14ac:dyDescent="0.3">
      <c r="A1093" t="s">
        <v>1893</v>
      </c>
      <c r="B1093" t="s">
        <v>1689</v>
      </c>
      <c r="C1093" s="3">
        <v>4.2</v>
      </c>
      <c r="D1093" s="3">
        <v>25</v>
      </c>
      <c r="E1093" t="s">
        <v>1690</v>
      </c>
      <c r="F1093" s="3">
        <v>19.044892300000001</v>
      </c>
      <c r="G1093">
        <v>72.864584699999995</v>
      </c>
      <c r="H1093">
        <f t="shared" si="85"/>
        <v>105</v>
      </c>
      <c r="I1093" s="3">
        <f t="shared" si="86"/>
        <v>625</v>
      </c>
      <c r="J1093" s="1">
        <f t="shared" si="87"/>
        <v>350</v>
      </c>
      <c r="K1093" s="1">
        <f t="shared" si="88"/>
        <v>218750</v>
      </c>
      <c r="L1093" s="2" t="str">
        <f t="shared" si="89"/>
        <v>Popular</v>
      </c>
    </row>
    <row r="1094" spans="1:12" x14ac:dyDescent="0.3">
      <c r="A1094" t="s">
        <v>1893</v>
      </c>
      <c r="B1094" t="s">
        <v>1906</v>
      </c>
      <c r="C1094" s="3">
        <v>4</v>
      </c>
      <c r="D1094" s="3">
        <v>256</v>
      </c>
      <c r="E1094" t="s">
        <v>1907</v>
      </c>
      <c r="F1094" s="3">
        <v>19.042041999999999</v>
      </c>
      <c r="G1094">
        <v>72.870870699999998</v>
      </c>
      <c r="H1094">
        <f t="shared" si="85"/>
        <v>1024</v>
      </c>
      <c r="I1094" s="3">
        <f t="shared" si="86"/>
        <v>6400</v>
      </c>
      <c r="J1094" s="1">
        <f t="shared" si="87"/>
        <v>350</v>
      </c>
      <c r="K1094" s="1">
        <f t="shared" si="88"/>
        <v>2240000</v>
      </c>
      <c r="L1094" s="2" t="str">
        <f t="shared" si="89"/>
        <v>Popular</v>
      </c>
    </row>
    <row r="1095" spans="1:12" x14ac:dyDescent="0.3">
      <c r="A1095" t="s">
        <v>1893</v>
      </c>
      <c r="B1095" t="s">
        <v>53</v>
      </c>
      <c r="C1095" s="3">
        <v>4.7</v>
      </c>
      <c r="D1095" s="3">
        <v>1415</v>
      </c>
      <c r="E1095" t="s">
        <v>248</v>
      </c>
      <c r="F1095" s="3">
        <v>19.0408896</v>
      </c>
      <c r="G1095">
        <v>72.846201800000003</v>
      </c>
      <c r="H1095">
        <f t="shared" si="85"/>
        <v>6650.5</v>
      </c>
      <c r="I1095" s="3">
        <f t="shared" si="86"/>
        <v>35375</v>
      </c>
      <c r="J1095" s="1">
        <f t="shared" si="87"/>
        <v>550</v>
      </c>
      <c r="K1095" s="1">
        <f t="shared" si="88"/>
        <v>19456250</v>
      </c>
      <c r="L1095" s="2" t="str">
        <f t="shared" si="89"/>
        <v>Premium</v>
      </c>
    </row>
    <row r="1096" spans="1:12" x14ac:dyDescent="0.3">
      <c r="A1096" t="s">
        <v>1893</v>
      </c>
      <c r="B1096" t="s">
        <v>402</v>
      </c>
      <c r="C1096" s="3">
        <v>4.2</v>
      </c>
      <c r="D1096" s="3">
        <v>1556</v>
      </c>
      <c r="E1096" t="s">
        <v>858</v>
      </c>
      <c r="F1096" s="3">
        <v>19.0592644</v>
      </c>
      <c r="G1096">
        <v>72.864664199999893</v>
      </c>
      <c r="H1096">
        <f t="shared" si="85"/>
        <v>6535.2000000000007</v>
      </c>
      <c r="I1096" s="3">
        <f t="shared" si="86"/>
        <v>38900</v>
      </c>
      <c r="J1096" s="1">
        <f t="shared" si="87"/>
        <v>350</v>
      </c>
      <c r="K1096" s="1">
        <f t="shared" si="88"/>
        <v>13615000</v>
      </c>
      <c r="L1096" s="2" t="str">
        <f t="shared" si="89"/>
        <v>Popular</v>
      </c>
    </row>
    <row r="1097" spans="1:12" x14ac:dyDescent="0.3">
      <c r="A1097" t="s">
        <v>1893</v>
      </c>
      <c r="B1097" t="s">
        <v>1908</v>
      </c>
      <c r="C1097" s="3">
        <v>4</v>
      </c>
      <c r="D1097" s="3">
        <v>3037</v>
      </c>
      <c r="E1097" t="s">
        <v>1909</v>
      </c>
      <c r="F1097" s="3">
        <v>19.042752199999999</v>
      </c>
      <c r="G1097">
        <v>72.8644642</v>
      </c>
      <c r="H1097">
        <f t="shared" si="85"/>
        <v>12148</v>
      </c>
      <c r="I1097" s="3">
        <f t="shared" si="86"/>
        <v>75925</v>
      </c>
      <c r="J1097" s="1">
        <f t="shared" si="87"/>
        <v>350</v>
      </c>
      <c r="K1097" s="1">
        <f t="shared" si="88"/>
        <v>26573750</v>
      </c>
      <c r="L1097" s="2" t="str">
        <f t="shared" si="89"/>
        <v>Popular</v>
      </c>
    </row>
    <row r="1098" spans="1:12" x14ac:dyDescent="0.3">
      <c r="A1098" t="s">
        <v>1893</v>
      </c>
      <c r="B1098" t="s">
        <v>1910</v>
      </c>
      <c r="C1098" s="3">
        <v>4.2</v>
      </c>
      <c r="D1098" s="3">
        <v>4073</v>
      </c>
      <c r="E1098" t="s">
        <v>1911</v>
      </c>
      <c r="F1098" s="3">
        <v>19.041842599999999</v>
      </c>
      <c r="G1098">
        <v>72.864761700000003</v>
      </c>
      <c r="H1098">
        <f t="shared" si="85"/>
        <v>17106.600000000002</v>
      </c>
      <c r="I1098" s="3">
        <f t="shared" si="86"/>
        <v>101825</v>
      </c>
      <c r="J1098" s="1">
        <f t="shared" si="87"/>
        <v>350</v>
      </c>
      <c r="K1098" s="1">
        <f t="shared" si="88"/>
        <v>35638750</v>
      </c>
      <c r="L1098" s="2" t="str">
        <f t="shared" si="89"/>
        <v>Popular</v>
      </c>
    </row>
    <row r="1099" spans="1:12" x14ac:dyDescent="0.3">
      <c r="A1099" t="s">
        <v>1893</v>
      </c>
      <c r="B1099" t="s">
        <v>1912</v>
      </c>
      <c r="C1099" s="3">
        <v>3.9</v>
      </c>
      <c r="D1099" s="3">
        <v>4236</v>
      </c>
      <c r="E1099" t="s">
        <v>1913</v>
      </c>
      <c r="F1099" s="3">
        <v>19.042007399999999</v>
      </c>
      <c r="G1099">
        <v>72.864156499999893</v>
      </c>
      <c r="H1099">
        <f t="shared" si="85"/>
        <v>16520.399999999998</v>
      </c>
      <c r="I1099" s="3">
        <f t="shared" si="86"/>
        <v>105900</v>
      </c>
      <c r="J1099" s="1">
        <f t="shared" si="87"/>
        <v>350</v>
      </c>
      <c r="K1099" s="1">
        <f t="shared" si="88"/>
        <v>37065000</v>
      </c>
      <c r="L1099" s="2" t="str">
        <f t="shared" si="89"/>
        <v>Average</v>
      </c>
    </row>
    <row r="1100" spans="1:12" x14ac:dyDescent="0.3">
      <c r="A1100" t="s">
        <v>1893</v>
      </c>
      <c r="B1100" t="s">
        <v>1914</v>
      </c>
      <c r="C1100" s="3">
        <v>4.4000000000000004</v>
      </c>
      <c r="D1100" s="3">
        <v>2281</v>
      </c>
      <c r="E1100" t="s">
        <v>1915</v>
      </c>
      <c r="F1100" s="3">
        <v>19.042818199999999</v>
      </c>
      <c r="G1100">
        <v>72.861564299999998</v>
      </c>
      <c r="H1100">
        <f t="shared" si="85"/>
        <v>10036.400000000001</v>
      </c>
      <c r="I1100" s="3">
        <f t="shared" si="86"/>
        <v>57025</v>
      </c>
      <c r="J1100" s="1">
        <f t="shared" si="87"/>
        <v>450</v>
      </c>
      <c r="K1100" s="1">
        <f t="shared" si="88"/>
        <v>25661250</v>
      </c>
      <c r="L1100" s="2" t="str">
        <f t="shared" si="89"/>
        <v>Popular</v>
      </c>
    </row>
    <row r="1101" spans="1:12" x14ac:dyDescent="0.3">
      <c r="A1101" t="s">
        <v>1893</v>
      </c>
      <c r="B1101" t="s">
        <v>1916</v>
      </c>
      <c r="C1101" s="3">
        <v>4.0999999999999996</v>
      </c>
      <c r="D1101" s="3">
        <v>243</v>
      </c>
      <c r="E1101" t="s">
        <v>1917</v>
      </c>
      <c r="F1101" s="3">
        <v>19.0397462</v>
      </c>
      <c r="G1101">
        <v>72.879436599999906</v>
      </c>
      <c r="H1101">
        <f t="shared" si="85"/>
        <v>996.3</v>
      </c>
      <c r="I1101" s="3">
        <f t="shared" si="86"/>
        <v>6075</v>
      </c>
      <c r="J1101" s="1">
        <f t="shared" si="87"/>
        <v>350</v>
      </c>
      <c r="K1101" s="1">
        <f t="shared" si="88"/>
        <v>2126250</v>
      </c>
      <c r="L1101" s="2" t="str">
        <f t="shared" si="89"/>
        <v>Popular</v>
      </c>
    </row>
    <row r="1102" spans="1:12" x14ac:dyDescent="0.3">
      <c r="A1102" t="s">
        <v>1893</v>
      </c>
      <c r="B1102" t="s">
        <v>1918</v>
      </c>
      <c r="C1102" s="3">
        <v>3.9</v>
      </c>
      <c r="D1102" s="3">
        <v>219</v>
      </c>
      <c r="E1102" t="s">
        <v>1919</v>
      </c>
      <c r="F1102" s="3">
        <v>19.0307861</v>
      </c>
      <c r="G1102">
        <v>72.867304000000004</v>
      </c>
      <c r="H1102">
        <f t="shared" si="85"/>
        <v>854.1</v>
      </c>
      <c r="I1102" s="3">
        <f t="shared" si="86"/>
        <v>5475</v>
      </c>
      <c r="J1102" s="1">
        <f t="shared" si="87"/>
        <v>350</v>
      </c>
      <c r="K1102" s="1">
        <f t="shared" si="88"/>
        <v>1916250</v>
      </c>
      <c r="L1102" s="2" t="str">
        <f t="shared" si="89"/>
        <v>Average</v>
      </c>
    </row>
    <row r="1103" spans="1:12" x14ac:dyDescent="0.3">
      <c r="A1103" t="s">
        <v>1893</v>
      </c>
      <c r="B1103" t="s">
        <v>310</v>
      </c>
      <c r="C1103" s="3">
        <v>3.5</v>
      </c>
      <c r="D1103" s="3">
        <v>3943</v>
      </c>
      <c r="E1103" t="s">
        <v>311</v>
      </c>
      <c r="F1103" s="3">
        <v>19.026073400000001</v>
      </c>
      <c r="G1103">
        <v>72.854984599999995</v>
      </c>
      <c r="H1103">
        <f t="shared" si="85"/>
        <v>13800.5</v>
      </c>
      <c r="I1103" s="3">
        <f t="shared" si="86"/>
        <v>98575</v>
      </c>
      <c r="J1103" s="1">
        <f t="shared" si="87"/>
        <v>350</v>
      </c>
      <c r="K1103" s="1">
        <f t="shared" si="88"/>
        <v>34501250</v>
      </c>
      <c r="L1103" s="2" t="str">
        <f t="shared" si="89"/>
        <v>Average</v>
      </c>
    </row>
    <row r="1104" spans="1:12" x14ac:dyDescent="0.3">
      <c r="A1104" t="s">
        <v>1893</v>
      </c>
      <c r="B1104" t="s">
        <v>1920</v>
      </c>
      <c r="C1104" s="3">
        <v>4</v>
      </c>
      <c r="D1104" s="3">
        <v>1424</v>
      </c>
      <c r="E1104" t="s">
        <v>1921</v>
      </c>
      <c r="F1104" s="3">
        <v>19.035329000000001</v>
      </c>
      <c r="G1104">
        <v>72.857272699999996</v>
      </c>
      <c r="H1104">
        <f t="shared" si="85"/>
        <v>5696</v>
      </c>
      <c r="I1104" s="3">
        <f t="shared" si="86"/>
        <v>35600</v>
      </c>
      <c r="J1104" s="1">
        <f t="shared" si="87"/>
        <v>350</v>
      </c>
      <c r="K1104" s="1">
        <f t="shared" si="88"/>
        <v>12460000</v>
      </c>
      <c r="L1104" s="2" t="str">
        <f t="shared" si="89"/>
        <v>Popular</v>
      </c>
    </row>
    <row r="1105" spans="1:12" x14ac:dyDescent="0.3">
      <c r="A1105" t="s">
        <v>1893</v>
      </c>
      <c r="B1105" t="s">
        <v>251</v>
      </c>
      <c r="C1105" s="3">
        <v>4.4000000000000004</v>
      </c>
      <c r="D1105" s="3">
        <v>5790</v>
      </c>
      <c r="E1105" t="s">
        <v>252</v>
      </c>
      <c r="F1105" s="3">
        <v>19.0390084</v>
      </c>
      <c r="G1105">
        <v>72.842680099999995</v>
      </c>
      <c r="H1105">
        <f t="shared" si="85"/>
        <v>25476.000000000004</v>
      </c>
      <c r="I1105" s="3">
        <f t="shared" si="86"/>
        <v>144750</v>
      </c>
      <c r="J1105" s="1">
        <f t="shared" si="87"/>
        <v>450</v>
      </c>
      <c r="K1105" s="1">
        <f t="shared" si="88"/>
        <v>65137500</v>
      </c>
      <c r="L1105" s="2" t="str">
        <f t="shared" si="89"/>
        <v>Popular</v>
      </c>
    </row>
    <row r="1106" spans="1:12" x14ac:dyDescent="0.3">
      <c r="A1106" t="s">
        <v>1893</v>
      </c>
      <c r="B1106" t="s">
        <v>213</v>
      </c>
      <c r="C1106" s="3">
        <v>4.0999999999999996</v>
      </c>
      <c r="D1106" s="3">
        <v>8457</v>
      </c>
      <c r="E1106" t="s">
        <v>214</v>
      </c>
      <c r="F1106" s="3">
        <v>19.0168049</v>
      </c>
      <c r="G1106">
        <v>72.846186899999907</v>
      </c>
      <c r="H1106">
        <f t="shared" si="85"/>
        <v>34673.699999999997</v>
      </c>
      <c r="I1106" s="3">
        <f t="shared" si="86"/>
        <v>211425</v>
      </c>
      <c r="J1106" s="1">
        <f t="shared" si="87"/>
        <v>350</v>
      </c>
      <c r="K1106" s="1">
        <f t="shared" si="88"/>
        <v>73998750</v>
      </c>
      <c r="L1106" s="2" t="str">
        <f t="shared" si="89"/>
        <v>Popular</v>
      </c>
    </row>
    <row r="1107" spans="1:12" x14ac:dyDescent="0.3">
      <c r="A1107" t="s">
        <v>1893</v>
      </c>
      <c r="B1107" t="s">
        <v>1922</v>
      </c>
      <c r="C1107" s="3">
        <v>4</v>
      </c>
      <c r="D1107" s="3">
        <v>275</v>
      </c>
      <c r="E1107" t="s">
        <v>1923</v>
      </c>
      <c r="F1107" s="3">
        <v>19.035129000000001</v>
      </c>
      <c r="G1107">
        <v>72.8611547</v>
      </c>
      <c r="H1107">
        <f t="shared" si="85"/>
        <v>1100</v>
      </c>
      <c r="I1107" s="3">
        <f t="shared" si="86"/>
        <v>6875</v>
      </c>
      <c r="J1107" s="1">
        <f t="shared" si="87"/>
        <v>350</v>
      </c>
      <c r="K1107" s="1">
        <f t="shared" si="88"/>
        <v>2406250</v>
      </c>
      <c r="L1107" s="2" t="str">
        <f t="shared" si="89"/>
        <v>Popular</v>
      </c>
    </row>
    <row r="1108" spans="1:12" x14ac:dyDescent="0.3">
      <c r="A1108" t="s">
        <v>1893</v>
      </c>
      <c r="B1108" t="s">
        <v>1924</v>
      </c>
      <c r="C1108" s="3">
        <v>4.4000000000000004</v>
      </c>
      <c r="D1108" s="3">
        <v>46</v>
      </c>
      <c r="E1108" t="s">
        <v>1925</v>
      </c>
      <c r="F1108" s="3">
        <v>19.052607999999999</v>
      </c>
      <c r="G1108">
        <v>72.871633199999906</v>
      </c>
      <c r="H1108">
        <f t="shared" si="85"/>
        <v>202.4</v>
      </c>
      <c r="I1108" s="3">
        <f t="shared" si="86"/>
        <v>1150</v>
      </c>
      <c r="J1108" s="1">
        <f t="shared" si="87"/>
        <v>450</v>
      </c>
      <c r="K1108" s="1">
        <f t="shared" si="88"/>
        <v>517500</v>
      </c>
      <c r="L1108" s="2" t="str">
        <f t="shared" si="89"/>
        <v>Popular</v>
      </c>
    </row>
    <row r="1109" spans="1:12" x14ac:dyDescent="0.3">
      <c r="A1109" t="s">
        <v>1893</v>
      </c>
      <c r="B1109" t="s">
        <v>1926</v>
      </c>
      <c r="C1109" s="3">
        <v>4.3</v>
      </c>
      <c r="D1109" s="3">
        <v>1829</v>
      </c>
      <c r="E1109" t="s">
        <v>1927</v>
      </c>
      <c r="F1109" s="3">
        <v>19.034498500000002</v>
      </c>
      <c r="G1109">
        <v>72.863080100000005</v>
      </c>
      <c r="H1109">
        <f t="shared" si="85"/>
        <v>7864.7</v>
      </c>
      <c r="I1109" s="3">
        <f t="shared" si="86"/>
        <v>45725</v>
      </c>
      <c r="J1109" s="1">
        <f t="shared" si="87"/>
        <v>350</v>
      </c>
      <c r="K1109" s="1">
        <f t="shared" si="88"/>
        <v>16003750</v>
      </c>
      <c r="L1109" s="2" t="str">
        <f t="shared" si="89"/>
        <v>Popular</v>
      </c>
    </row>
    <row r="1110" spans="1:12" x14ac:dyDescent="0.3">
      <c r="A1110" t="s">
        <v>1893</v>
      </c>
      <c r="B1110" t="s">
        <v>1928</v>
      </c>
      <c r="C1110" s="3">
        <v>3.8</v>
      </c>
      <c r="D1110" s="3">
        <v>70</v>
      </c>
      <c r="E1110" t="s">
        <v>1929</v>
      </c>
      <c r="F1110" s="3">
        <v>19.043691200000001</v>
      </c>
      <c r="G1110">
        <v>72.864030499999998</v>
      </c>
      <c r="H1110">
        <f t="shared" si="85"/>
        <v>266</v>
      </c>
      <c r="I1110" s="3">
        <f t="shared" si="86"/>
        <v>1750</v>
      </c>
      <c r="J1110" s="1">
        <f t="shared" si="87"/>
        <v>350</v>
      </c>
      <c r="K1110" s="1">
        <f t="shared" si="88"/>
        <v>612500</v>
      </c>
      <c r="L1110" s="2" t="str">
        <f t="shared" si="89"/>
        <v>Average</v>
      </c>
    </row>
    <row r="1111" spans="1:12" x14ac:dyDescent="0.3">
      <c r="A1111" t="s">
        <v>1893</v>
      </c>
      <c r="B1111" t="s">
        <v>255</v>
      </c>
      <c r="C1111" s="3">
        <v>4.2</v>
      </c>
      <c r="D1111" s="3">
        <v>4162</v>
      </c>
      <c r="E1111" t="s">
        <v>256</v>
      </c>
      <c r="F1111" s="3">
        <v>19.031528699999999</v>
      </c>
      <c r="G1111">
        <v>72.838803900000002</v>
      </c>
      <c r="H1111">
        <f t="shared" si="85"/>
        <v>17480.400000000001</v>
      </c>
      <c r="I1111" s="3">
        <f t="shared" si="86"/>
        <v>104050</v>
      </c>
      <c r="J1111" s="1">
        <f t="shared" si="87"/>
        <v>350</v>
      </c>
      <c r="K1111" s="1">
        <f t="shared" si="88"/>
        <v>36417500</v>
      </c>
      <c r="L1111" s="2" t="str">
        <f t="shared" si="89"/>
        <v>Popular</v>
      </c>
    </row>
    <row r="1112" spans="1:12" x14ac:dyDescent="0.3">
      <c r="A1112" t="s">
        <v>1893</v>
      </c>
      <c r="B1112" t="s">
        <v>1930</v>
      </c>
      <c r="C1112" s="3">
        <v>4.2</v>
      </c>
      <c r="D1112" s="3">
        <v>5234</v>
      </c>
      <c r="E1112" t="s">
        <v>1931</v>
      </c>
      <c r="F1112" s="3">
        <v>19.045632099999999</v>
      </c>
      <c r="G1112">
        <v>72.863506399999906</v>
      </c>
      <c r="H1112">
        <f t="shared" si="85"/>
        <v>21982.799999999999</v>
      </c>
      <c r="I1112" s="3">
        <f t="shared" si="86"/>
        <v>130850</v>
      </c>
      <c r="J1112" s="1">
        <f t="shared" si="87"/>
        <v>350</v>
      </c>
      <c r="K1112" s="1">
        <f t="shared" si="88"/>
        <v>45797500</v>
      </c>
      <c r="L1112" s="2" t="str">
        <f t="shared" si="89"/>
        <v>Popular</v>
      </c>
    </row>
    <row r="1113" spans="1:12" x14ac:dyDescent="0.3">
      <c r="A1113" t="s">
        <v>1893</v>
      </c>
      <c r="B1113" t="s">
        <v>302</v>
      </c>
      <c r="C1113" s="3">
        <v>4.3</v>
      </c>
      <c r="D1113" s="3">
        <v>675</v>
      </c>
      <c r="E1113" t="s">
        <v>303</v>
      </c>
      <c r="F1113" s="3">
        <v>19.026518599999999</v>
      </c>
      <c r="G1113">
        <v>72.856184499999998</v>
      </c>
      <c r="H1113">
        <f t="shared" si="85"/>
        <v>2902.5</v>
      </c>
      <c r="I1113" s="3">
        <f t="shared" si="86"/>
        <v>16875</v>
      </c>
      <c r="J1113" s="1">
        <f t="shared" si="87"/>
        <v>350</v>
      </c>
      <c r="K1113" s="1">
        <f t="shared" si="88"/>
        <v>5906250</v>
      </c>
      <c r="L1113" s="2" t="str">
        <f t="shared" si="89"/>
        <v>Popular</v>
      </c>
    </row>
    <row r="1114" spans="1:12" x14ac:dyDescent="0.3">
      <c r="A1114" t="s">
        <v>1893</v>
      </c>
      <c r="B1114" t="s">
        <v>1932</v>
      </c>
      <c r="C1114" s="3">
        <v>4.0999999999999996</v>
      </c>
      <c r="D1114" s="3">
        <v>946</v>
      </c>
      <c r="E1114" t="s">
        <v>1933</v>
      </c>
      <c r="F1114" s="3">
        <v>19.0428748</v>
      </c>
      <c r="G1114">
        <v>72.861902899999905</v>
      </c>
      <c r="H1114">
        <f t="shared" si="85"/>
        <v>3878.5999999999995</v>
      </c>
      <c r="I1114" s="3">
        <f t="shared" si="86"/>
        <v>23650</v>
      </c>
      <c r="J1114" s="1">
        <f t="shared" si="87"/>
        <v>350</v>
      </c>
      <c r="K1114" s="1">
        <f t="shared" si="88"/>
        <v>8277500</v>
      </c>
      <c r="L1114" s="2" t="str">
        <f t="shared" si="89"/>
        <v>Popular</v>
      </c>
    </row>
    <row r="1115" spans="1:12" x14ac:dyDescent="0.3">
      <c r="A1115" t="s">
        <v>1893</v>
      </c>
      <c r="B1115" t="s">
        <v>1934</v>
      </c>
      <c r="C1115" s="3">
        <v>5</v>
      </c>
      <c r="D1115" s="3">
        <v>97</v>
      </c>
      <c r="E1115" t="s">
        <v>1935</v>
      </c>
      <c r="F1115" s="3">
        <v>19.0434029</v>
      </c>
      <c r="G1115">
        <v>72.861677599999993</v>
      </c>
      <c r="H1115">
        <f t="shared" si="85"/>
        <v>485</v>
      </c>
      <c r="I1115" s="3">
        <f t="shared" si="86"/>
        <v>2425</v>
      </c>
      <c r="J1115" s="1">
        <f t="shared" si="87"/>
        <v>550</v>
      </c>
      <c r="K1115" s="1">
        <f t="shared" si="88"/>
        <v>1333750</v>
      </c>
      <c r="L1115" s="2" t="str">
        <f t="shared" si="89"/>
        <v>Premium</v>
      </c>
    </row>
    <row r="1116" spans="1:12" x14ac:dyDescent="0.3">
      <c r="A1116" t="s">
        <v>1893</v>
      </c>
      <c r="B1116" t="s">
        <v>1936</v>
      </c>
      <c r="C1116" s="3">
        <v>3.9</v>
      </c>
      <c r="D1116" s="3">
        <v>772</v>
      </c>
      <c r="E1116" t="s">
        <v>1937</v>
      </c>
      <c r="F1116" s="3">
        <v>19.039558400000001</v>
      </c>
      <c r="G1116">
        <v>72.861467099999999</v>
      </c>
      <c r="H1116">
        <f t="shared" si="85"/>
        <v>3010.7999999999997</v>
      </c>
      <c r="I1116" s="3">
        <f t="shared" si="86"/>
        <v>19300</v>
      </c>
      <c r="J1116" s="1">
        <f t="shared" si="87"/>
        <v>350</v>
      </c>
      <c r="K1116" s="1">
        <f t="shared" si="88"/>
        <v>6755000</v>
      </c>
      <c r="L1116" s="2" t="str">
        <f t="shared" si="89"/>
        <v>Average</v>
      </c>
    </row>
    <row r="1117" spans="1:12" x14ac:dyDescent="0.3">
      <c r="A1117" t="s">
        <v>1893</v>
      </c>
      <c r="B1117" t="s">
        <v>1938</v>
      </c>
      <c r="C1117" s="3">
        <v>4.9000000000000004</v>
      </c>
      <c r="D1117" s="3">
        <v>20</v>
      </c>
      <c r="E1117" t="s">
        <v>1939</v>
      </c>
      <c r="F1117" s="3">
        <v>19.031037999999999</v>
      </c>
      <c r="G1117">
        <v>72.859948099999997</v>
      </c>
      <c r="H1117">
        <f t="shared" si="85"/>
        <v>98</v>
      </c>
      <c r="I1117" s="3">
        <f t="shared" si="86"/>
        <v>500</v>
      </c>
      <c r="J1117" s="1">
        <f t="shared" si="87"/>
        <v>550</v>
      </c>
      <c r="K1117" s="1">
        <f t="shared" si="88"/>
        <v>275000</v>
      </c>
      <c r="L1117" s="2" t="str">
        <f t="shared" si="89"/>
        <v>Premium</v>
      </c>
    </row>
    <row r="1118" spans="1:12" x14ac:dyDescent="0.3">
      <c r="A1118" t="s">
        <v>1893</v>
      </c>
      <c r="B1118" t="s">
        <v>1940</v>
      </c>
      <c r="C1118" s="3">
        <v>3.8</v>
      </c>
      <c r="D1118" s="3">
        <v>758</v>
      </c>
      <c r="E1118" t="s">
        <v>1941</v>
      </c>
      <c r="F1118" s="3">
        <v>19.0344461</v>
      </c>
      <c r="G1118">
        <v>72.862913399999996</v>
      </c>
      <c r="H1118">
        <f t="shared" si="85"/>
        <v>2880.4</v>
      </c>
      <c r="I1118" s="3">
        <f t="shared" si="86"/>
        <v>18950</v>
      </c>
      <c r="J1118" s="1">
        <f t="shared" si="87"/>
        <v>350</v>
      </c>
      <c r="K1118" s="1">
        <f t="shared" si="88"/>
        <v>6632500</v>
      </c>
      <c r="L1118" s="2" t="str">
        <f t="shared" si="89"/>
        <v>Average</v>
      </c>
    </row>
    <row r="1119" spans="1:12" x14ac:dyDescent="0.3">
      <c r="A1119" t="s">
        <v>1893</v>
      </c>
      <c r="B1119" t="s">
        <v>1942</v>
      </c>
      <c r="C1119" s="3">
        <v>5</v>
      </c>
      <c r="D1119" s="3">
        <v>5</v>
      </c>
      <c r="E1119" t="s">
        <v>1943</v>
      </c>
      <c r="F1119" s="3">
        <v>19.047563100000001</v>
      </c>
      <c r="G1119">
        <v>72.865520099999998</v>
      </c>
      <c r="H1119">
        <f t="shared" si="85"/>
        <v>25</v>
      </c>
      <c r="I1119" s="3">
        <f t="shared" si="86"/>
        <v>125</v>
      </c>
      <c r="J1119" s="1">
        <f t="shared" si="87"/>
        <v>550</v>
      </c>
      <c r="K1119" s="1">
        <f t="shared" si="88"/>
        <v>68750</v>
      </c>
      <c r="L1119" s="2" t="str">
        <f t="shared" si="89"/>
        <v>Premium</v>
      </c>
    </row>
    <row r="1120" spans="1:12" x14ac:dyDescent="0.3">
      <c r="A1120" t="s">
        <v>1893</v>
      </c>
      <c r="B1120" t="s">
        <v>53</v>
      </c>
      <c r="C1120" s="3">
        <v>4.9000000000000004</v>
      </c>
      <c r="D1120" s="3">
        <v>420</v>
      </c>
      <c r="E1120" t="s">
        <v>855</v>
      </c>
      <c r="F1120" s="3">
        <v>19.0718611</v>
      </c>
      <c r="G1120">
        <v>72.876555600000003</v>
      </c>
      <c r="H1120">
        <f t="shared" si="85"/>
        <v>2058</v>
      </c>
      <c r="I1120" s="3">
        <f t="shared" si="86"/>
        <v>10500</v>
      </c>
      <c r="J1120" s="1">
        <f t="shared" si="87"/>
        <v>550</v>
      </c>
      <c r="K1120" s="1">
        <f t="shared" si="88"/>
        <v>5775000</v>
      </c>
      <c r="L1120" s="2" t="str">
        <f t="shared" si="89"/>
        <v>Premium</v>
      </c>
    </row>
    <row r="1121" spans="1:12" x14ac:dyDescent="0.3">
      <c r="A1121" t="s">
        <v>1893</v>
      </c>
      <c r="B1121" t="s">
        <v>1944</v>
      </c>
      <c r="C1121" s="3">
        <v>4.5</v>
      </c>
      <c r="D1121" s="3">
        <v>51</v>
      </c>
      <c r="E1121" t="s">
        <v>1945</v>
      </c>
      <c r="F1121" s="3">
        <v>19.039823299999998</v>
      </c>
      <c r="G1121">
        <v>72.879319699999996</v>
      </c>
      <c r="H1121">
        <f t="shared" si="85"/>
        <v>229.5</v>
      </c>
      <c r="I1121" s="3">
        <f t="shared" si="86"/>
        <v>1275</v>
      </c>
      <c r="J1121" s="1">
        <f t="shared" si="87"/>
        <v>450</v>
      </c>
      <c r="K1121" s="1">
        <f t="shared" si="88"/>
        <v>573750</v>
      </c>
      <c r="L1121" s="2" t="str">
        <f t="shared" si="89"/>
        <v>Premium</v>
      </c>
    </row>
    <row r="1122" spans="1:12" x14ac:dyDescent="0.3">
      <c r="A1122" t="s">
        <v>1893</v>
      </c>
      <c r="B1122" t="s">
        <v>320</v>
      </c>
      <c r="C1122" s="3">
        <v>4.0999999999999996</v>
      </c>
      <c r="D1122" s="3">
        <v>810</v>
      </c>
      <c r="E1122" t="s">
        <v>321</v>
      </c>
      <c r="F1122" s="3">
        <v>19.018442</v>
      </c>
      <c r="G1122">
        <v>72.856666899999993</v>
      </c>
      <c r="H1122">
        <f t="shared" si="85"/>
        <v>3320.9999999999995</v>
      </c>
      <c r="I1122" s="3">
        <f t="shared" si="86"/>
        <v>20250</v>
      </c>
      <c r="J1122" s="1">
        <f t="shared" si="87"/>
        <v>350</v>
      </c>
      <c r="K1122" s="1">
        <f t="shared" si="88"/>
        <v>7087500</v>
      </c>
      <c r="L1122" s="2" t="str">
        <f t="shared" si="89"/>
        <v>Popular</v>
      </c>
    </row>
    <row r="1123" spans="1:12" x14ac:dyDescent="0.3">
      <c r="A1123" t="s">
        <v>1893</v>
      </c>
      <c r="B1123" t="s">
        <v>1946</v>
      </c>
      <c r="C1123" s="3">
        <v>4.3</v>
      </c>
      <c r="D1123" s="3">
        <v>553</v>
      </c>
      <c r="E1123" t="s">
        <v>1947</v>
      </c>
      <c r="F1123" s="3">
        <v>19.045266300000002</v>
      </c>
      <c r="G1123">
        <v>72.864417000000003</v>
      </c>
      <c r="H1123">
        <f t="shared" si="85"/>
        <v>2377.9</v>
      </c>
      <c r="I1123" s="3">
        <f t="shared" si="86"/>
        <v>13825</v>
      </c>
      <c r="J1123" s="1">
        <f t="shared" si="87"/>
        <v>350</v>
      </c>
      <c r="K1123" s="1">
        <f t="shared" si="88"/>
        <v>4838750</v>
      </c>
      <c r="L1123" s="2" t="str">
        <f t="shared" si="89"/>
        <v>Popular</v>
      </c>
    </row>
    <row r="1124" spans="1:12" x14ac:dyDescent="0.3">
      <c r="A1124" t="s">
        <v>1893</v>
      </c>
      <c r="B1124" t="s">
        <v>1948</v>
      </c>
      <c r="C1124" s="3">
        <v>4</v>
      </c>
      <c r="D1124" s="3">
        <v>565</v>
      </c>
      <c r="E1124" t="s">
        <v>1949</v>
      </c>
      <c r="F1124" s="3">
        <v>19.032071299999998</v>
      </c>
      <c r="G1124">
        <v>72.858370699999995</v>
      </c>
      <c r="H1124">
        <f t="shared" si="85"/>
        <v>2260</v>
      </c>
      <c r="I1124" s="3">
        <f t="shared" si="86"/>
        <v>14125</v>
      </c>
      <c r="J1124" s="1">
        <f t="shared" si="87"/>
        <v>350</v>
      </c>
      <c r="K1124" s="1">
        <f t="shared" si="88"/>
        <v>4943750</v>
      </c>
      <c r="L1124" s="2" t="str">
        <f t="shared" si="89"/>
        <v>Popular</v>
      </c>
    </row>
    <row r="1125" spans="1:12" x14ac:dyDescent="0.3">
      <c r="A1125" t="s">
        <v>1893</v>
      </c>
      <c r="B1125" t="s">
        <v>1950</v>
      </c>
      <c r="C1125" s="3">
        <v>4.5999999999999996</v>
      </c>
      <c r="D1125" s="3">
        <v>96</v>
      </c>
      <c r="E1125" t="s">
        <v>1951</v>
      </c>
      <c r="F1125" s="3">
        <v>19.022539099999999</v>
      </c>
      <c r="G1125">
        <v>72.857116699999906</v>
      </c>
      <c r="H1125">
        <f t="shared" si="85"/>
        <v>441.59999999999997</v>
      </c>
      <c r="I1125" s="3">
        <f t="shared" si="86"/>
        <v>2400</v>
      </c>
      <c r="J1125" s="1">
        <f t="shared" si="87"/>
        <v>450</v>
      </c>
      <c r="K1125" s="1">
        <f t="shared" si="88"/>
        <v>1080000</v>
      </c>
      <c r="L1125" s="2" t="str">
        <f t="shared" si="89"/>
        <v>Premium</v>
      </c>
    </row>
    <row r="1126" spans="1:12" x14ac:dyDescent="0.3">
      <c r="A1126" t="s">
        <v>1893</v>
      </c>
      <c r="B1126" t="s">
        <v>1952</v>
      </c>
      <c r="C1126" s="3">
        <v>4.2</v>
      </c>
      <c r="D1126" s="3">
        <v>133</v>
      </c>
      <c r="E1126" t="s">
        <v>1953</v>
      </c>
      <c r="F1126" s="3">
        <v>19.033331</v>
      </c>
      <c r="G1126">
        <v>72.861379599999907</v>
      </c>
      <c r="H1126">
        <f t="shared" si="85"/>
        <v>558.6</v>
      </c>
      <c r="I1126" s="3">
        <f t="shared" si="86"/>
        <v>3325</v>
      </c>
      <c r="J1126" s="1">
        <f t="shared" si="87"/>
        <v>350</v>
      </c>
      <c r="K1126" s="1">
        <f t="shared" si="88"/>
        <v>1163750</v>
      </c>
      <c r="L1126" s="2" t="str">
        <f t="shared" si="89"/>
        <v>Popular</v>
      </c>
    </row>
    <row r="1127" spans="1:12" x14ac:dyDescent="0.3">
      <c r="A1127" t="s">
        <v>1893</v>
      </c>
      <c r="B1127" t="s">
        <v>1954</v>
      </c>
      <c r="C1127" s="3">
        <v>4.4000000000000004</v>
      </c>
      <c r="D1127" s="3">
        <v>32304</v>
      </c>
      <c r="E1127" t="s">
        <v>1955</v>
      </c>
      <c r="F1127" s="3">
        <v>19.027998799999999</v>
      </c>
      <c r="G1127">
        <v>72.851720799999995</v>
      </c>
      <c r="H1127">
        <f t="shared" si="85"/>
        <v>142137.60000000001</v>
      </c>
      <c r="I1127" s="3">
        <f t="shared" si="86"/>
        <v>807600</v>
      </c>
      <c r="J1127" s="1">
        <f t="shared" si="87"/>
        <v>450</v>
      </c>
      <c r="K1127" s="1">
        <f t="shared" si="88"/>
        <v>363420000</v>
      </c>
      <c r="L1127" s="2" t="str">
        <f t="shared" si="89"/>
        <v>Popular</v>
      </c>
    </row>
    <row r="1128" spans="1:12" x14ac:dyDescent="0.3">
      <c r="A1128" t="s">
        <v>1893</v>
      </c>
      <c r="B1128" t="s">
        <v>1956</v>
      </c>
      <c r="C1128" s="3">
        <v>4.9000000000000004</v>
      </c>
      <c r="D1128" s="3">
        <v>146</v>
      </c>
      <c r="E1128" t="s">
        <v>1957</v>
      </c>
      <c r="F1128" s="3">
        <v>19.036265700000001</v>
      </c>
      <c r="G1128">
        <v>72.846831199999997</v>
      </c>
      <c r="H1128">
        <f t="shared" si="85"/>
        <v>715.40000000000009</v>
      </c>
      <c r="I1128" s="3">
        <f t="shared" si="86"/>
        <v>3650</v>
      </c>
      <c r="J1128" s="1">
        <f t="shared" si="87"/>
        <v>550</v>
      </c>
      <c r="K1128" s="1">
        <f t="shared" si="88"/>
        <v>2007500</v>
      </c>
      <c r="L1128" s="2" t="str">
        <f t="shared" si="89"/>
        <v>Premium</v>
      </c>
    </row>
    <row r="1129" spans="1:12" x14ac:dyDescent="0.3">
      <c r="A1129" t="s">
        <v>1893</v>
      </c>
      <c r="B1129" t="s">
        <v>1958</v>
      </c>
      <c r="C1129" s="3">
        <v>4.7</v>
      </c>
      <c r="D1129" s="3">
        <v>245</v>
      </c>
      <c r="E1129" t="s">
        <v>1959</v>
      </c>
      <c r="F1129" s="3">
        <v>19.0774717</v>
      </c>
      <c r="G1129">
        <v>72.849217799999906</v>
      </c>
      <c r="H1129">
        <f t="shared" si="85"/>
        <v>1151.5</v>
      </c>
      <c r="I1129" s="3">
        <f t="shared" si="86"/>
        <v>6125</v>
      </c>
      <c r="J1129" s="1">
        <f t="shared" si="87"/>
        <v>550</v>
      </c>
      <c r="K1129" s="1">
        <f t="shared" si="88"/>
        <v>3368750</v>
      </c>
      <c r="L1129" s="2" t="str">
        <f t="shared" si="89"/>
        <v>Premium</v>
      </c>
    </row>
    <row r="1130" spans="1:12" x14ac:dyDescent="0.3">
      <c r="A1130" t="s">
        <v>1893</v>
      </c>
      <c r="B1130" t="s">
        <v>221</v>
      </c>
      <c r="C1130" s="3">
        <v>4.2</v>
      </c>
      <c r="D1130" s="3">
        <v>846</v>
      </c>
      <c r="E1130" t="s">
        <v>222</v>
      </c>
      <c r="F1130" s="3">
        <v>19.017466299999999</v>
      </c>
      <c r="G1130">
        <v>72.848709299999996</v>
      </c>
      <c r="H1130">
        <f t="shared" si="85"/>
        <v>3553.2000000000003</v>
      </c>
      <c r="I1130" s="3">
        <f t="shared" si="86"/>
        <v>21150</v>
      </c>
      <c r="J1130" s="1">
        <f t="shared" si="87"/>
        <v>350</v>
      </c>
      <c r="K1130" s="1">
        <f t="shared" si="88"/>
        <v>7402500</v>
      </c>
      <c r="L1130" s="2" t="str">
        <f t="shared" si="89"/>
        <v>Popular</v>
      </c>
    </row>
    <row r="1131" spans="1:12" x14ac:dyDescent="0.3">
      <c r="A1131" t="s">
        <v>1893</v>
      </c>
      <c r="B1131" t="s">
        <v>894</v>
      </c>
      <c r="C1131" s="3">
        <v>3.9</v>
      </c>
      <c r="D1131" s="3">
        <v>1394</v>
      </c>
      <c r="E1131" t="s">
        <v>895</v>
      </c>
      <c r="F1131" s="3">
        <v>19.059376799999999</v>
      </c>
      <c r="G1131">
        <v>72.865386099999995</v>
      </c>
      <c r="H1131">
        <f t="shared" si="85"/>
        <v>5436.5999999999995</v>
      </c>
      <c r="I1131" s="3">
        <f t="shared" si="86"/>
        <v>34850</v>
      </c>
      <c r="J1131" s="1">
        <f t="shared" si="87"/>
        <v>350</v>
      </c>
      <c r="K1131" s="1">
        <f t="shared" si="88"/>
        <v>12197500</v>
      </c>
      <c r="L1131" s="2" t="str">
        <f t="shared" si="89"/>
        <v>Average</v>
      </c>
    </row>
    <row r="1132" spans="1:12" x14ac:dyDescent="0.3">
      <c r="A1132" t="s">
        <v>1893</v>
      </c>
      <c r="B1132" t="s">
        <v>509</v>
      </c>
      <c r="C1132" s="3">
        <v>4.2</v>
      </c>
      <c r="D1132" s="3">
        <v>3653</v>
      </c>
      <c r="E1132" t="s">
        <v>510</v>
      </c>
      <c r="F1132" s="3">
        <v>19.0669696</v>
      </c>
      <c r="G1132">
        <v>72.832881999999998</v>
      </c>
      <c r="H1132">
        <f t="shared" si="85"/>
        <v>15342.6</v>
      </c>
      <c r="I1132" s="3">
        <f t="shared" si="86"/>
        <v>91325</v>
      </c>
      <c r="J1132" s="1">
        <f t="shared" si="87"/>
        <v>350</v>
      </c>
      <c r="K1132" s="1">
        <f t="shared" si="88"/>
        <v>31963750</v>
      </c>
      <c r="L1132" s="2" t="str">
        <f t="shared" si="89"/>
        <v>Popular</v>
      </c>
    </row>
    <row r="1133" spans="1:12" x14ac:dyDescent="0.3">
      <c r="A1133" t="s">
        <v>1893</v>
      </c>
      <c r="B1133" t="s">
        <v>1960</v>
      </c>
      <c r="C1133" s="3">
        <v>3.4</v>
      </c>
      <c r="D1133" s="3">
        <v>436</v>
      </c>
      <c r="E1133" t="s">
        <v>1961</v>
      </c>
      <c r="F1133" s="3">
        <v>19.039430400000001</v>
      </c>
      <c r="G1133">
        <v>72.867253099999999</v>
      </c>
      <c r="H1133">
        <f t="shared" si="85"/>
        <v>1482.3999999999999</v>
      </c>
      <c r="I1133" s="3">
        <f t="shared" si="86"/>
        <v>10900</v>
      </c>
      <c r="J1133" s="1">
        <f t="shared" si="87"/>
        <v>350</v>
      </c>
      <c r="K1133" s="1">
        <f t="shared" si="88"/>
        <v>3815000</v>
      </c>
      <c r="L1133" s="2" t="str">
        <f t="shared" si="89"/>
        <v>Average</v>
      </c>
    </row>
    <row r="1134" spans="1:12" x14ac:dyDescent="0.3">
      <c r="A1134" t="s">
        <v>1893</v>
      </c>
      <c r="B1134" t="s">
        <v>1139</v>
      </c>
      <c r="C1134" s="3">
        <v>4.2</v>
      </c>
      <c r="D1134" s="3">
        <v>1546</v>
      </c>
      <c r="E1134" t="s">
        <v>1962</v>
      </c>
      <c r="F1134" s="3">
        <v>19.0273173</v>
      </c>
      <c r="G1134">
        <v>72.854574900000003</v>
      </c>
      <c r="H1134">
        <f t="shared" si="85"/>
        <v>6493.2000000000007</v>
      </c>
      <c r="I1134" s="3">
        <f t="shared" si="86"/>
        <v>38650</v>
      </c>
      <c r="J1134" s="1">
        <f t="shared" si="87"/>
        <v>350</v>
      </c>
      <c r="K1134" s="1">
        <f t="shared" si="88"/>
        <v>13527500</v>
      </c>
      <c r="L1134" s="2" t="str">
        <f t="shared" si="89"/>
        <v>Popular</v>
      </c>
    </row>
    <row r="1135" spans="1:12" x14ac:dyDescent="0.3">
      <c r="A1135" t="s">
        <v>1893</v>
      </c>
      <c r="B1135" t="s">
        <v>439</v>
      </c>
      <c r="C1135" s="3">
        <v>4.5</v>
      </c>
      <c r="D1135" s="3">
        <v>543</v>
      </c>
      <c r="E1135" t="s">
        <v>440</v>
      </c>
      <c r="F1135" s="3">
        <v>19.0524466</v>
      </c>
      <c r="G1135">
        <v>72.828589800000003</v>
      </c>
      <c r="H1135">
        <f t="shared" si="85"/>
        <v>2443.5</v>
      </c>
      <c r="I1135" s="3">
        <f t="shared" si="86"/>
        <v>13575</v>
      </c>
      <c r="J1135" s="1">
        <f t="shared" si="87"/>
        <v>450</v>
      </c>
      <c r="K1135" s="1">
        <f t="shared" si="88"/>
        <v>6108750</v>
      </c>
      <c r="L1135" s="2" t="str">
        <f t="shared" si="89"/>
        <v>Premium</v>
      </c>
    </row>
    <row r="1136" spans="1:12" x14ac:dyDescent="0.3">
      <c r="A1136" t="s">
        <v>1893</v>
      </c>
      <c r="B1136" t="s">
        <v>1963</v>
      </c>
      <c r="C1136" s="3">
        <v>4.3</v>
      </c>
      <c r="D1136" s="3">
        <v>1237</v>
      </c>
      <c r="E1136" t="s">
        <v>1964</v>
      </c>
      <c r="F1136" s="3">
        <v>19.026062499999998</v>
      </c>
      <c r="G1136">
        <v>72.855417899999907</v>
      </c>
      <c r="H1136">
        <f t="shared" si="85"/>
        <v>5319.0999999999995</v>
      </c>
      <c r="I1136" s="3">
        <f t="shared" si="86"/>
        <v>30925</v>
      </c>
      <c r="J1136" s="1">
        <f t="shared" si="87"/>
        <v>350</v>
      </c>
      <c r="K1136" s="1">
        <f t="shared" si="88"/>
        <v>10823750</v>
      </c>
      <c r="L1136" s="2" t="str">
        <f t="shared" si="89"/>
        <v>Popular</v>
      </c>
    </row>
    <row r="1137" spans="1:12" x14ac:dyDescent="0.3">
      <c r="A1137" t="s">
        <v>1893</v>
      </c>
      <c r="B1137" t="s">
        <v>1965</v>
      </c>
      <c r="C1137" s="3">
        <v>4</v>
      </c>
      <c r="D1137" s="3">
        <v>58</v>
      </c>
      <c r="E1137" t="s">
        <v>1966</v>
      </c>
      <c r="F1137" s="3">
        <v>19.0433807</v>
      </c>
      <c r="G1137">
        <v>72.872026199999993</v>
      </c>
      <c r="H1137">
        <f t="shared" si="85"/>
        <v>232</v>
      </c>
      <c r="I1137" s="3">
        <f t="shared" si="86"/>
        <v>1450</v>
      </c>
      <c r="J1137" s="1">
        <f t="shared" si="87"/>
        <v>350</v>
      </c>
      <c r="K1137" s="1">
        <f t="shared" si="88"/>
        <v>507500</v>
      </c>
      <c r="L1137" s="2" t="str">
        <f t="shared" si="89"/>
        <v>Popular</v>
      </c>
    </row>
    <row r="1138" spans="1:12" x14ac:dyDescent="0.3">
      <c r="A1138" t="s">
        <v>1893</v>
      </c>
      <c r="B1138" t="s">
        <v>1967</v>
      </c>
      <c r="C1138" s="3">
        <v>3.8</v>
      </c>
      <c r="D1138" s="3">
        <v>206</v>
      </c>
      <c r="E1138" t="s">
        <v>1968</v>
      </c>
      <c r="F1138" s="3">
        <v>19.0436497</v>
      </c>
      <c r="G1138">
        <v>72.864081400000003</v>
      </c>
      <c r="H1138">
        <f t="shared" si="85"/>
        <v>782.8</v>
      </c>
      <c r="I1138" s="3">
        <f t="shared" si="86"/>
        <v>5150</v>
      </c>
      <c r="J1138" s="1">
        <f t="shared" si="87"/>
        <v>350</v>
      </c>
      <c r="K1138" s="1">
        <f t="shared" si="88"/>
        <v>1802500</v>
      </c>
      <c r="L1138" s="2" t="str">
        <f t="shared" si="89"/>
        <v>Average</v>
      </c>
    </row>
    <row r="1139" spans="1:12" x14ac:dyDescent="0.3">
      <c r="A1139" t="s">
        <v>1893</v>
      </c>
      <c r="B1139" t="s">
        <v>1969</v>
      </c>
      <c r="C1139" s="3">
        <v>3.8</v>
      </c>
      <c r="D1139" s="3">
        <v>1540</v>
      </c>
      <c r="E1139" t="s">
        <v>1970</v>
      </c>
      <c r="F1139" s="3">
        <v>19.045499899999999</v>
      </c>
      <c r="G1139">
        <v>72.863466500000001</v>
      </c>
      <c r="H1139">
        <f t="shared" si="85"/>
        <v>5852</v>
      </c>
      <c r="I1139" s="3">
        <f t="shared" si="86"/>
        <v>38500</v>
      </c>
      <c r="J1139" s="1">
        <f t="shared" si="87"/>
        <v>350</v>
      </c>
      <c r="K1139" s="1">
        <f t="shared" si="88"/>
        <v>13475000</v>
      </c>
      <c r="L1139" s="2" t="str">
        <f t="shared" si="89"/>
        <v>Average</v>
      </c>
    </row>
    <row r="1140" spans="1:12" x14ac:dyDescent="0.3">
      <c r="A1140" t="s">
        <v>1893</v>
      </c>
      <c r="B1140" t="s">
        <v>1971</v>
      </c>
      <c r="C1140" s="3">
        <v>4.0999999999999996</v>
      </c>
      <c r="D1140" s="3">
        <v>887</v>
      </c>
      <c r="E1140" t="s">
        <v>1972</v>
      </c>
      <c r="F1140" s="3">
        <v>19.032011099999998</v>
      </c>
      <c r="G1140">
        <v>72.860050299999997</v>
      </c>
      <c r="H1140">
        <f t="shared" si="85"/>
        <v>3636.7</v>
      </c>
      <c r="I1140" s="3">
        <f t="shared" si="86"/>
        <v>22175</v>
      </c>
      <c r="J1140" s="1">
        <f t="shared" si="87"/>
        <v>350</v>
      </c>
      <c r="K1140" s="1">
        <f t="shared" si="88"/>
        <v>7761250</v>
      </c>
      <c r="L1140" s="2" t="str">
        <f t="shared" si="89"/>
        <v>Popular</v>
      </c>
    </row>
    <row r="1141" spans="1:12" x14ac:dyDescent="0.3">
      <c r="A1141" t="s">
        <v>1893</v>
      </c>
      <c r="B1141" t="s">
        <v>1973</v>
      </c>
      <c r="C1141" s="3">
        <v>4.0999999999999996</v>
      </c>
      <c r="D1141" s="3">
        <v>143</v>
      </c>
      <c r="E1141" t="s">
        <v>1974</v>
      </c>
      <c r="F1141" s="3">
        <v>19.0341123</v>
      </c>
      <c r="G1141">
        <v>72.862191699999997</v>
      </c>
      <c r="H1141">
        <f t="shared" si="85"/>
        <v>586.29999999999995</v>
      </c>
      <c r="I1141" s="3">
        <f t="shared" si="86"/>
        <v>3575</v>
      </c>
      <c r="J1141" s="1">
        <f t="shared" si="87"/>
        <v>350</v>
      </c>
      <c r="K1141" s="1">
        <f t="shared" si="88"/>
        <v>1251250</v>
      </c>
      <c r="L1141" s="2" t="str">
        <f t="shared" si="89"/>
        <v>Popular</v>
      </c>
    </row>
    <row r="1142" spans="1:12" x14ac:dyDescent="0.3">
      <c r="A1142" t="s">
        <v>1975</v>
      </c>
      <c r="B1142" t="s">
        <v>1976</v>
      </c>
      <c r="C1142" s="3">
        <v>4.7</v>
      </c>
      <c r="D1142" s="3">
        <v>341</v>
      </c>
      <c r="E1142" t="s">
        <v>1977</v>
      </c>
      <c r="F1142" s="3">
        <v>19.236003</v>
      </c>
      <c r="G1142">
        <v>72.970084</v>
      </c>
      <c r="H1142">
        <f t="shared" si="85"/>
        <v>1602.7</v>
      </c>
      <c r="I1142" s="3">
        <f t="shared" si="86"/>
        <v>8525</v>
      </c>
      <c r="J1142" s="1">
        <f t="shared" si="87"/>
        <v>550</v>
      </c>
      <c r="K1142" s="1">
        <f t="shared" si="88"/>
        <v>4688750</v>
      </c>
      <c r="L1142" s="2" t="str">
        <f t="shared" si="89"/>
        <v>Premium</v>
      </c>
    </row>
    <row r="1143" spans="1:12" x14ac:dyDescent="0.3">
      <c r="A1143" t="s">
        <v>1975</v>
      </c>
      <c r="B1143" t="s">
        <v>1978</v>
      </c>
      <c r="C1143" s="3">
        <v>4.3</v>
      </c>
      <c r="D1143" s="3">
        <v>3283</v>
      </c>
      <c r="E1143" t="s">
        <v>1979</v>
      </c>
      <c r="F1143" s="3">
        <v>19.2271027</v>
      </c>
      <c r="G1143">
        <v>72.973938199999907</v>
      </c>
      <c r="H1143">
        <f t="shared" si="85"/>
        <v>14116.9</v>
      </c>
      <c r="I1143" s="3">
        <f t="shared" si="86"/>
        <v>82075</v>
      </c>
      <c r="J1143" s="1">
        <f t="shared" si="87"/>
        <v>350</v>
      </c>
      <c r="K1143" s="1">
        <f t="shared" si="88"/>
        <v>28726250</v>
      </c>
      <c r="L1143" s="2" t="str">
        <f t="shared" si="89"/>
        <v>Popular</v>
      </c>
    </row>
    <row r="1144" spans="1:12" x14ac:dyDescent="0.3">
      <c r="A1144" t="s">
        <v>1975</v>
      </c>
      <c r="B1144" t="s">
        <v>1980</v>
      </c>
      <c r="C1144" s="3">
        <v>3.7</v>
      </c>
      <c r="D1144" s="3">
        <v>995</v>
      </c>
      <c r="E1144" t="s">
        <v>1981</v>
      </c>
      <c r="F1144" s="3">
        <v>19.187657600000001</v>
      </c>
      <c r="G1144">
        <v>72.960639799999996</v>
      </c>
      <c r="H1144">
        <f t="shared" si="85"/>
        <v>3681.5</v>
      </c>
      <c r="I1144" s="3">
        <f t="shared" si="86"/>
        <v>24875</v>
      </c>
      <c r="J1144" s="1">
        <f t="shared" si="87"/>
        <v>350</v>
      </c>
      <c r="K1144" s="1">
        <f t="shared" si="88"/>
        <v>8706250</v>
      </c>
      <c r="L1144" s="2" t="str">
        <f t="shared" si="89"/>
        <v>Average</v>
      </c>
    </row>
    <row r="1145" spans="1:12" x14ac:dyDescent="0.3">
      <c r="A1145" t="s">
        <v>1975</v>
      </c>
      <c r="B1145" t="s">
        <v>1982</v>
      </c>
      <c r="C1145" s="3">
        <v>4</v>
      </c>
      <c r="D1145" s="3">
        <v>2132</v>
      </c>
      <c r="E1145" t="s">
        <v>1983</v>
      </c>
      <c r="F1145" s="3">
        <v>19.189621299999999</v>
      </c>
      <c r="G1145">
        <v>72.965772799999996</v>
      </c>
      <c r="H1145">
        <f t="shared" si="85"/>
        <v>8528</v>
      </c>
      <c r="I1145" s="3">
        <f t="shared" si="86"/>
        <v>53300</v>
      </c>
      <c r="J1145" s="1">
        <f t="shared" si="87"/>
        <v>350</v>
      </c>
      <c r="K1145" s="1">
        <f t="shared" si="88"/>
        <v>18655000</v>
      </c>
      <c r="L1145" s="2" t="str">
        <f t="shared" si="89"/>
        <v>Popular</v>
      </c>
    </row>
    <row r="1146" spans="1:12" x14ac:dyDescent="0.3">
      <c r="A1146" t="s">
        <v>1975</v>
      </c>
      <c r="B1146" t="s">
        <v>1984</v>
      </c>
      <c r="C1146" s="3">
        <v>4.0999999999999996</v>
      </c>
      <c r="D1146" s="3">
        <v>942</v>
      </c>
      <c r="E1146" t="s">
        <v>1985</v>
      </c>
      <c r="F1146" s="3">
        <v>19.240100600000002</v>
      </c>
      <c r="G1146">
        <v>72.969297799999893</v>
      </c>
      <c r="H1146">
        <f t="shared" si="85"/>
        <v>3862.2</v>
      </c>
      <c r="I1146" s="3">
        <f t="shared" si="86"/>
        <v>23550</v>
      </c>
      <c r="J1146" s="1">
        <f t="shared" si="87"/>
        <v>350</v>
      </c>
      <c r="K1146" s="1">
        <f t="shared" si="88"/>
        <v>8242500</v>
      </c>
      <c r="L1146" s="2" t="str">
        <f t="shared" si="89"/>
        <v>Popular</v>
      </c>
    </row>
    <row r="1147" spans="1:12" x14ac:dyDescent="0.3">
      <c r="A1147" t="s">
        <v>1975</v>
      </c>
      <c r="B1147" t="s">
        <v>1986</v>
      </c>
      <c r="C1147" s="3">
        <v>4.5</v>
      </c>
      <c r="D1147" s="3">
        <v>463</v>
      </c>
      <c r="E1147" t="s">
        <v>1987</v>
      </c>
      <c r="F1147" s="3">
        <v>19.253601700000001</v>
      </c>
      <c r="G1147">
        <v>72.973418499999994</v>
      </c>
      <c r="H1147">
        <f t="shared" si="85"/>
        <v>2083.5</v>
      </c>
      <c r="I1147" s="3">
        <f t="shared" si="86"/>
        <v>11575</v>
      </c>
      <c r="J1147" s="1">
        <f t="shared" si="87"/>
        <v>450</v>
      </c>
      <c r="K1147" s="1">
        <f t="shared" si="88"/>
        <v>5208750</v>
      </c>
      <c r="L1147" s="2" t="str">
        <f t="shared" si="89"/>
        <v>Premium</v>
      </c>
    </row>
    <row r="1148" spans="1:12" x14ac:dyDescent="0.3">
      <c r="A1148" t="s">
        <v>1975</v>
      </c>
      <c r="B1148" t="s">
        <v>1988</v>
      </c>
      <c r="C1148" s="3">
        <v>4.2</v>
      </c>
      <c r="D1148" s="3">
        <v>10672</v>
      </c>
      <c r="E1148" t="s">
        <v>1989</v>
      </c>
      <c r="F1148" s="3">
        <v>19.1949817</v>
      </c>
      <c r="G1148">
        <v>72.976551799999996</v>
      </c>
      <c r="H1148">
        <f t="shared" si="85"/>
        <v>44822.400000000001</v>
      </c>
      <c r="I1148" s="3">
        <f t="shared" si="86"/>
        <v>266800</v>
      </c>
      <c r="J1148" s="1">
        <f t="shared" si="87"/>
        <v>350</v>
      </c>
      <c r="K1148" s="1">
        <f t="shared" si="88"/>
        <v>93380000</v>
      </c>
      <c r="L1148" s="2" t="str">
        <f t="shared" si="89"/>
        <v>Popular</v>
      </c>
    </row>
    <row r="1149" spans="1:12" x14ac:dyDescent="0.3">
      <c r="A1149" t="s">
        <v>1975</v>
      </c>
      <c r="B1149" t="s">
        <v>1990</v>
      </c>
      <c r="C1149" s="3">
        <v>4.4000000000000004</v>
      </c>
      <c r="D1149" s="3">
        <v>698</v>
      </c>
      <c r="E1149" t="s">
        <v>1991</v>
      </c>
      <c r="F1149" s="3">
        <v>19.244108700000002</v>
      </c>
      <c r="G1149">
        <v>72.995818999999997</v>
      </c>
      <c r="H1149">
        <f t="shared" si="85"/>
        <v>3071.2000000000003</v>
      </c>
      <c r="I1149" s="3">
        <f t="shared" si="86"/>
        <v>17450</v>
      </c>
      <c r="J1149" s="1">
        <f t="shared" si="87"/>
        <v>450</v>
      </c>
      <c r="K1149" s="1">
        <f t="shared" si="88"/>
        <v>7852500</v>
      </c>
      <c r="L1149" s="2" t="str">
        <f t="shared" si="89"/>
        <v>Popular</v>
      </c>
    </row>
    <row r="1150" spans="1:12" x14ac:dyDescent="0.3">
      <c r="A1150" t="s">
        <v>1975</v>
      </c>
      <c r="B1150" t="s">
        <v>1992</v>
      </c>
      <c r="C1150" s="3">
        <v>3.9</v>
      </c>
      <c r="D1150" s="3">
        <v>288</v>
      </c>
      <c r="E1150" t="s">
        <v>1993</v>
      </c>
      <c r="F1150" s="3">
        <v>19.192506099999999</v>
      </c>
      <c r="G1150">
        <v>72.976871299999999</v>
      </c>
      <c r="H1150">
        <f t="shared" si="85"/>
        <v>1123.2</v>
      </c>
      <c r="I1150" s="3">
        <f t="shared" si="86"/>
        <v>7200</v>
      </c>
      <c r="J1150" s="1">
        <f t="shared" si="87"/>
        <v>350</v>
      </c>
      <c r="K1150" s="1">
        <f t="shared" si="88"/>
        <v>2520000</v>
      </c>
      <c r="L1150" s="2" t="str">
        <f t="shared" si="89"/>
        <v>Average</v>
      </c>
    </row>
    <row r="1151" spans="1:12" x14ac:dyDescent="0.3">
      <c r="A1151" t="s">
        <v>1975</v>
      </c>
      <c r="B1151" t="s">
        <v>1994</v>
      </c>
      <c r="C1151" s="3">
        <v>4.3</v>
      </c>
      <c r="D1151" s="3">
        <v>520</v>
      </c>
      <c r="E1151" t="s">
        <v>1995</v>
      </c>
      <c r="F1151" s="3">
        <v>19.2162462</v>
      </c>
      <c r="G1151">
        <v>72.972896800000001</v>
      </c>
      <c r="H1151">
        <f t="shared" si="85"/>
        <v>2236</v>
      </c>
      <c r="I1151" s="3">
        <f t="shared" si="86"/>
        <v>13000</v>
      </c>
      <c r="J1151" s="1">
        <f t="shared" si="87"/>
        <v>350</v>
      </c>
      <c r="K1151" s="1">
        <f t="shared" si="88"/>
        <v>4550000</v>
      </c>
      <c r="L1151" s="2" t="str">
        <f t="shared" si="89"/>
        <v>Popular</v>
      </c>
    </row>
    <row r="1152" spans="1:12" x14ac:dyDescent="0.3">
      <c r="A1152" t="s">
        <v>1975</v>
      </c>
      <c r="B1152" t="s">
        <v>1996</v>
      </c>
      <c r="C1152" s="3">
        <v>4.3</v>
      </c>
      <c r="D1152" s="3">
        <v>1444</v>
      </c>
      <c r="E1152" t="s">
        <v>1997</v>
      </c>
      <c r="F1152" s="3">
        <v>19.1930549</v>
      </c>
      <c r="G1152">
        <v>72.967446100000004</v>
      </c>
      <c r="H1152">
        <f t="shared" si="85"/>
        <v>6209.2</v>
      </c>
      <c r="I1152" s="3">
        <f t="shared" si="86"/>
        <v>36100</v>
      </c>
      <c r="J1152" s="1">
        <f t="shared" si="87"/>
        <v>350</v>
      </c>
      <c r="K1152" s="1">
        <f t="shared" si="88"/>
        <v>12635000</v>
      </c>
      <c r="L1152" s="2" t="str">
        <f t="shared" si="89"/>
        <v>Popular</v>
      </c>
    </row>
    <row r="1153" spans="1:12" x14ac:dyDescent="0.3">
      <c r="A1153" t="s">
        <v>1975</v>
      </c>
      <c r="B1153" t="s">
        <v>1998</v>
      </c>
      <c r="C1153" s="3">
        <v>4.8</v>
      </c>
      <c r="D1153" s="3">
        <v>104</v>
      </c>
      <c r="E1153" t="s">
        <v>1999</v>
      </c>
      <c r="F1153" s="3">
        <v>19.227010100000001</v>
      </c>
      <c r="G1153">
        <v>72.973902499999994</v>
      </c>
      <c r="H1153">
        <f t="shared" si="85"/>
        <v>499.2</v>
      </c>
      <c r="I1153" s="3">
        <f t="shared" si="86"/>
        <v>2600</v>
      </c>
      <c r="J1153" s="1">
        <f t="shared" si="87"/>
        <v>550</v>
      </c>
      <c r="K1153" s="1">
        <f t="shared" si="88"/>
        <v>1430000</v>
      </c>
      <c r="L1153" s="2" t="str">
        <f t="shared" si="89"/>
        <v>Premium</v>
      </c>
    </row>
    <row r="1154" spans="1:12" x14ac:dyDescent="0.3">
      <c r="A1154" t="s">
        <v>1975</v>
      </c>
      <c r="B1154" t="s">
        <v>2000</v>
      </c>
      <c r="C1154" s="3">
        <v>4</v>
      </c>
      <c r="D1154" s="3">
        <v>86</v>
      </c>
      <c r="E1154" t="s">
        <v>2001</v>
      </c>
      <c r="F1154" s="3">
        <v>19.1886945</v>
      </c>
      <c r="G1154">
        <v>72.954631800000001</v>
      </c>
      <c r="H1154">
        <f t="shared" ref="H1154:H1201" si="90">C1154*D1154</f>
        <v>344</v>
      </c>
      <c r="I1154" s="3">
        <f t="shared" ref="I1154:I1201" si="91">D1154*25</f>
        <v>2150</v>
      </c>
      <c r="J1154" s="1">
        <f t="shared" ref="J1154:J1201" si="92">IF(C1154&gt;=4.7,550,IF(C1154&gt;=4.4,450,IF(C1154&gt;=O1156,350,250)))</f>
        <v>350</v>
      </c>
      <c r="K1154" s="1">
        <f t="shared" ref="K1154:K1201" si="93">I1154*J1154</f>
        <v>752500</v>
      </c>
      <c r="L1154" s="2" t="str">
        <f t="shared" ref="L1154:L1201" si="94">IF(C1154&gt;=4.5,"Premium",IF(C1154&gt;=4,"Popular","Average"))</f>
        <v>Popular</v>
      </c>
    </row>
    <row r="1155" spans="1:12" x14ac:dyDescent="0.3">
      <c r="A1155" t="s">
        <v>1975</v>
      </c>
      <c r="B1155" t="s">
        <v>2002</v>
      </c>
      <c r="C1155" s="3">
        <v>4.4000000000000004</v>
      </c>
      <c r="D1155" s="3">
        <v>260</v>
      </c>
      <c r="E1155" t="s">
        <v>2003</v>
      </c>
      <c r="F1155" s="3">
        <v>19.250929599999999</v>
      </c>
      <c r="G1155">
        <v>72.981668099999993</v>
      </c>
      <c r="H1155">
        <f t="shared" si="90"/>
        <v>1144</v>
      </c>
      <c r="I1155" s="3">
        <f t="shared" si="91"/>
        <v>6500</v>
      </c>
      <c r="J1155" s="1">
        <f t="shared" si="92"/>
        <v>450</v>
      </c>
      <c r="K1155" s="1">
        <f t="shared" si="93"/>
        <v>2925000</v>
      </c>
      <c r="L1155" s="2" t="str">
        <f t="shared" si="94"/>
        <v>Popular</v>
      </c>
    </row>
    <row r="1156" spans="1:12" x14ac:dyDescent="0.3">
      <c r="A1156" t="s">
        <v>1975</v>
      </c>
      <c r="B1156" t="s">
        <v>2004</v>
      </c>
      <c r="C1156" s="3">
        <v>4.5999999999999996</v>
      </c>
      <c r="D1156" s="3">
        <v>318</v>
      </c>
      <c r="E1156" t="s">
        <v>2005</v>
      </c>
      <c r="F1156" s="3">
        <v>19.204369499999999</v>
      </c>
      <c r="G1156">
        <v>72.969797299999996</v>
      </c>
      <c r="H1156">
        <f t="shared" si="90"/>
        <v>1462.8</v>
      </c>
      <c r="I1156" s="3">
        <f t="shared" si="91"/>
        <v>7950</v>
      </c>
      <c r="J1156" s="1">
        <f t="shared" si="92"/>
        <v>450</v>
      </c>
      <c r="K1156" s="1">
        <f t="shared" si="93"/>
        <v>3577500</v>
      </c>
      <c r="L1156" s="2" t="str">
        <f t="shared" si="94"/>
        <v>Premium</v>
      </c>
    </row>
    <row r="1157" spans="1:12" x14ac:dyDescent="0.3">
      <c r="A1157" t="s">
        <v>1975</v>
      </c>
      <c r="B1157" t="s">
        <v>1166</v>
      </c>
      <c r="C1157" s="3">
        <v>4.5</v>
      </c>
      <c r="D1157" s="3">
        <v>514</v>
      </c>
      <c r="E1157" t="s">
        <v>1167</v>
      </c>
      <c r="F1157" s="3">
        <v>19.191727199999999</v>
      </c>
      <c r="G1157">
        <v>72.954816600000001</v>
      </c>
      <c r="H1157">
        <f t="shared" si="90"/>
        <v>2313</v>
      </c>
      <c r="I1157" s="3">
        <f t="shared" si="91"/>
        <v>12850</v>
      </c>
      <c r="J1157" s="1">
        <f t="shared" si="92"/>
        <v>450</v>
      </c>
      <c r="K1157" s="1">
        <f t="shared" si="93"/>
        <v>5782500</v>
      </c>
      <c r="L1157" s="2" t="str">
        <f t="shared" si="94"/>
        <v>Premium</v>
      </c>
    </row>
    <row r="1158" spans="1:12" x14ac:dyDescent="0.3">
      <c r="A1158" t="s">
        <v>1975</v>
      </c>
      <c r="B1158" t="s">
        <v>2006</v>
      </c>
      <c r="C1158" s="3">
        <v>4.8</v>
      </c>
      <c r="D1158" s="3">
        <v>433</v>
      </c>
      <c r="E1158" t="s">
        <v>2007</v>
      </c>
      <c r="F1158" s="3">
        <v>19.227101000000001</v>
      </c>
      <c r="G1158">
        <v>72.9705479</v>
      </c>
      <c r="H1158">
        <f t="shared" si="90"/>
        <v>2078.4</v>
      </c>
      <c r="I1158" s="3">
        <f t="shared" si="91"/>
        <v>10825</v>
      </c>
      <c r="J1158" s="1">
        <f t="shared" si="92"/>
        <v>550</v>
      </c>
      <c r="K1158" s="1">
        <f t="shared" si="93"/>
        <v>5953750</v>
      </c>
      <c r="L1158" s="2" t="str">
        <f t="shared" si="94"/>
        <v>Premium</v>
      </c>
    </row>
    <row r="1159" spans="1:12" x14ac:dyDescent="0.3">
      <c r="A1159" t="s">
        <v>1975</v>
      </c>
      <c r="B1159" t="s">
        <v>2008</v>
      </c>
      <c r="C1159" s="3">
        <v>4</v>
      </c>
      <c r="D1159" s="3">
        <v>1842</v>
      </c>
      <c r="E1159" t="s">
        <v>2009</v>
      </c>
      <c r="F1159" s="3">
        <v>19.192499300000001</v>
      </c>
      <c r="G1159">
        <v>72.971007999999998</v>
      </c>
      <c r="H1159">
        <f t="shared" si="90"/>
        <v>7368</v>
      </c>
      <c r="I1159" s="3">
        <f t="shared" si="91"/>
        <v>46050</v>
      </c>
      <c r="J1159" s="1">
        <f t="shared" si="92"/>
        <v>350</v>
      </c>
      <c r="K1159" s="1">
        <f t="shared" si="93"/>
        <v>16117500</v>
      </c>
      <c r="L1159" s="2" t="str">
        <f t="shared" si="94"/>
        <v>Popular</v>
      </c>
    </row>
    <row r="1160" spans="1:12" x14ac:dyDescent="0.3">
      <c r="A1160" t="s">
        <v>1975</v>
      </c>
      <c r="B1160" t="s">
        <v>2010</v>
      </c>
      <c r="C1160" s="3">
        <v>4.3</v>
      </c>
      <c r="D1160" s="3">
        <v>1158</v>
      </c>
      <c r="E1160" t="s">
        <v>2011</v>
      </c>
      <c r="F1160" s="3">
        <v>19.255773699999999</v>
      </c>
      <c r="G1160">
        <v>72.983936200000002</v>
      </c>
      <c r="H1160">
        <f t="shared" si="90"/>
        <v>4979.3999999999996</v>
      </c>
      <c r="I1160" s="3">
        <f t="shared" si="91"/>
        <v>28950</v>
      </c>
      <c r="J1160" s="1">
        <f t="shared" si="92"/>
        <v>350</v>
      </c>
      <c r="K1160" s="1">
        <f t="shared" si="93"/>
        <v>10132500</v>
      </c>
      <c r="L1160" s="2" t="str">
        <f t="shared" si="94"/>
        <v>Popular</v>
      </c>
    </row>
    <row r="1161" spans="1:12" x14ac:dyDescent="0.3">
      <c r="A1161" t="s">
        <v>1975</v>
      </c>
      <c r="B1161" t="s">
        <v>2012</v>
      </c>
      <c r="C1161" s="3">
        <v>4.5999999999999996</v>
      </c>
      <c r="D1161" s="3">
        <v>840</v>
      </c>
      <c r="E1161" t="s">
        <v>2013</v>
      </c>
      <c r="F1161" s="3">
        <v>19.197184199999999</v>
      </c>
      <c r="G1161">
        <v>72.955520899999996</v>
      </c>
      <c r="H1161">
        <f t="shared" si="90"/>
        <v>3863.9999999999995</v>
      </c>
      <c r="I1161" s="3">
        <f t="shared" si="91"/>
        <v>21000</v>
      </c>
      <c r="J1161" s="1">
        <f t="shared" si="92"/>
        <v>450</v>
      </c>
      <c r="K1161" s="1">
        <f t="shared" si="93"/>
        <v>9450000</v>
      </c>
      <c r="L1161" s="2" t="str">
        <f t="shared" si="94"/>
        <v>Premium</v>
      </c>
    </row>
    <row r="1162" spans="1:12" x14ac:dyDescent="0.3">
      <c r="A1162" t="s">
        <v>1975</v>
      </c>
      <c r="B1162" t="s">
        <v>2014</v>
      </c>
      <c r="C1162" s="3">
        <v>4.0999999999999996</v>
      </c>
      <c r="D1162" s="3">
        <v>742</v>
      </c>
      <c r="E1162" t="s">
        <v>2015</v>
      </c>
      <c r="F1162" s="3">
        <v>19.187557000000002</v>
      </c>
      <c r="G1162">
        <v>72.969451699999993</v>
      </c>
      <c r="H1162">
        <f t="shared" si="90"/>
        <v>3042.2</v>
      </c>
      <c r="I1162" s="3">
        <f t="shared" si="91"/>
        <v>18550</v>
      </c>
      <c r="J1162" s="1">
        <f t="shared" si="92"/>
        <v>350</v>
      </c>
      <c r="K1162" s="1">
        <f t="shared" si="93"/>
        <v>6492500</v>
      </c>
      <c r="L1162" s="2" t="str">
        <f t="shared" si="94"/>
        <v>Popular</v>
      </c>
    </row>
    <row r="1163" spans="1:12" x14ac:dyDescent="0.3">
      <c r="A1163" t="s">
        <v>1975</v>
      </c>
      <c r="B1163" t="s">
        <v>2016</v>
      </c>
      <c r="C1163" s="3">
        <v>4.5999999999999996</v>
      </c>
      <c r="D1163" s="3">
        <v>175</v>
      </c>
      <c r="E1163" t="s">
        <v>2017</v>
      </c>
      <c r="F1163" s="3">
        <v>19.189751300000001</v>
      </c>
      <c r="G1163">
        <v>72.965825299999906</v>
      </c>
      <c r="H1163">
        <f t="shared" si="90"/>
        <v>804.99999999999989</v>
      </c>
      <c r="I1163" s="3">
        <f t="shared" si="91"/>
        <v>4375</v>
      </c>
      <c r="J1163" s="1">
        <f t="shared" si="92"/>
        <v>450</v>
      </c>
      <c r="K1163" s="1">
        <f t="shared" si="93"/>
        <v>1968750</v>
      </c>
      <c r="L1163" s="2" t="str">
        <f t="shared" si="94"/>
        <v>Premium</v>
      </c>
    </row>
    <row r="1164" spans="1:12" x14ac:dyDescent="0.3">
      <c r="A1164" t="s">
        <v>1975</v>
      </c>
      <c r="B1164" t="s">
        <v>53</v>
      </c>
      <c r="C1164" s="3">
        <v>4.8</v>
      </c>
      <c r="D1164" s="3">
        <v>714</v>
      </c>
      <c r="E1164" t="s">
        <v>2018</v>
      </c>
      <c r="F1164" s="3">
        <v>19.2086994</v>
      </c>
      <c r="G1164">
        <v>72.971461599999998</v>
      </c>
      <c r="H1164">
        <f t="shared" si="90"/>
        <v>3427.2</v>
      </c>
      <c r="I1164" s="3">
        <f t="shared" si="91"/>
        <v>17850</v>
      </c>
      <c r="J1164" s="1">
        <f t="shared" si="92"/>
        <v>550</v>
      </c>
      <c r="K1164" s="1">
        <f t="shared" si="93"/>
        <v>9817500</v>
      </c>
      <c r="L1164" s="2" t="str">
        <f t="shared" si="94"/>
        <v>Premium</v>
      </c>
    </row>
    <row r="1165" spans="1:12" x14ac:dyDescent="0.3">
      <c r="A1165" t="s">
        <v>1975</v>
      </c>
      <c r="B1165" t="s">
        <v>2019</v>
      </c>
      <c r="C1165" s="3">
        <v>4.5</v>
      </c>
      <c r="D1165" s="3">
        <v>559</v>
      </c>
      <c r="E1165" t="s">
        <v>2020</v>
      </c>
      <c r="F1165" s="3">
        <v>19.2056881</v>
      </c>
      <c r="G1165">
        <v>72.977210499999998</v>
      </c>
      <c r="H1165">
        <f t="shared" si="90"/>
        <v>2515.5</v>
      </c>
      <c r="I1165" s="3">
        <f t="shared" si="91"/>
        <v>13975</v>
      </c>
      <c r="J1165" s="1">
        <f t="shared" si="92"/>
        <v>450</v>
      </c>
      <c r="K1165" s="1">
        <f t="shared" si="93"/>
        <v>6288750</v>
      </c>
      <c r="L1165" s="2" t="str">
        <f t="shared" si="94"/>
        <v>Premium</v>
      </c>
    </row>
    <row r="1166" spans="1:12" x14ac:dyDescent="0.3">
      <c r="A1166" t="s">
        <v>1975</v>
      </c>
      <c r="B1166" t="s">
        <v>2021</v>
      </c>
      <c r="C1166" s="3">
        <v>4.4000000000000004</v>
      </c>
      <c r="D1166" s="3">
        <v>795</v>
      </c>
      <c r="E1166" t="s">
        <v>2022</v>
      </c>
      <c r="F1166" s="3">
        <v>19.231204000000002</v>
      </c>
      <c r="G1166">
        <v>72.977219199999993</v>
      </c>
      <c r="H1166">
        <f t="shared" si="90"/>
        <v>3498.0000000000005</v>
      </c>
      <c r="I1166" s="3">
        <f t="shared" si="91"/>
        <v>19875</v>
      </c>
      <c r="J1166" s="1">
        <f t="shared" si="92"/>
        <v>450</v>
      </c>
      <c r="K1166" s="1">
        <f t="shared" si="93"/>
        <v>8943750</v>
      </c>
      <c r="L1166" s="2" t="str">
        <f t="shared" si="94"/>
        <v>Popular</v>
      </c>
    </row>
    <row r="1167" spans="1:12" x14ac:dyDescent="0.3">
      <c r="A1167" t="s">
        <v>1975</v>
      </c>
      <c r="B1167" t="s">
        <v>2023</v>
      </c>
      <c r="C1167" s="3">
        <v>4.7</v>
      </c>
      <c r="D1167" s="3">
        <v>170</v>
      </c>
      <c r="E1167" t="s">
        <v>2024</v>
      </c>
      <c r="F1167" s="3">
        <v>19.232445299999998</v>
      </c>
      <c r="G1167">
        <v>72.971576299999995</v>
      </c>
      <c r="H1167">
        <f t="shared" si="90"/>
        <v>799</v>
      </c>
      <c r="I1167" s="3">
        <f t="shared" si="91"/>
        <v>4250</v>
      </c>
      <c r="J1167" s="1">
        <f t="shared" si="92"/>
        <v>550</v>
      </c>
      <c r="K1167" s="1">
        <f t="shared" si="93"/>
        <v>2337500</v>
      </c>
      <c r="L1167" s="2" t="str">
        <f t="shared" si="94"/>
        <v>Premium</v>
      </c>
    </row>
    <row r="1168" spans="1:12" x14ac:dyDescent="0.3">
      <c r="A1168" t="s">
        <v>1975</v>
      </c>
      <c r="B1168" t="s">
        <v>2025</v>
      </c>
      <c r="C1168" s="3">
        <v>4.8</v>
      </c>
      <c r="D1168" s="3">
        <v>27</v>
      </c>
      <c r="E1168" t="s">
        <v>2026</v>
      </c>
      <c r="F1168" s="3">
        <v>19.226470500000001</v>
      </c>
      <c r="G1168">
        <v>72.970475199999996</v>
      </c>
      <c r="H1168">
        <f t="shared" si="90"/>
        <v>129.6</v>
      </c>
      <c r="I1168" s="3">
        <f t="shared" si="91"/>
        <v>675</v>
      </c>
      <c r="J1168" s="1">
        <f t="shared" si="92"/>
        <v>550</v>
      </c>
      <c r="K1168" s="1">
        <f t="shared" si="93"/>
        <v>371250</v>
      </c>
      <c r="L1168" s="2" t="str">
        <f t="shared" si="94"/>
        <v>Premium</v>
      </c>
    </row>
    <row r="1169" spans="1:12" x14ac:dyDescent="0.3">
      <c r="A1169" t="s">
        <v>1975</v>
      </c>
      <c r="B1169" t="s">
        <v>2027</v>
      </c>
      <c r="C1169" s="3">
        <v>4.4000000000000004</v>
      </c>
      <c r="D1169" s="3">
        <v>1095</v>
      </c>
      <c r="E1169" t="s">
        <v>2028</v>
      </c>
      <c r="F1169" s="3">
        <v>19.255536800000002</v>
      </c>
      <c r="G1169">
        <v>72.983393800000002</v>
      </c>
      <c r="H1169">
        <f t="shared" si="90"/>
        <v>4818</v>
      </c>
      <c r="I1169" s="3">
        <f t="shared" si="91"/>
        <v>27375</v>
      </c>
      <c r="J1169" s="1">
        <f t="shared" si="92"/>
        <v>450</v>
      </c>
      <c r="K1169" s="1">
        <f t="shared" si="93"/>
        <v>12318750</v>
      </c>
      <c r="L1169" s="2" t="str">
        <f t="shared" si="94"/>
        <v>Popular</v>
      </c>
    </row>
    <row r="1170" spans="1:12" x14ac:dyDescent="0.3">
      <c r="A1170" t="s">
        <v>1975</v>
      </c>
      <c r="B1170" t="s">
        <v>2029</v>
      </c>
      <c r="C1170" s="3">
        <v>4.3</v>
      </c>
      <c r="D1170" s="3">
        <v>164</v>
      </c>
      <c r="E1170" t="s">
        <v>2030</v>
      </c>
      <c r="F1170" s="3">
        <v>19.228470999999999</v>
      </c>
      <c r="G1170">
        <v>72.972144099999994</v>
      </c>
      <c r="H1170">
        <f t="shared" si="90"/>
        <v>705.19999999999993</v>
      </c>
      <c r="I1170" s="3">
        <f t="shared" si="91"/>
        <v>4100</v>
      </c>
      <c r="J1170" s="1">
        <f t="shared" si="92"/>
        <v>350</v>
      </c>
      <c r="K1170" s="1">
        <f t="shared" si="93"/>
        <v>1435000</v>
      </c>
      <c r="L1170" s="2" t="str">
        <f t="shared" si="94"/>
        <v>Popular</v>
      </c>
    </row>
    <row r="1171" spans="1:12" x14ac:dyDescent="0.3">
      <c r="A1171" t="s">
        <v>1975</v>
      </c>
      <c r="B1171" t="s">
        <v>1076</v>
      </c>
      <c r="C1171" s="3">
        <v>4.4000000000000004</v>
      </c>
      <c r="D1171" s="3">
        <v>3200</v>
      </c>
      <c r="E1171" t="s">
        <v>2031</v>
      </c>
      <c r="F1171" s="3">
        <v>19.226272900000001</v>
      </c>
      <c r="G1171">
        <v>72.970444499999999</v>
      </c>
      <c r="H1171">
        <f t="shared" si="90"/>
        <v>14080.000000000002</v>
      </c>
      <c r="I1171" s="3">
        <f t="shared" si="91"/>
        <v>80000</v>
      </c>
      <c r="J1171" s="1">
        <f t="shared" si="92"/>
        <v>450</v>
      </c>
      <c r="K1171" s="1">
        <f t="shared" si="93"/>
        <v>36000000</v>
      </c>
      <c r="L1171" s="2" t="str">
        <f t="shared" si="94"/>
        <v>Popular</v>
      </c>
    </row>
    <row r="1172" spans="1:12" x14ac:dyDescent="0.3">
      <c r="A1172" t="s">
        <v>1975</v>
      </c>
      <c r="B1172" t="s">
        <v>2032</v>
      </c>
      <c r="C1172" s="3">
        <v>4.7</v>
      </c>
      <c r="D1172" s="3">
        <v>196</v>
      </c>
      <c r="E1172" t="s">
        <v>2033</v>
      </c>
      <c r="F1172" s="3">
        <v>19.2674612</v>
      </c>
      <c r="G1172">
        <v>72.967325500000001</v>
      </c>
      <c r="H1172">
        <f t="shared" si="90"/>
        <v>921.2</v>
      </c>
      <c r="I1172" s="3">
        <f t="shared" si="91"/>
        <v>4900</v>
      </c>
      <c r="J1172" s="1">
        <f t="shared" si="92"/>
        <v>550</v>
      </c>
      <c r="K1172" s="1">
        <f t="shared" si="93"/>
        <v>2695000</v>
      </c>
      <c r="L1172" s="2" t="str">
        <f t="shared" si="94"/>
        <v>Premium</v>
      </c>
    </row>
    <row r="1173" spans="1:12" x14ac:dyDescent="0.3">
      <c r="A1173" t="s">
        <v>1975</v>
      </c>
      <c r="B1173" t="s">
        <v>2034</v>
      </c>
      <c r="C1173" s="3">
        <v>4.4000000000000004</v>
      </c>
      <c r="D1173" s="3">
        <v>314</v>
      </c>
      <c r="E1173" t="s">
        <v>2035</v>
      </c>
      <c r="F1173" s="3">
        <v>19.260932499999999</v>
      </c>
      <c r="G1173">
        <v>72.985196199999905</v>
      </c>
      <c r="H1173">
        <f t="shared" si="90"/>
        <v>1381.6000000000001</v>
      </c>
      <c r="I1173" s="3">
        <f t="shared" si="91"/>
        <v>7850</v>
      </c>
      <c r="J1173" s="1">
        <f t="shared" si="92"/>
        <v>450</v>
      </c>
      <c r="K1173" s="1">
        <f t="shared" si="93"/>
        <v>3532500</v>
      </c>
      <c r="L1173" s="2" t="str">
        <f t="shared" si="94"/>
        <v>Popular</v>
      </c>
    </row>
    <row r="1174" spans="1:12" x14ac:dyDescent="0.3">
      <c r="A1174" t="s">
        <v>1975</v>
      </c>
      <c r="B1174" t="s">
        <v>2036</v>
      </c>
      <c r="C1174" s="3">
        <v>4.5</v>
      </c>
      <c r="D1174" s="3">
        <v>124</v>
      </c>
      <c r="E1174" t="s">
        <v>2037</v>
      </c>
      <c r="F1174" s="3">
        <v>19.224918800000001</v>
      </c>
      <c r="G1174">
        <v>72.975511599999905</v>
      </c>
      <c r="H1174">
        <f t="shared" si="90"/>
        <v>558</v>
      </c>
      <c r="I1174" s="3">
        <f t="shared" si="91"/>
        <v>3100</v>
      </c>
      <c r="J1174" s="1">
        <f t="shared" si="92"/>
        <v>450</v>
      </c>
      <c r="K1174" s="1">
        <f t="shared" si="93"/>
        <v>1395000</v>
      </c>
      <c r="L1174" s="2" t="str">
        <f t="shared" si="94"/>
        <v>Premium</v>
      </c>
    </row>
    <row r="1175" spans="1:12" x14ac:dyDescent="0.3">
      <c r="A1175" t="s">
        <v>1975</v>
      </c>
      <c r="B1175" t="s">
        <v>2038</v>
      </c>
      <c r="C1175" s="3">
        <v>4.5999999999999996</v>
      </c>
      <c r="D1175" s="3">
        <v>163</v>
      </c>
      <c r="E1175" t="s">
        <v>2039</v>
      </c>
      <c r="F1175" s="3">
        <v>19.189713300000001</v>
      </c>
      <c r="G1175">
        <v>72.976278899999997</v>
      </c>
      <c r="H1175">
        <f t="shared" si="90"/>
        <v>749.8</v>
      </c>
      <c r="I1175" s="3">
        <f t="shared" si="91"/>
        <v>4075</v>
      </c>
      <c r="J1175" s="1">
        <f t="shared" si="92"/>
        <v>450</v>
      </c>
      <c r="K1175" s="1">
        <f t="shared" si="93"/>
        <v>1833750</v>
      </c>
      <c r="L1175" s="2" t="str">
        <f t="shared" si="94"/>
        <v>Premium</v>
      </c>
    </row>
    <row r="1176" spans="1:12" x14ac:dyDescent="0.3">
      <c r="A1176" t="s">
        <v>1975</v>
      </c>
      <c r="B1176" t="s">
        <v>128</v>
      </c>
      <c r="C1176" s="3">
        <v>4.4000000000000004</v>
      </c>
      <c r="D1176" s="3">
        <v>2740</v>
      </c>
      <c r="E1176" t="s">
        <v>2040</v>
      </c>
      <c r="F1176" s="3">
        <v>19.255120000000002</v>
      </c>
      <c r="G1176">
        <v>72.984193300000001</v>
      </c>
      <c r="H1176">
        <f t="shared" si="90"/>
        <v>12056.000000000002</v>
      </c>
      <c r="I1176" s="3">
        <f t="shared" si="91"/>
        <v>68500</v>
      </c>
      <c r="J1176" s="1">
        <f t="shared" si="92"/>
        <v>450</v>
      </c>
      <c r="K1176" s="1">
        <f t="shared" si="93"/>
        <v>30825000</v>
      </c>
      <c r="L1176" s="2" t="str">
        <f t="shared" si="94"/>
        <v>Popular</v>
      </c>
    </row>
    <row r="1177" spans="1:12" x14ac:dyDescent="0.3">
      <c r="A1177" t="s">
        <v>1975</v>
      </c>
      <c r="B1177" t="s">
        <v>2041</v>
      </c>
      <c r="C1177" s="3">
        <v>4.5999999999999996</v>
      </c>
      <c r="D1177" s="3">
        <v>128</v>
      </c>
      <c r="E1177" t="s">
        <v>2042</v>
      </c>
      <c r="F1177" s="3">
        <v>19.2272322</v>
      </c>
      <c r="G1177">
        <v>72.970379199999996</v>
      </c>
      <c r="H1177">
        <f t="shared" si="90"/>
        <v>588.79999999999995</v>
      </c>
      <c r="I1177" s="3">
        <f t="shared" si="91"/>
        <v>3200</v>
      </c>
      <c r="J1177" s="1">
        <f t="shared" si="92"/>
        <v>450</v>
      </c>
      <c r="K1177" s="1">
        <f t="shared" si="93"/>
        <v>1440000</v>
      </c>
      <c r="L1177" s="2" t="str">
        <f t="shared" si="94"/>
        <v>Premium</v>
      </c>
    </row>
    <row r="1178" spans="1:12" x14ac:dyDescent="0.3">
      <c r="A1178" t="s">
        <v>1975</v>
      </c>
      <c r="B1178" t="s">
        <v>2043</v>
      </c>
      <c r="C1178" s="3">
        <v>4.4000000000000004</v>
      </c>
      <c r="D1178" s="3">
        <v>251</v>
      </c>
      <c r="E1178" t="s">
        <v>2044</v>
      </c>
      <c r="F1178" s="3">
        <v>19.233571999999999</v>
      </c>
      <c r="G1178">
        <v>72.969427499999995</v>
      </c>
      <c r="H1178">
        <f t="shared" si="90"/>
        <v>1104.4000000000001</v>
      </c>
      <c r="I1178" s="3">
        <f t="shared" si="91"/>
        <v>6275</v>
      </c>
      <c r="J1178" s="1">
        <f t="shared" si="92"/>
        <v>450</v>
      </c>
      <c r="K1178" s="1">
        <f t="shared" si="93"/>
        <v>2823750</v>
      </c>
      <c r="L1178" s="2" t="str">
        <f t="shared" si="94"/>
        <v>Popular</v>
      </c>
    </row>
    <row r="1179" spans="1:12" x14ac:dyDescent="0.3">
      <c r="A1179" t="s">
        <v>1975</v>
      </c>
      <c r="B1179" t="s">
        <v>433</v>
      </c>
      <c r="C1179" s="3">
        <v>3.8</v>
      </c>
      <c r="D1179" s="3">
        <v>640</v>
      </c>
      <c r="E1179" t="s">
        <v>2045</v>
      </c>
      <c r="F1179" s="3">
        <v>19.2087407</v>
      </c>
      <c r="G1179">
        <v>72.971464900000001</v>
      </c>
      <c r="H1179">
        <f t="shared" si="90"/>
        <v>2432</v>
      </c>
      <c r="I1179" s="3">
        <f t="shared" si="91"/>
        <v>16000</v>
      </c>
      <c r="J1179" s="1">
        <f t="shared" si="92"/>
        <v>350</v>
      </c>
      <c r="K1179" s="1">
        <f t="shared" si="93"/>
        <v>5600000</v>
      </c>
      <c r="L1179" s="2" t="str">
        <f t="shared" si="94"/>
        <v>Average</v>
      </c>
    </row>
    <row r="1180" spans="1:12" x14ac:dyDescent="0.3">
      <c r="A1180" t="s">
        <v>1975</v>
      </c>
      <c r="B1180" t="s">
        <v>2046</v>
      </c>
      <c r="C1180" s="3">
        <v>4.3</v>
      </c>
      <c r="D1180" s="3">
        <v>153</v>
      </c>
      <c r="E1180" t="s">
        <v>2047</v>
      </c>
      <c r="F1180" s="3">
        <v>19.240196900000001</v>
      </c>
      <c r="G1180">
        <v>72.969308099999907</v>
      </c>
      <c r="H1180">
        <f t="shared" si="90"/>
        <v>657.9</v>
      </c>
      <c r="I1180" s="3">
        <f t="shared" si="91"/>
        <v>3825</v>
      </c>
      <c r="J1180" s="1">
        <f t="shared" si="92"/>
        <v>350</v>
      </c>
      <c r="K1180" s="1">
        <f t="shared" si="93"/>
        <v>1338750</v>
      </c>
      <c r="L1180" s="2" t="str">
        <f t="shared" si="94"/>
        <v>Popular</v>
      </c>
    </row>
    <row r="1181" spans="1:12" x14ac:dyDescent="0.3">
      <c r="A1181" t="s">
        <v>1975</v>
      </c>
      <c r="B1181" t="s">
        <v>2048</v>
      </c>
      <c r="C1181" s="3">
        <v>4.3</v>
      </c>
      <c r="D1181" s="3">
        <v>49</v>
      </c>
      <c r="E1181" t="s">
        <v>2049</v>
      </c>
      <c r="F1181" s="3">
        <v>19.223208</v>
      </c>
      <c r="G1181">
        <v>72.978978900000001</v>
      </c>
      <c r="H1181">
        <f t="shared" si="90"/>
        <v>210.7</v>
      </c>
      <c r="I1181" s="3">
        <f t="shared" si="91"/>
        <v>1225</v>
      </c>
      <c r="J1181" s="1">
        <f t="shared" si="92"/>
        <v>350</v>
      </c>
      <c r="K1181" s="1">
        <f t="shared" si="93"/>
        <v>428750</v>
      </c>
      <c r="L1181" s="2" t="str">
        <f t="shared" si="94"/>
        <v>Popular</v>
      </c>
    </row>
    <row r="1182" spans="1:12" x14ac:dyDescent="0.3">
      <c r="A1182" t="s">
        <v>1975</v>
      </c>
      <c r="B1182" t="s">
        <v>2050</v>
      </c>
      <c r="C1182" s="3">
        <v>5</v>
      </c>
      <c r="D1182" s="3">
        <v>50</v>
      </c>
      <c r="E1182" t="s">
        <v>2051</v>
      </c>
      <c r="F1182" s="3">
        <v>19.220536200000002</v>
      </c>
      <c r="G1182">
        <v>72.953458999999995</v>
      </c>
      <c r="H1182">
        <f t="shared" si="90"/>
        <v>250</v>
      </c>
      <c r="I1182" s="3">
        <f t="shared" si="91"/>
        <v>1250</v>
      </c>
      <c r="J1182" s="1">
        <f t="shared" si="92"/>
        <v>550</v>
      </c>
      <c r="K1182" s="1">
        <f t="shared" si="93"/>
        <v>687500</v>
      </c>
      <c r="L1182" s="2" t="str">
        <f t="shared" si="94"/>
        <v>Premium</v>
      </c>
    </row>
    <row r="1183" spans="1:12" x14ac:dyDescent="0.3">
      <c r="A1183" t="s">
        <v>1975</v>
      </c>
      <c r="B1183" t="s">
        <v>2052</v>
      </c>
      <c r="C1183" s="3">
        <v>4.5999999999999996</v>
      </c>
      <c r="D1183" s="3">
        <v>45</v>
      </c>
      <c r="E1183" t="s">
        <v>2053</v>
      </c>
      <c r="F1183" s="3">
        <v>19.191551199999999</v>
      </c>
      <c r="G1183">
        <v>72.968378299999998</v>
      </c>
      <c r="H1183">
        <f t="shared" si="90"/>
        <v>206.99999999999997</v>
      </c>
      <c r="I1183" s="3">
        <f t="shared" si="91"/>
        <v>1125</v>
      </c>
      <c r="J1183" s="1">
        <f t="shared" si="92"/>
        <v>450</v>
      </c>
      <c r="K1183" s="1">
        <f t="shared" si="93"/>
        <v>506250</v>
      </c>
      <c r="L1183" s="2" t="str">
        <f t="shared" si="94"/>
        <v>Premium</v>
      </c>
    </row>
    <row r="1184" spans="1:12" x14ac:dyDescent="0.3">
      <c r="A1184" t="s">
        <v>1975</v>
      </c>
      <c r="B1184" t="s">
        <v>2054</v>
      </c>
      <c r="C1184" s="3">
        <v>4.5999999999999996</v>
      </c>
      <c r="D1184" s="3">
        <v>12</v>
      </c>
      <c r="E1184" t="s">
        <v>2055</v>
      </c>
      <c r="F1184" s="3">
        <v>19.2153043</v>
      </c>
      <c r="G1184">
        <v>72.957339399999995</v>
      </c>
      <c r="H1184">
        <f t="shared" si="90"/>
        <v>55.199999999999996</v>
      </c>
      <c r="I1184" s="3">
        <f t="shared" si="91"/>
        <v>300</v>
      </c>
      <c r="J1184" s="1">
        <f t="shared" si="92"/>
        <v>450</v>
      </c>
      <c r="K1184" s="1">
        <f t="shared" si="93"/>
        <v>135000</v>
      </c>
      <c r="L1184" s="2" t="str">
        <f t="shared" si="94"/>
        <v>Premium</v>
      </c>
    </row>
    <row r="1185" spans="1:12" x14ac:dyDescent="0.3">
      <c r="A1185" t="s">
        <v>1975</v>
      </c>
      <c r="B1185" t="s">
        <v>2056</v>
      </c>
      <c r="C1185" s="3">
        <v>4.5</v>
      </c>
      <c r="D1185" s="3">
        <v>171</v>
      </c>
      <c r="E1185" t="s">
        <v>2057</v>
      </c>
      <c r="F1185" s="3">
        <v>19.222900299999999</v>
      </c>
      <c r="G1185">
        <v>72.966675899999998</v>
      </c>
      <c r="H1185">
        <f t="shared" si="90"/>
        <v>769.5</v>
      </c>
      <c r="I1185" s="3">
        <f t="shared" si="91"/>
        <v>4275</v>
      </c>
      <c r="J1185" s="1">
        <f t="shared" si="92"/>
        <v>450</v>
      </c>
      <c r="K1185" s="1">
        <f t="shared" si="93"/>
        <v>1923750</v>
      </c>
      <c r="L1185" s="2" t="str">
        <f t="shared" si="94"/>
        <v>Premium</v>
      </c>
    </row>
    <row r="1186" spans="1:12" x14ac:dyDescent="0.3">
      <c r="A1186" t="s">
        <v>1975</v>
      </c>
      <c r="B1186" t="s">
        <v>2058</v>
      </c>
      <c r="C1186" s="3">
        <v>4.5999999999999996</v>
      </c>
      <c r="D1186" s="3">
        <v>57</v>
      </c>
      <c r="E1186" t="s">
        <v>2059</v>
      </c>
      <c r="F1186" s="3">
        <v>19.190577900000001</v>
      </c>
      <c r="G1186">
        <v>72.944148999999996</v>
      </c>
      <c r="H1186">
        <f t="shared" si="90"/>
        <v>262.2</v>
      </c>
      <c r="I1186" s="3">
        <f t="shared" si="91"/>
        <v>1425</v>
      </c>
      <c r="J1186" s="1">
        <f t="shared" si="92"/>
        <v>450</v>
      </c>
      <c r="K1186" s="1">
        <f t="shared" si="93"/>
        <v>641250</v>
      </c>
      <c r="L1186" s="2" t="str">
        <f t="shared" si="94"/>
        <v>Premium</v>
      </c>
    </row>
    <row r="1187" spans="1:12" x14ac:dyDescent="0.3">
      <c r="A1187" t="s">
        <v>1975</v>
      </c>
      <c r="B1187" t="s">
        <v>2060</v>
      </c>
      <c r="C1187" s="3">
        <v>4.0999999999999996</v>
      </c>
      <c r="D1187" s="3">
        <v>1780</v>
      </c>
      <c r="E1187" t="s">
        <v>2061</v>
      </c>
      <c r="F1187" s="3">
        <v>19.206500900000002</v>
      </c>
      <c r="G1187">
        <v>72.977805500000002</v>
      </c>
      <c r="H1187">
        <f t="shared" si="90"/>
        <v>7297.9999999999991</v>
      </c>
      <c r="I1187" s="3">
        <f t="shared" si="91"/>
        <v>44500</v>
      </c>
      <c r="J1187" s="1">
        <f t="shared" si="92"/>
        <v>350</v>
      </c>
      <c r="K1187" s="1">
        <f t="shared" si="93"/>
        <v>15575000</v>
      </c>
      <c r="L1187" s="2" t="str">
        <f t="shared" si="94"/>
        <v>Popular</v>
      </c>
    </row>
    <row r="1188" spans="1:12" x14ac:dyDescent="0.3">
      <c r="A1188" t="s">
        <v>1975</v>
      </c>
      <c r="B1188" t="s">
        <v>145</v>
      </c>
      <c r="C1188" s="3">
        <v>4</v>
      </c>
      <c r="D1188" s="3">
        <v>1073</v>
      </c>
      <c r="E1188" t="s">
        <v>2062</v>
      </c>
      <c r="F1188" s="3">
        <v>19.227807299999998</v>
      </c>
      <c r="G1188">
        <v>72.970236</v>
      </c>
      <c r="H1188">
        <f t="shared" si="90"/>
        <v>4292</v>
      </c>
      <c r="I1188" s="3">
        <f t="shared" si="91"/>
        <v>26825</v>
      </c>
      <c r="J1188" s="1">
        <f t="shared" si="92"/>
        <v>350</v>
      </c>
      <c r="K1188" s="1">
        <f t="shared" si="93"/>
        <v>9388750</v>
      </c>
      <c r="L1188" s="2" t="str">
        <f t="shared" si="94"/>
        <v>Popular</v>
      </c>
    </row>
    <row r="1189" spans="1:12" x14ac:dyDescent="0.3">
      <c r="A1189" t="s">
        <v>1975</v>
      </c>
      <c r="B1189" t="s">
        <v>53</v>
      </c>
      <c r="C1189" s="3">
        <v>4.9000000000000004</v>
      </c>
      <c r="D1189" s="3">
        <v>161</v>
      </c>
      <c r="E1189" t="s">
        <v>2063</v>
      </c>
      <c r="F1189" s="3">
        <v>19.255913199999998</v>
      </c>
      <c r="G1189">
        <v>72.983690199999998</v>
      </c>
      <c r="H1189">
        <f t="shared" si="90"/>
        <v>788.90000000000009</v>
      </c>
      <c r="I1189" s="3">
        <f t="shared" si="91"/>
        <v>4025</v>
      </c>
      <c r="J1189" s="1">
        <f t="shared" si="92"/>
        <v>550</v>
      </c>
      <c r="K1189" s="1">
        <f t="shared" si="93"/>
        <v>2213750</v>
      </c>
      <c r="L1189" s="2" t="str">
        <f t="shared" si="94"/>
        <v>Premium</v>
      </c>
    </row>
    <row r="1190" spans="1:12" x14ac:dyDescent="0.3">
      <c r="A1190" t="s">
        <v>1975</v>
      </c>
      <c r="B1190" t="s">
        <v>2064</v>
      </c>
      <c r="C1190" s="3">
        <v>3.8</v>
      </c>
      <c r="D1190" s="3">
        <v>1430</v>
      </c>
      <c r="E1190" t="s">
        <v>2065</v>
      </c>
      <c r="F1190" s="3">
        <v>19.208813899999999</v>
      </c>
      <c r="G1190">
        <v>72.971338699999905</v>
      </c>
      <c r="H1190">
        <f t="shared" si="90"/>
        <v>5434</v>
      </c>
      <c r="I1190" s="3">
        <f t="shared" si="91"/>
        <v>35750</v>
      </c>
      <c r="J1190" s="1">
        <f t="shared" si="92"/>
        <v>350</v>
      </c>
      <c r="K1190" s="1">
        <f t="shared" si="93"/>
        <v>12512500</v>
      </c>
      <c r="L1190" s="2" t="str">
        <f t="shared" si="94"/>
        <v>Average</v>
      </c>
    </row>
    <row r="1191" spans="1:12" x14ac:dyDescent="0.3">
      <c r="A1191" t="s">
        <v>1975</v>
      </c>
      <c r="B1191" t="s">
        <v>2066</v>
      </c>
      <c r="C1191" s="3">
        <v>4.0999999999999996</v>
      </c>
      <c r="D1191" s="3">
        <v>302</v>
      </c>
      <c r="E1191" t="s">
        <v>2067</v>
      </c>
      <c r="F1191" s="3">
        <v>19.201384000000001</v>
      </c>
      <c r="G1191">
        <v>72.977657399999998</v>
      </c>
      <c r="H1191">
        <f t="shared" si="90"/>
        <v>1238.1999999999998</v>
      </c>
      <c r="I1191" s="3">
        <f t="shared" si="91"/>
        <v>7550</v>
      </c>
      <c r="J1191" s="1">
        <f t="shared" si="92"/>
        <v>350</v>
      </c>
      <c r="K1191" s="1">
        <f t="shared" si="93"/>
        <v>2642500</v>
      </c>
      <c r="L1191" s="2" t="str">
        <f t="shared" si="94"/>
        <v>Popular</v>
      </c>
    </row>
    <row r="1192" spans="1:12" x14ac:dyDescent="0.3">
      <c r="A1192" t="s">
        <v>1975</v>
      </c>
      <c r="B1192" t="s">
        <v>2068</v>
      </c>
      <c r="C1192" s="3">
        <v>4.2</v>
      </c>
      <c r="D1192" s="3">
        <v>1215</v>
      </c>
      <c r="E1192" t="s">
        <v>2069</v>
      </c>
      <c r="F1192" s="3">
        <v>19.255545900000001</v>
      </c>
      <c r="G1192">
        <v>72.984277300000002</v>
      </c>
      <c r="H1192">
        <f t="shared" si="90"/>
        <v>5103</v>
      </c>
      <c r="I1192" s="3">
        <f t="shared" si="91"/>
        <v>30375</v>
      </c>
      <c r="J1192" s="1">
        <f t="shared" si="92"/>
        <v>350</v>
      </c>
      <c r="K1192" s="1">
        <f t="shared" si="93"/>
        <v>10631250</v>
      </c>
      <c r="L1192" s="2" t="str">
        <f t="shared" si="94"/>
        <v>Popular</v>
      </c>
    </row>
    <row r="1193" spans="1:12" x14ac:dyDescent="0.3">
      <c r="A1193" t="s">
        <v>1975</v>
      </c>
      <c r="B1193" t="s">
        <v>2070</v>
      </c>
      <c r="C1193" s="3">
        <v>4.7</v>
      </c>
      <c r="D1193" s="3">
        <v>40</v>
      </c>
      <c r="E1193" t="s">
        <v>2071</v>
      </c>
      <c r="F1193" s="3">
        <v>19.234888600000001</v>
      </c>
      <c r="G1193">
        <v>72.975804499999995</v>
      </c>
      <c r="H1193">
        <f t="shared" si="90"/>
        <v>188</v>
      </c>
      <c r="I1193" s="3">
        <f t="shared" si="91"/>
        <v>1000</v>
      </c>
      <c r="J1193" s="1">
        <f t="shared" si="92"/>
        <v>550</v>
      </c>
      <c r="K1193" s="1">
        <f t="shared" si="93"/>
        <v>550000</v>
      </c>
      <c r="L1193" s="2" t="str">
        <f t="shared" si="94"/>
        <v>Premium</v>
      </c>
    </row>
    <row r="1194" spans="1:12" x14ac:dyDescent="0.3">
      <c r="A1194" t="s">
        <v>1975</v>
      </c>
      <c r="B1194" t="s">
        <v>2072</v>
      </c>
      <c r="C1194" s="3">
        <v>4.2</v>
      </c>
      <c r="D1194" s="3">
        <v>122</v>
      </c>
      <c r="E1194" t="s">
        <v>2073</v>
      </c>
      <c r="F1194" s="3">
        <v>19.207293400000001</v>
      </c>
      <c r="G1194">
        <v>72.955878900000002</v>
      </c>
      <c r="H1194">
        <f t="shared" si="90"/>
        <v>512.4</v>
      </c>
      <c r="I1194" s="3">
        <f t="shared" si="91"/>
        <v>3050</v>
      </c>
      <c r="J1194" s="1">
        <f t="shared" si="92"/>
        <v>350</v>
      </c>
      <c r="K1194" s="1">
        <f t="shared" si="93"/>
        <v>1067500</v>
      </c>
      <c r="L1194" s="2" t="str">
        <f t="shared" si="94"/>
        <v>Popular</v>
      </c>
    </row>
    <row r="1195" spans="1:12" x14ac:dyDescent="0.3">
      <c r="A1195" t="s">
        <v>1975</v>
      </c>
      <c r="B1195" t="s">
        <v>2074</v>
      </c>
      <c r="C1195" s="3">
        <v>4.2</v>
      </c>
      <c r="D1195" s="3">
        <v>101</v>
      </c>
      <c r="E1195" t="s">
        <v>2075</v>
      </c>
      <c r="F1195" s="3">
        <v>19.226998500000001</v>
      </c>
      <c r="G1195">
        <v>72.970484599999907</v>
      </c>
      <c r="H1195">
        <f t="shared" si="90"/>
        <v>424.20000000000005</v>
      </c>
      <c r="I1195" s="3">
        <f t="shared" si="91"/>
        <v>2525</v>
      </c>
      <c r="J1195" s="1">
        <f t="shared" si="92"/>
        <v>350</v>
      </c>
      <c r="K1195" s="1">
        <f t="shared" si="93"/>
        <v>883750</v>
      </c>
      <c r="L1195" s="2" t="str">
        <f t="shared" si="94"/>
        <v>Popular</v>
      </c>
    </row>
    <row r="1196" spans="1:12" x14ac:dyDescent="0.3">
      <c r="A1196" t="s">
        <v>1975</v>
      </c>
      <c r="B1196" t="s">
        <v>2076</v>
      </c>
      <c r="C1196" s="3">
        <v>4.0999999999999996</v>
      </c>
      <c r="D1196" s="3">
        <v>508</v>
      </c>
      <c r="E1196" t="s">
        <v>2077</v>
      </c>
      <c r="F1196" s="3">
        <v>19.208517000000001</v>
      </c>
      <c r="G1196">
        <v>72.971673499999994</v>
      </c>
      <c r="H1196">
        <f t="shared" si="90"/>
        <v>2082.7999999999997</v>
      </c>
      <c r="I1196" s="3">
        <f t="shared" si="91"/>
        <v>12700</v>
      </c>
      <c r="J1196" s="1">
        <f t="shared" si="92"/>
        <v>350</v>
      </c>
      <c r="K1196" s="1">
        <f t="shared" si="93"/>
        <v>4445000</v>
      </c>
      <c r="L1196" s="2" t="str">
        <f t="shared" si="94"/>
        <v>Popular</v>
      </c>
    </row>
    <row r="1197" spans="1:12" x14ac:dyDescent="0.3">
      <c r="A1197" t="s">
        <v>1975</v>
      </c>
      <c r="B1197" t="s">
        <v>2078</v>
      </c>
      <c r="C1197" s="3">
        <v>4.9000000000000004</v>
      </c>
      <c r="D1197" s="3">
        <v>66</v>
      </c>
      <c r="E1197" t="s">
        <v>2079</v>
      </c>
      <c r="F1197" s="3">
        <v>19.2224699</v>
      </c>
      <c r="G1197">
        <v>72.977074599999995</v>
      </c>
      <c r="H1197">
        <f t="shared" si="90"/>
        <v>323.40000000000003</v>
      </c>
      <c r="I1197" s="3">
        <f t="shared" si="91"/>
        <v>1650</v>
      </c>
      <c r="J1197" s="1">
        <f t="shared" si="92"/>
        <v>550</v>
      </c>
      <c r="K1197" s="1">
        <f t="shared" si="93"/>
        <v>907500</v>
      </c>
      <c r="L1197" s="2" t="str">
        <f t="shared" si="94"/>
        <v>Premium</v>
      </c>
    </row>
    <row r="1198" spans="1:12" x14ac:dyDescent="0.3">
      <c r="A1198" t="s">
        <v>1975</v>
      </c>
      <c r="B1198" t="s">
        <v>1963</v>
      </c>
      <c r="C1198" s="3">
        <v>4</v>
      </c>
      <c r="D1198" s="3">
        <v>484</v>
      </c>
      <c r="E1198" t="s">
        <v>2080</v>
      </c>
      <c r="F1198" s="3">
        <v>19.1915315</v>
      </c>
      <c r="G1198">
        <v>72.975070500000001</v>
      </c>
      <c r="H1198">
        <f t="shared" si="90"/>
        <v>1936</v>
      </c>
      <c r="I1198" s="3">
        <f t="shared" si="91"/>
        <v>12100</v>
      </c>
      <c r="J1198" s="1">
        <f t="shared" si="92"/>
        <v>350</v>
      </c>
      <c r="K1198" s="1">
        <f t="shared" si="93"/>
        <v>4235000</v>
      </c>
      <c r="L1198" s="2" t="str">
        <f t="shared" si="94"/>
        <v>Popular</v>
      </c>
    </row>
    <row r="1199" spans="1:12" x14ac:dyDescent="0.3">
      <c r="A1199" t="s">
        <v>1975</v>
      </c>
      <c r="B1199" t="s">
        <v>2081</v>
      </c>
      <c r="C1199" s="3">
        <v>4</v>
      </c>
      <c r="D1199" s="3">
        <v>43</v>
      </c>
      <c r="E1199" t="s">
        <v>2082</v>
      </c>
      <c r="F1199" s="3">
        <v>19.186715700000001</v>
      </c>
      <c r="G1199">
        <v>72.973918599999905</v>
      </c>
      <c r="H1199">
        <f t="shared" si="90"/>
        <v>172</v>
      </c>
      <c r="I1199" s="3">
        <f t="shared" si="91"/>
        <v>1075</v>
      </c>
      <c r="J1199" s="1">
        <f t="shared" si="92"/>
        <v>350</v>
      </c>
      <c r="K1199" s="1">
        <f t="shared" si="93"/>
        <v>376250</v>
      </c>
      <c r="L1199" s="2" t="str">
        <f t="shared" si="94"/>
        <v>Popular</v>
      </c>
    </row>
    <row r="1200" spans="1:12" x14ac:dyDescent="0.3">
      <c r="A1200" t="s">
        <v>1975</v>
      </c>
      <c r="B1200" t="s">
        <v>2083</v>
      </c>
      <c r="C1200" s="3">
        <v>4.8</v>
      </c>
      <c r="D1200" s="3">
        <v>29</v>
      </c>
      <c r="E1200" t="s">
        <v>2084</v>
      </c>
      <c r="F1200" s="3">
        <v>19.257775200000001</v>
      </c>
      <c r="G1200">
        <v>72.977321000000003</v>
      </c>
      <c r="H1200">
        <f t="shared" si="90"/>
        <v>139.19999999999999</v>
      </c>
      <c r="I1200" s="3">
        <f t="shared" si="91"/>
        <v>725</v>
      </c>
      <c r="J1200" s="1">
        <f t="shared" si="92"/>
        <v>550</v>
      </c>
      <c r="K1200" s="1">
        <f t="shared" si="93"/>
        <v>398750</v>
      </c>
      <c r="L1200" s="2" t="str">
        <f t="shared" si="94"/>
        <v>Premium</v>
      </c>
    </row>
    <row r="1201" spans="1:12" x14ac:dyDescent="0.3">
      <c r="A1201" t="s">
        <v>1975</v>
      </c>
      <c r="B1201" t="s">
        <v>2085</v>
      </c>
      <c r="C1201" s="3">
        <v>4.7</v>
      </c>
      <c r="D1201" s="3">
        <v>14</v>
      </c>
      <c r="E1201" t="s">
        <v>2086</v>
      </c>
      <c r="F1201" s="3">
        <v>19.1840543</v>
      </c>
      <c r="G1201">
        <v>72.974393199999994</v>
      </c>
      <c r="H1201">
        <f t="shared" si="90"/>
        <v>65.8</v>
      </c>
      <c r="I1201" s="3">
        <f t="shared" si="91"/>
        <v>350</v>
      </c>
      <c r="J1201" s="1">
        <f t="shared" si="92"/>
        <v>550</v>
      </c>
      <c r="K1201" s="1">
        <f t="shared" si="93"/>
        <v>192500</v>
      </c>
      <c r="L1201" s="2" t="str">
        <f t="shared" si="94"/>
        <v>Premium</v>
      </c>
    </row>
  </sheetData>
  <conditionalFormatting sqref="L1:L1201">
    <cfRule type="iconSet" priority="2">
      <iconSet iconSet="4TrafficLights">
        <cfvo type="percent" val="0"/>
        <cfvo type="percent" val="25"/>
        <cfvo type="percent" val="50"/>
        <cfvo type="percent" val="75"/>
      </iconSet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81E82D80-50E5-41F7-B28C-47442129E31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L1:L1201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tanuja modak</dc:creator>
  <cp:lastModifiedBy>tanuja modak</cp:lastModifiedBy>
  <dcterms:created xsi:type="dcterms:W3CDTF">2026-07-15T17:45:48Z</dcterms:created>
  <dcterms:modified xsi:type="dcterms:W3CDTF">2026-07-15T17:46:45Z</dcterms:modified>
</cp:coreProperties>
</file>